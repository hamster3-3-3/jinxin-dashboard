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晉欣\115.01\人時性\"/>
    </mc:Choice>
  </mc:AlternateContent>
  <bookViews>
    <workbookView xWindow="0" yWindow="-10" windowWidth="11570" windowHeight="9200" tabRatio="866"/>
  </bookViews>
  <sheets>
    <sheet name="0101" sheetId="6" r:id="rId1"/>
    <sheet name="晉欣18度C0101" sheetId="20" r:id="rId2"/>
    <sheet name="晉欣4度C0101" sheetId="13" r:id="rId3"/>
    <sheet name="0102" sheetId="7" r:id="rId4"/>
    <sheet name="晉欣18度C0102" sheetId="21" r:id="rId5"/>
    <sheet name="晉欣4度C0102" sheetId="14" r:id="rId6"/>
    <sheet name="0103" sheetId="8" r:id="rId7"/>
    <sheet name="晉欣18度C0103" sheetId="22" r:id="rId8"/>
    <sheet name="晉欣4度C0103" sheetId="15" r:id="rId9"/>
    <sheet name="0104" sheetId="9" r:id="rId10"/>
    <sheet name="晉欣18度C0104" sheetId="23" r:id="rId11"/>
    <sheet name="晉欣4度C0104" sheetId="16" r:id="rId12"/>
    <sheet name="0105" sheetId="10" r:id="rId13"/>
    <sheet name="晉欣18度C0105" sheetId="24" r:id="rId14"/>
    <sheet name="晉欣4度C0105" sheetId="17" r:id="rId15"/>
    <sheet name="工作表2" sheetId="2" r:id="rId16"/>
    <sheet name="工作表3" sheetId="3" r:id="rId17"/>
  </sheets>
  <definedNames>
    <definedName name="_xlnm._FilterDatabase" localSheetId="0" hidden="1">'0101'!$B$10:$Q$25</definedName>
    <definedName name="_xlnm._FilterDatabase" localSheetId="3" hidden="1">'0102'!$B$10:$Q$25</definedName>
    <definedName name="_xlnm._FilterDatabase" localSheetId="6" hidden="1">'0103'!$B$10:$Q$25</definedName>
    <definedName name="_xlnm._FilterDatabase" localSheetId="9" hidden="1">'0104'!$B$10:$Q$25</definedName>
    <definedName name="_xlnm._FilterDatabase" localSheetId="12" hidden="1">'0105'!$B$10:$Q$25</definedName>
    <definedName name="_xlnm._FilterDatabase" localSheetId="1" hidden="1">晉欣18度C0101!$A$4:$R$124</definedName>
    <definedName name="_xlnm._FilterDatabase" localSheetId="4" hidden="1">晉欣18度C0102!$A$4:$R$124</definedName>
    <definedName name="_xlnm._FilterDatabase" localSheetId="7" hidden="1">晉欣18度C0103!$A$4:$R$124</definedName>
    <definedName name="_xlnm._FilterDatabase" localSheetId="10" hidden="1">晉欣18度C0104!$A$4:$R$124</definedName>
    <definedName name="_xlnm._FilterDatabase" localSheetId="13" hidden="1">晉欣18度C0105!$A$4:$R$124</definedName>
    <definedName name="_xlnm._FilterDatabase" localSheetId="2" hidden="1">晉欣4度C0101!$A$4:$AJ$173</definedName>
    <definedName name="_xlnm._FilterDatabase" localSheetId="5" hidden="1">晉欣4度C0102!$A$4:$AJ$173</definedName>
    <definedName name="_xlnm._FilterDatabase" localSheetId="8" hidden="1">晉欣4度C0103!$A$4:$AJ$173</definedName>
    <definedName name="_xlnm._FilterDatabase" localSheetId="11" hidden="1">晉欣4度C0104!$A$4:$AJ$173</definedName>
    <definedName name="_xlnm._FilterDatabase" localSheetId="14" hidden="1">晉欣4度C0105!$A$4:$AJ$173</definedName>
  </definedNames>
  <calcPr calcId="162913"/>
</workbook>
</file>

<file path=xl/calcChain.xml><?xml version="1.0" encoding="utf-8"?>
<calcChain xmlns="http://schemas.openxmlformats.org/spreadsheetml/2006/main">
  <c r="L124" i="24" l="1"/>
  <c r="K124" i="24"/>
  <c r="J124" i="24"/>
  <c r="P123" i="24"/>
  <c r="H123" i="24"/>
  <c r="P122" i="24"/>
  <c r="P119" i="24"/>
  <c r="H119" i="24"/>
  <c r="P118" i="24"/>
  <c r="H118" i="24"/>
  <c r="P117" i="24"/>
  <c r="H117" i="24"/>
  <c r="P116" i="24"/>
  <c r="H116" i="24"/>
  <c r="P115" i="24"/>
  <c r="H115" i="24"/>
  <c r="P114" i="24"/>
  <c r="H114" i="24"/>
  <c r="P113" i="24"/>
  <c r="H113" i="24"/>
  <c r="P112" i="24"/>
  <c r="H112" i="24"/>
  <c r="J111" i="24"/>
  <c r="P110" i="24"/>
  <c r="H110" i="24"/>
  <c r="P109" i="24"/>
  <c r="H109" i="24"/>
  <c r="P108" i="24"/>
  <c r="H108" i="24"/>
  <c r="P107" i="24"/>
  <c r="H107" i="24"/>
  <c r="P106" i="24"/>
  <c r="H106" i="24"/>
  <c r="P105" i="24"/>
  <c r="K105" i="24" s="1"/>
  <c r="L105" i="24" s="1"/>
  <c r="H105" i="24"/>
  <c r="P104" i="24"/>
  <c r="K104" i="24" s="1"/>
  <c r="L104" i="24" s="1"/>
  <c r="H104" i="24"/>
  <c r="P103" i="24"/>
  <c r="K103" i="24" s="1"/>
  <c r="L103" i="24" s="1"/>
  <c r="H103" i="24"/>
  <c r="P102" i="24"/>
  <c r="K102" i="24"/>
  <c r="L102" i="24" s="1"/>
  <c r="H102" i="24"/>
  <c r="P101" i="24"/>
  <c r="K101" i="24" s="1"/>
  <c r="H101" i="24"/>
  <c r="J100" i="24"/>
  <c r="H99" i="24"/>
  <c r="H97" i="24"/>
  <c r="P96" i="24"/>
  <c r="K96" i="24"/>
  <c r="L96" i="24" s="1"/>
  <c r="H96" i="24"/>
  <c r="P95" i="24"/>
  <c r="K95" i="24" s="1"/>
  <c r="L95" i="24" s="1"/>
  <c r="H95" i="24"/>
  <c r="P94" i="24"/>
  <c r="K94" i="24" s="1"/>
  <c r="L94" i="24" s="1"/>
  <c r="H94" i="24"/>
  <c r="P93" i="24"/>
  <c r="K93" i="24" s="1"/>
  <c r="L93" i="24" s="1"/>
  <c r="H93" i="24"/>
  <c r="P92" i="24"/>
  <c r="K92" i="24" s="1"/>
  <c r="L92" i="24" s="1"/>
  <c r="H92" i="24"/>
  <c r="J91" i="24"/>
  <c r="P90" i="24"/>
  <c r="H90" i="24"/>
  <c r="P89" i="24"/>
  <c r="H89" i="24"/>
  <c r="P86" i="24"/>
  <c r="K86" i="24"/>
  <c r="L86" i="24" s="1"/>
  <c r="H86" i="24"/>
  <c r="P85" i="24"/>
  <c r="K85" i="24" s="1"/>
  <c r="L85" i="24" s="1"/>
  <c r="H85" i="24"/>
  <c r="P84" i="24"/>
  <c r="K84" i="24" s="1"/>
  <c r="L84" i="24" s="1"/>
  <c r="H84" i="24"/>
  <c r="P83" i="24"/>
  <c r="K83" i="24" s="1"/>
  <c r="L83" i="24" s="1"/>
  <c r="H83" i="24"/>
  <c r="P82" i="24"/>
  <c r="K82" i="24"/>
  <c r="L82" i="24" s="1"/>
  <c r="H82" i="24"/>
  <c r="L81" i="24"/>
  <c r="K81" i="24"/>
  <c r="J81" i="24"/>
  <c r="P80" i="24"/>
  <c r="H80" i="24"/>
  <c r="P79" i="24"/>
  <c r="H79" i="24"/>
  <c r="P78" i="24"/>
  <c r="H78" i="24"/>
  <c r="P77" i="24"/>
  <c r="H77" i="24"/>
  <c r="P76" i="24"/>
  <c r="H76" i="24"/>
  <c r="J75" i="24"/>
  <c r="P74" i="24"/>
  <c r="H74" i="24"/>
  <c r="P73" i="24"/>
  <c r="H73" i="24"/>
  <c r="P72" i="24"/>
  <c r="H72" i="24"/>
  <c r="P71" i="24"/>
  <c r="H71" i="24"/>
  <c r="P70" i="24"/>
  <c r="K70" i="24" s="1"/>
  <c r="L70" i="24" s="1"/>
  <c r="H70" i="24"/>
  <c r="P69" i="24"/>
  <c r="K69" i="24" s="1"/>
  <c r="L69" i="24" s="1"/>
  <c r="H69" i="24"/>
  <c r="P68" i="24"/>
  <c r="K68" i="24" s="1"/>
  <c r="L68" i="24" s="1"/>
  <c r="H68" i="24"/>
  <c r="P67" i="24"/>
  <c r="K67" i="24" s="1"/>
  <c r="L67" i="24" s="1"/>
  <c r="H67" i="24"/>
  <c r="P66" i="24"/>
  <c r="K66" i="24" s="1"/>
  <c r="L66" i="24" s="1"/>
  <c r="H66" i="24"/>
  <c r="P65" i="24"/>
  <c r="K65" i="24" s="1"/>
  <c r="H65" i="24"/>
  <c r="L64" i="24"/>
  <c r="K64" i="24"/>
  <c r="J64" i="24"/>
  <c r="P63" i="24"/>
  <c r="H63" i="24"/>
  <c r="P62" i="24"/>
  <c r="H62" i="24"/>
  <c r="P61" i="24"/>
  <c r="H61" i="24"/>
  <c r="P60" i="24"/>
  <c r="H60" i="24"/>
  <c r="P59" i="24"/>
  <c r="H59" i="24"/>
  <c r="P58" i="24"/>
  <c r="H58" i="24"/>
  <c r="P57" i="24"/>
  <c r="H57" i="24"/>
  <c r="P56" i="24"/>
  <c r="H56" i="24"/>
  <c r="P55" i="24"/>
  <c r="H55" i="24"/>
  <c r="P54" i="24"/>
  <c r="H54" i="24"/>
  <c r="P53" i="24"/>
  <c r="H53" i="24"/>
  <c r="P52" i="24"/>
  <c r="H52" i="24"/>
  <c r="J51" i="24"/>
  <c r="P50" i="24"/>
  <c r="H50" i="24"/>
  <c r="P49" i="24"/>
  <c r="H49" i="24"/>
  <c r="P48" i="24"/>
  <c r="P47" i="24"/>
  <c r="H47" i="24"/>
  <c r="P46" i="24"/>
  <c r="H46" i="24"/>
  <c r="P45" i="24"/>
  <c r="H45" i="24"/>
  <c r="P44" i="24"/>
  <c r="H44" i="24"/>
  <c r="P43" i="24"/>
  <c r="H43" i="24"/>
  <c r="P42" i="24"/>
  <c r="K42" i="24" s="1"/>
  <c r="L42" i="24" s="1"/>
  <c r="H42" i="24"/>
  <c r="P41" i="24"/>
  <c r="K41" i="24" s="1"/>
  <c r="L41" i="24" s="1"/>
  <c r="H41" i="24"/>
  <c r="P40" i="24"/>
  <c r="K40" i="24" s="1"/>
  <c r="L40" i="24" s="1"/>
  <c r="H40" i="24"/>
  <c r="P39" i="24"/>
  <c r="K39" i="24" s="1"/>
  <c r="L39" i="24" s="1"/>
  <c r="L51" i="24" s="1"/>
  <c r="H39" i="24"/>
  <c r="J38" i="24"/>
  <c r="P37" i="24"/>
  <c r="H37" i="24"/>
  <c r="P36" i="24"/>
  <c r="H36" i="24"/>
  <c r="P35" i="24"/>
  <c r="H35" i="24"/>
  <c r="P34" i="24"/>
  <c r="H34" i="24"/>
  <c r="P33" i="24"/>
  <c r="H33" i="24"/>
  <c r="P32" i="24"/>
  <c r="H32" i="24"/>
  <c r="P31" i="24"/>
  <c r="H31" i="24"/>
  <c r="P30" i="24"/>
  <c r="H30" i="24"/>
  <c r="P29" i="24"/>
  <c r="K29" i="24" s="1"/>
  <c r="L29" i="24" s="1"/>
  <c r="H29" i="24"/>
  <c r="P28" i="24"/>
  <c r="K28" i="24" s="1"/>
  <c r="L28" i="24" s="1"/>
  <c r="H28" i="24"/>
  <c r="P27" i="24"/>
  <c r="K27" i="24" s="1"/>
  <c r="L27" i="24" s="1"/>
  <c r="H27" i="24"/>
  <c r="P26" i="24"/>
  <c r="K26" i="24" s="1"/>
  <c r="L26" i="24" s="1"/>
  <c r="H26" i="24"/>
  <c r="P25" i="24"/>
  <c r="K25" i="24"/>
  <c r="L25" i="24" s="1"/>
  <c r="H25" i="24"/>
  <c r="J24" i="24"/>
  <c r="P23" i="24"/>
  <c r="H23" i="24"/>
  <c r="P22" i="24"/>
  <c r="H22" i="24"/>
  <c r="P21" i="24"/>
  <c r="H21" i="24"/>
  <c r="P20" i="24"/>
  <c r="H20" i="24"/>
  <c r="P18" i="24"/>
  <c r="K18" i="24" s="1"/>
  <c r="L18" i="24" s="1"/>
  <c r="H18" i="24"/>
  <c r="P17" i="24"/>
  <c r="K17" i="24" s="1"/>
  <c r="L17" i="24" s="1"/>
  <c r="L24" i="24" s="1"/>
  <c r="H17" i="24"/>
  <c r="J16" i="24"/>
  <c r="I1" i="24" s="1"/>
  <c r="P15" i="24"/>
  <c r="H15" i="24"/>
  <c r="P14" i="24"/>
  <c r="H14" i="24"/>
  <c r="P13" i="24"/>
  <c r="K13" i="24" s="1"/>
  <c r="L13" i="24" s="1"/>
  <c r="H13" i="24"/>
  <c r="P12" i="24"/>
  <c r="L12" i="24"/>
  <c r="K12" i="24"/>
  <c r="H12" i="24"/>
  <c r="P11" i="24"/>
  <c r="K11" i="24" s="1"/>
  <c r="L11" i="24" s="1"/>
  <c r="H11" i="24"/>
  <c r="P10" i="24"/>
  <c r="K10" i="24" s="1"/>
  <c r="L10" i="24" s="1"/>
  <c r="H10" i="24"/>
  <c r="P9" i="24"/>
  <c r="K9" i="24" s="1"/>
  <c r="L9" i="24" s="1"/>
  <c r="H9" i="24"/>
  <c r="P8" i="24"/>
  <c r="L8" i="24"/>
  <c r="K8" i="24"/>
  <c r="H8" i="24"/>
  <c r="P7" i="24"/>
  <c r="K7" i="24" s="1"/>
  <c r="L7" i="24" s="1"/>
  <c r="H7" i="24"/>
  <c r="P6" i="24"/>
  <c r="K6" i="24" s="1"/>
  <c r="L6" i="24" s="1"/>
  <c r="H6" i="24"/>
  <c r="P5" i="24"/>
  <c r="K5" i="24" s="1"/>
  <c r="H5" i="24"/>
  <c r="I2" i="24"/>
  <c r="E1" i="24"/>
  <c r="L124" i="23"/>
  <c r="K124" i="23"/>
  <c r="J124" i="23"/>
  <c r="P123" i="23"/>
  <c r="H123" i="23"/>
  <c r="P122" i="23"/>
  <c r="P119" i="23"/>
  <c r="H119" i="23"/>
  <c r="P118" i="23"/>
  <c r="H118" i="23"/>
  <c r="P117" i="23"/>
  <c r="H117" i="23"/>
  <c r="P116" i="23"/>
  <c r="H116" i="23"/>
  <c r="P115" i="23"/>
  <c r="H115" i="23"/>
  <c r="P114" i="23"/>
  <c r="H114" i="23"/>
  <c r="P113" i="23"/>
  <c r="H113" i="23"/>
  <c r="P112" i="23"/>
  <c r="H112" i="23"/>
  <c r="J111" i="23"/>
  <c r="P110" i="23"/>
  <c r="H110" i="23"/>
  <c r="P109" i="23"/>
  <c r="H109" i="23"/>
  <c r="P108" i="23"/>
  <c r="H108" i="23"/>
  <c r="P107" i="23"/>
  <c r="H107" i="23"/>
  <c r="P106" i="23"/>
  <c r="H106" i="23"/>
  <c r="P105" i="23"/>
  <c r="K105" i="23" s="1"/>
  <c r="L105" i="23" s="1"/>
  <c r="H105" i="23"/>
  <c r="P104" i="23"/>
  <c r="K104" i="23" s="1"/>
  <c r="L104" i="23" s="1"/>
  <c r="H104" i="23"/>
  <c r="P103" i="23"/>
  <c r="K103" i="23" s="1"/>
  <c r="L103" i="23" s="1"/>
  <c r="H103" i="23"/>
  <c r="P102" i="23"/>
  <c r="K102" i="23" s="1"/>
  <c r="L102" i="23" s="1"/>
  <c r="H102" i="23"/>
  <c r="P101" i="23"/>
  <c r="K101" i="23" s="1"/>
  <c r="H101" i="23"/>
  <c r="J100" i="23"/>
  <c r="H99" i="23"/>
  <c r="P95" i="23"/>
  <c r="K95" i="23" s="1"/>
  <c r="L95" i="23" s="1"/>
  <c r="H95" i="23"/>
  <c r="P94" i="23"/>
  <c r="K94" i="23"/>
  <c r="L94" i="23" s="1"/>
  <c r="H94" i="23"/>
  <c r="P93" i="23"/>
  <c r="K93" i="23" s="1"/>
  <c r="L93" i="23" s="1"/>
  <c r="H93" i="23"/>
  <c r="P92" i="23"/>
  <c r="K92" i="23"/>
  <c r="L92" i="23" s="1"/>
  <c r="H92" i="23"/>
  <c r="J91" i="23"/>
  <c r="P90" i="23"/>
  <c r="H90" i="23"/>
  <c r="P89" i="23"/>
  <c r="H89" i="23"/>
  <c r="P88" i="23"/>
  <c r="H88" i="23"/>
  <c r="P86" i="23"/>
  <c r="K86" i="23" s="1"/>
  <c r="L86" i="23" s="1"/>
  <c r="H86" i="23"/>
  <c r="P85" i="23"/>
  <c r="K85" i="23" s="1"/>
  <c r="L85" i="23" s="1"/>
  <c r="H85" i="23"/>
  <c r="P84" i="23"/>
  <c r="K84" i="23" s="1"/>
  <c r="L84" i="23" s="1"/>
  <c r="H84" i="23"/>
  <c r="P83" i="23"/>
  <c r="K83" i="23" s="1"/>
  <c r="L83" i="23" s="1"/>
  <c r="H83" i="23"/>
  <c r="P82" i="23"/>
  <c r="K82" i="23" s="1"/>
  <c r="K91" i="23" s="1"/>
  <c r="H82" i="23"/>
  <c r="L81" i="23"/>
  <c r="K81" i="23"/>
  <c r="J81" i="23"/>
  <c r="P80" i="23"/>
  <c r="H80" i="23"/>
  <c r="P79" i="23"/>
  <c r="H79" i="23"/>
  <c r="P78" i="23"/>
  <c r="H78" i="23"/>
  <c r="P77" i="23"/>
  <c r="H77" i="23"/>
  <c r="P76" i="23"/>
  <c r="H76" i="23"/>
  <c r="J75" i="23"/>
  <c r="P74" i="23"/>
  <c r="H74" i="23"/>
  <c r="P73" i="23"/>
  <c r="H73" i="23"/>
  <c r="P72" i="23"/>
  <c r="H72" i="23"/>
  <c r="P71" i="23"/>
  <c r="H71" i="23"/>
  <c r="P70" i="23"/>
  <c r="K70" i="23" s="1"/>
  <c r="L70" i="23" s="1"/>
  <c r="H70" i="23"/>
  <c r="P69" i="23"/>
  <c r="K69" i="23" s="1"/>
  <c r="L69" i="23" s="1"/>
  <c r="H69" i="23"/>
  <c r="P68" i="23"/>
  <c r="K68" i="23" s="1"/>
  <c r="L68" i="23" s="1"/>
  <c r="H68" i="23"/>
  <c r="P67" i="23"/>
  <c r="K67" i="23"/>
  <c r="L67" i="23" s="1"/>
  <c r="H67" i="23"/>
  <c r="P66" i="23"/>
  <c r="K66" i="23" s="1"/>
  <c r="L66" i="23" s="1"/>
  <c r="H66" i="23"/>
  <c r="P65" i="23"/>
  <c r="K65" i="23"/>
  <c r="H65" i="23"/>
  <c r="L64" i="23"/>
  <c r="K64" i="23"/>
  <c r="J64" i="23"/>
  <c r="P63" i="23"/>
  <c r="H63" i="23"/>
  <c r="P62" i="23"/>
  <c r="H62" i="23"/>
  <c r="P61" i="23"/>
  <c r="H61" i="23"/>
  <c r="P60" i="23"/>
  <c r="H60" i="23"/>
  <c r="P59" i="23"/>
  <c r="H59" i="23"/>
  <c r="P58" i="23"/>
  <c r="H58" i="23"/>
  <c r="P57" i="23"/>
  <c r="H57" i="23"/>
  <c r="P56" i="23"/>
  <c r="H56" i="23"/>
  <c r="P55" i="23"/>
  <c r="H55" i="23"/>
  <c r="P54" i="23"/>
  <c r="H54" i="23"/>
  <c r="P53" i="23"/>
  <c r="H53" i="23"/>
  <c r="P52" i="23"/>
  <c r="H52" i="23"/>
  <c r="J51" i="23"/>
  <c r="P50" i="23"/>
  <c r="H50" i="23"/>
  <c r="P49" i="23"/>
  <c r="H49" i="23"/>
  <c r="P48" i="23"/>
  <c r="P47" i="23"/>
  <c r="H47" i="23"/>
  <c r="P46" i="23"/>
  <c r="H46" i="23"/>
  <c r="P45" i="23"/>
  <c r="H45" i="23"/>
  <c r="P42" i="23"/>
  <c r="K42" i="23" s="1"/>
  <c r="L42" i="23" s="1"/>
  <c r="H42" i="23"/>
  <c r="P41" i="23"/>
  <c r="K41" i="23" s="1"/>
  <c r="L41" i="23" s="1"/>
  <c r="H41" i="23"/>
  <c r="P40" i="23"/>
  <c r="K40" i="23" s="1"/>
  <c r="L40" i="23" s="1"/>
  <c r="H40" i="23"/>
  <c r="P39" i="23"/>
  <c r="K39" i="23"/>
  <c r="H39" i="23"/>
  <c r="J38" i="23"/>
  <c r="P37" i="23"/>
  <c r="H37" i="23"/>
  <c r="P36" i="23"/>
  <c r="H36" i="23"/>
  <c r="P35" i="23"/>
  <c r="H35" i="23"/>
  <c r="P34" i="23"/>
  <c r="H34" i="23"/>
  <c r="P33" i="23"/>
  <c r="H33" i="23"/>
  <c r="P32" i="23"/>
  <c r="H32" i="23"/>
  <c r="P31" i="23"/>
  <c r="H31" i="23"/>
  <c r="P30" i="23"/>
  <c r="H30" i="23"/>
  <c r="P29" i="23"/>
  <c r="K29" i="23"/>
  <c r="L29" i="23" s="1"/>
  <c r="H29" i="23"/>
  <c r="P28" i="23"/>
  <c r="K28" i="23" s="1"/>
  <c r="L28" i="23" s="1"/>
  <c r="H28" i="23"/>
  <c r="P27" i="23"/>
  <c r="K27" i="23" s="1"/>
  <c r="L27" i="23" s="1"/>
  <c r="H27" i="23"/>
  <c r="P26" i="23"/>
  <c r="K26" i="23" s="1"/>
  <c r="L26" i="23" s="1"/>
  <c r="H26" i="23"/>
  <c r="P25" i="23"/>
  <c r="K25" i="23" s="1"/>
  <c r="H25" i="23"/>
  <c r="J24" i="23"/>
  <c r="P23" i="23"/>
  <c r="H23" i="23"/>
  <c r="P22" i="23"/>
  <c r="H22" i="23"/>
  <c r="P18" i="23"/>
  <c r="K18" i="23" s="1"/>
  <c r="L18" i="23" s="1"/>
  <c r="H18" i="23"/>
  <c r="P17" i="23"/>
  <c r="K17" i="23"/>
  <c r="H17" i="23"/>
  <c r="J16" i="23"/>
  <c r="P15" i="23"/>
  <c r="H15" i="23"/>
  <c r="P14" i="23"/>
  <c r="H14" i="23"/>
  <c r="P13" i="23"/>
  <c r="K13" i="23"/>
  <c r="L13" i="23" s="1"/>
  <c r="H13" i="23"/>
  <c r="P12" i="23"/>
  <c r="K12" i="23" s="1"/>
  <c r="L12" i="23" s="1"/>
  <c r="H12" i="23"/>
  <c r="P11" i="23"/>
  <c r="K11" i="23" s="1"/>
  <c r="L11" i="23" s="1"/>
  <c r="H11" i="23"/>
  <c r="P10" i="23"/>
  <c r="K10" i="23" s="1"/>
  <c r="L10" i="23" s="1"/>
  <c r="H10" i="23"/>
  <c r="P9" i="23"/>
  <c r="K9" i="23" s="1"/>
  <c r="L9" i="23" s="1"/>
  <c r="H9" i="23"/>
  <c r="P8" i="23"/>
  <c r="K8" i="23" s="1"/>
  <c r="L8" i="23" s="1"/>
  <c r="H8" i="23"/>
  <c r="P7" i="23"/>
  <c r="K7" i="23" s="1"/>
  <c r="L7" i="23" s="1"/>
  <c r="H7" i="23"/>
  <c r="P6" i="23"/>
  <c r="K6" i="23" s="1"/>
  <c r="L6" i="23" s="1"/>
  <c r="H6" i="23"/>
  <c r="P5" i="23"/>
  <c r="K5" i="23" s="1"/>
  <c r="H5" i="23"/>
  <c r="I2" i="23"/>
  <c r="E1" i="23"/>
  <c r="L124" i="22"/>
  <c r="K124" i="22"/>
  <c r="J124" i="22"/>
  <c r="P123" i="22"/>
  <c r="H123" i="22"/>
  <c r="P122" i="22"/>
  <c r="P119" i="22"/>
  <c r="H119" i="22"/>
  <c r="P118" i="22"/>
  <c r="H118" i="22"/>
  <c r="P117" i="22"/>
  <c r="H117" i="22"/>
  <c r="P116" i="22"/>
  <c r="H116" i="22"/>
  <c r="P115" i="22"/>
  <c r="H115" i="22"/>
  <c r="P114" i="22"/>
  <c r="H114" i="22"/>
  <c r="P113" i="22"/>
  <c r="H113" i="22"/>
  <c r="P112" i="22"/>
  <c r="H112" i="22"/>
  <c r="J111" i="22"/>
  <c r="P110" i="22"/>
  <c r="H110" i="22"/>
  <c r="P109" i="22"/>
  <c r="H109" i="22"/>
  <c r="P108" i="22"/>
  <c r="H108" i="22"/>
  <c r="P107" i="22"/>
  <c r="H107" i="22"/>
  <c r="P106" i="22"/>
  <c r="H106" i="22"/>
  <c r="P105" i="22"/>
  <c r="K105" i="22" s="1"/>
  <c r="L105" i="22" s="1"/>
  <c r="H105" i="22"/>
  <c r="P104" i="22"/>
  <c r="K104" i="22"/>
  <c r="L104" i="22" s="1"/>
  <c r="H104" i="22"/>
  <c r="P103" i="22"/>
  <c r="K103" i="22" s="1"/>
  <c r="L103" i="22" s="1"/>
  <c r="H103" i="22"/>
  <c r="P102" i="22"/>
  <c r="K102" i="22" s="1"/>
  <c r="L102" i="22" s="1"/>
  <c r="H102" i="22"/>
  <c r="P101" i="22"/>
  <c r="K101" i="22" s="1"/>
  <c r="H101" i="22"/>
  <c r="J100" i="22"/>
  <c r="H99" i="22"/>
  <c r="P95" i="22"/>
  <c r="K95" i="22"/>
  <c r="L95" i="22" s="1"/>
  <c r="H95" i="22"/>
  <c r="P94" i="22"/>
  <c r="K94" i="22" s="1"/>
  <c r="L94" i="22" s="1"/>
  <c r="H94" i="22"/>
  <c r="P93" i="22"/>
  <c r="K93" i="22" s="1"/>
  <c r="L93" i="22" s="1"/>
  <c r="H93" i="22"/>
  <c r="P92" i="22"/>
  <c r="K92" i="22" s="1"/>
  <c r="H92" i="22"/>
  <c r="J91" i="22"/>
  <c r="P90" i="22"/>
  <c r="H90" i="22"/>
  <c r="P89" i="22"/>
  <c r="H89" i="22"/>
  <c r="P88" i="22"/>
  <c r="H88" i="22"/>
  <c r="P86" i="22"/>
  <c r="K86" i="22" s="1"/>
  <c r="L86" i="22" s="1"/>
  <c r="H86" i="22"/>
  <c r="P85" i="22"/>
  <c r="K85" i="22" s="1"/>
  <c r="L85" i="22" s="1"/>
  <c r="H85" i="22"/>
  <c r="P84" i="22"/>
  <c r="K84" i="22"/>
  <c r="L84" i="22" s="1"/>
  <c r="H84" i="22"/>
  <c r="P83" i="22"/>
  <c r="K83" i="22" s="1"/>
  <c r="L83" i="22" s="1"/>
  <c r="H83" i="22"/>
  <c r="P82" i="22"/>
  <c r="K82" i="22" s="1"/>
  <c r="L82" i="22" s="1"/>
  <c r="H82" i="22"/>
  <c r="L81" i="22"/>
  <c r="K81" i="22"/>
  <c r="J81" i="22"/>
  <c r="P80" i="22"/>
  <c r="H80" i="22"/>
  <c r="P79" i="22"/>
  <c r="H79" i="22"/>
  <c r="P78" i="22"/>
  <c r="H78" i="22"/>
  <c r="P77" i="22"/>
  <c r="H77" i="22"/>
  <c r="P76" i="22"/>
  <c r="H76" i="22"/>
  <c r="J75" i="22"/>
  <c r="P74" i="22"/>
  <c r="H74" i="22"/>
  <c r="P73" i="22"/>
  <c r="H73" i="22"/>
  <c r="P72" i="22"/>
  <c r="H72" i="22"/>
  <c r="P71" i="22"/>
  <c r="H71" i="22"/>
  <c r="P70" i="22"/>
  <c r="K70" i="22"/>
  <c r="L70" i="22" s="1"/>
  <c r="H70" i="22"/>
  <c r="P69" i="22"/>
  <c r="K69" i="22" s="1"/>
  <c r="L69" i="22" s="1"/>
  <c r="H69" i="22"/>
  <c r="P68" i="22"/>
  <c r="K68" i="22"/>
  <c r="L68" i="22" s="1"/>
  <c r="H68" i="22"/>
  <c r="P67" i="22"/>
  <c r="K67" i="22" s="1"/>
  <c r="L67" i="22" s="1"/>
  <c r="H67" i="22"/>
  <c r="P66" i="22"/>
  <c r="K66" i="22" s="1"/>
  <c r="L66" i="22" s="1"/>
  <c r="H66" i="22"/>
  <c r="P65" i="22"/>
  <c r="K65" i="22" s="1"/>
  <c r="H65" i="22"/>
  <c r="L64" i="22"/>
  <c r="K64" i="22"/>
  <c r="J64" i="22"/>
  <c r="I1" i="22" s="1"/>
  <c r="P63" i="22"/>
  <c r="H63" i="22"/>
  <c r="P62" i="22"/>
  <c r="H62" i="22"/>
  <c r="P61" i="22"/>
  <c r="H61" i="22"/>
  <c r="P60" i="22"/>
  <c r="H60" i="22"/>
  <c r="P59" i="22"/>
  <c r="H59" i="22"/>
  <c r="P58" i="22"/>
  <c r="H58" i="22"/>
  <c r="P57" i="22"/>
  <c r="H57" i="22"/>
  <c r="P56" i="22"/>
  <c r="H56" i="22"/>
  <c r="P55" i="22"/>
  <c r="H55" i="22"/>
  <c r="P54" i="22"/>
  <c r="H54" i="22"/>
  <c r="P53" i="22"/>
  <c r="H53" i="22"/>
  <c r="P52" i="22"/>
  <c r="H52" i="22"/>
  <c r="J51" i="22"/>
  <c r="P50" i="22"/>
  <c r="H50" i="22"/>
  <c r="P49" i="22"/>
  <c r="H49" i="22"/>
  <c r="P48" i="22"/>
  <c r="P47" i="22"/>
  <c r="H47" i="22"/>
  <c r="P46" i="22"/>
  <c r="H46" i="22"/>
  <c r="P45" i="22"/>
  <c r="H45" i="22"/>
  <c r="P42" i="22"/>
  <c r="K42" i="22" s="1"/>
  <c r="L42" i="22" s="1"/>
  <c r="H42" i="22"/>
  <c r="P41" i="22"/>
  <c r="K41" i="22" s="1"/>
  <c r="L41" i="22" s="1"/>
  <c r="H41" i="22"/>
  <c r="P40" i="22"/>
  <c r="K40" i="22" s="1"/>
  <c r="L40" i="22" s="1"/>
  <c r="H40" i="22"/>
  <c r="P39" i="22"/>
  <c r="K39" i="22" s="1"/>
  <c r="H39" i="22"/>
  <c r="J38" i="22"/>
  <c r="P37" i="22"/>
  <c r="H37" i="22"/>
  <c r="P36" i="22"/>
  <c r="H36" i="22"/>
  <c r="P35" i="22"/>
  <c r="H35" i="22"/>
  <c r="P34" i="22"/>
  <c r="H34" i="22"/>
  <c r="P33" i="22"/>
  <c r="H33" i="22"/>
  <c r="P32" i="22"/>
  <c r="H32" i="22"/>
  <c r="P31" i="22"/>
  <c r="H31" i="22"/>
  <c r="P30" i="22"/>
  <c r="H30" i="22"/>
  <c r="P29" i="22"/>
  <c r="K29" i="22"/>
  <c r="L29" i="22" s="1"/>
  <c r="H29" i="22"/>
  <c r="P28" i="22"/>
  <c r="K28" i="22" s="1"/>
  <c r="L28" i="22" s="1"/>
  <c r="H28" i="22"/>
  <c r="P27" i="22"/>
  <c r="K27" i="22"/>
  <c r="L27" i="22" s="1"/>
  <c r="H27" i="22"/>
  <c r="P26" i="22"/>
  <c r="K26" i="22" s="1"/>
  <c r="L26" i="22" s="1"/>
  <c r="H26" i="22"/>
  <c r="P25" i="22"/>
  <c r="K25" i="22" s="1"/>
  <c r="L25" i="22" s="1"/>
  <c r="L38" i="22" s="1"/>
  <c r="H25" i="22"/>
  <c r="J24" i="22"/>
  <c r="P23" i="22"/>
  <c r="H23" i="22"/>
  <c r="P22" i="22"/>
  <c r="H22" i="22"/>
  <c r="P21" i="22"/>
  <c r="H21" i="22"/>
  <c r="P20" i="22"/>
  <c r="H20" i="22"/>
  <c r="P18" i="22"/>
  <c r="K18" i="22" s="1"/>
  <c r="L18" i="22" s="1"/>
  <c r="H18" i="22"/>
  <c r="P17" i="22"/>
  <c r="K17" i="22"/>
  <c r="L17" i="22" s="1"/>
  <c r="H17" i="22"/>
  <c r="J16" i="22"/>
  <c r="P15" i="22"/>
  <c r="H15" i="22"/>
  <c r="P14" i="22"/>
  <c r="H14" i="22"/>
  <c r="P13" i="22"/>
  <c r="K13" i="22" s="1"/>
  <c r="L13" i="22" s="1"/>
  <c r="H13" i="22"/>
  <c r="P12" i="22"/>
  <c r="K12" i="22" s="1"/>
  <c r="L12" i="22" s="1"/>
  <c r="H12" i="22"/>
  <c r="P11" i="22"/>
  <c r="K11" i="22" s="1"/>
  <c r="L11" i="22" s="1"/>
  <c r="H11" i="22"/>
  <c r="P10" i="22"/>
  <c r="K10" i="22" s="1"/>
  <c r="L10" i="22" s="1"/>
  <c r="H10" i="22"/>
  <c r="P9" i="22"/>
  <c r="K9" i="22" s="1"/>
  <c r="L9" i="22" s="1"/>
  <c r="H9" i="22"/>
  <c r="P8" i="22"/>
  <c r="K8" i="22"/>
  <c r="L8" i="22" s="1"/>
  <c r="H8" i="22"/>
  <c r="P7" i="22"/>
  <c r="K7" i="22" s="1"/>
  <c r="L7" i="22" s="1"/>
  <c r="H7" i="22"/>
  <c r="P6" i="22"/>
  <c r="K6" i="22" s="1"/>
  <c r="L6" i="22" s="1"/>
  <c r="H6" i="22"/>
  <c r="P5" i="22"/>
  <c r="K5" i="22" s="1"/>
  <c r="H5" i="22"/>
  <c r="I2" i="22"/>
  <c r="E1" i="22"/>
  <c r="L124" i="21"/>
  <c r="K124" i="21"/>
  <c r="J124" i="21"/>
  <c r="P123" i="21"/>
  <c r="H123" i="21"/>
  <c r="P122" i="21"/>
  <c r="P119" i="21"/>
  <c r="H119" i="21"/>
  <c r="P118" i="21"/>
  <c r="H118" i="21"/>
  <c r="P117" i="21"/>
  <c r="H117" i="21"/>
  <c r="P116" i="21"/>
  <c r="H116" i="21"/>
  <c r="P115" i="21"/>
  <c r="H115" i="21"/>
  <c r="P114" i="21"/>
  <c r="H114" i="21"/>
  <c r="P113" i="21"/>
  <c r="H113" i="21"/>
  <c r="P112" i="21"/>
  <c r="H112" i="21"/>
  <c r="J111" i="21"/>
  <c r="P110" i="21"/>
  <c r="H110" i="21"/>
  <c r="P109" i="21"/>
  <c r="H109" i="21"/>
  <c r="P108" i="21"/>
  <c r="H108" i="21"/>
  <c r="P107" i="21"/>
  <c r="H107" i="21"/>
  <c r="P106" i="21"/>
  <c r="H106" i="21"/>
  <c r="P105" i="21"/>
  <c r="K105" i="21" s="1"/>
  <c r="L105" i="21" s="1"/>
  <c r="H105" i="21"/>
  <c r="P104" i="21"/>
  <c r="K104" i="21"/>
  <c r="L104" i="21" s="1"/>
  <c r="H104" i="21"/>
  <c r="P103" i="21"/>
  <c r="K103" i="21" s="1"/>
  <c r="H103" i="21"/>
  <c r="P102" i="21"/>
  <c r="K102" i="21" s="1"/>
  <c r="L102" i="21" s="1"/>
  <c r="H102" i="21"/>
  <c r="P101" i="21"/>
  <c r="K101" i="21" s="1"/>
  <c r="L101" i="21"/>
  <c r="H101" i="21"/>
  <c r="J100" i="21"/>
  <c r="H99" i="21"/>
  <c r="P95" i="21"/>
  <c r="K95" i="21" s="1"/>
  <c r="L95" i="21" s="1"/>
  <c r="H95" i="21"/>
  <c r="P94" i="21"/>
  <c r="L94" i="21"/>
  <c r="K94" i="21"/>
  <c r="H94" i="21"/>
  <c r="P93" i="21"/>
  <c r="K93" i="21" s="1"/>
  <c r="L93" i="21" s="1"/>
  <c r="H93" i="21"/>
  <c r="P92" i="21"/>
  <c r="K92" i="21" s="1"/>
  <c r="H92" i="21"/>
  <c r="J91" i="21"/>
  <c r="P90" i="21"/>
  <c r="H90" i="21"/>
  <c r="P89" i="21"/>
  <c r="H89" i="21"/>
  <c r="P88" i="21"/>
  <c r="H88" i="21"/>
  <c r="P86" i="21"/>
  <c r="K86" i="21" s="1"/>
  <c r="L86" i="21" s="1"/>
  <c r="H86" i="21"/>
  <c r="P85" i="21"/>
  <c r="K85" i="21" s="1"/>
  <c r="L85" i="21" s="1"/>
  <c r="H85" i="21"/>
  <c r="P84" i="21"/>
  <c r="K84" i="21" s="1"/>
  <c r="L84" i="21" s="1"/>
  <c r="H84" i="21"/>
  <c r="P83" i="21"/>
  <c r="K83" i="21"/>
  <c r="L83" i="21" s="1"/>
  <c r="H83" i="21"/>
  <c r="P82" i="21"/>
  <c r="K82" i="21" s="1"/>
  <c r="H82" i="21"/>
  <c r="L81" i="21"/>
  <c r="K81" i="21"/>
  <c r="J81" i="21"/>
  <c r="P80" i="21"/>
  <c r="H80" i="21"/>
  <c r="P79" i="21"/>
  <c r="H79" i="21"/>
  <c r="P78" i="21"/>
  <c r="H78" i="21"/>
  <c r="P77" i="21"/>
  <c r="H77" i="21"/>
  <c r="P76" i="21"/>
  <c r="H76" i="21"/>
  <c r="J75" i="21"/>
  <c r="P74" i="21"/>
  <c r="H74" i="21"/>
  <c r="P73" i="21"/>
  <c r="H73" i="21"/>
  <c r="P72" i="21"/>
  <c r="H72" i="21"/>
  <c r="P71" i="21"/>
  <c r="H71" i="21"/>
  <c r="P70" i="21"/>
  <c r="K70" i="21"/>
  <c r="L70" i="21" s="1"/>
  <c r="H70" i="21"/>
  <c r="P69" i="21"/>
  <c r="K69" i="21" s="1"/>
  <c r="L69" i="21" s="1"/>
  <c r="H69" i="21"/>
  <c r="P68" i="21"/>
  <c r="K68" i="21"/>
  <c r="L68" i="21" s="1"/>
  <c r="H68" i="21"/>
  <c r="P67" i="21"/>
  <c r="K67" i="21" s="1"/>
  <c r="L67" i="21"/>
  <c r="H67" i="21"/>
  <c r="P66" i="21"/>
  <c r="K66" i="21" s="1"/>
  <c r="L66" i="21" s="1"/>
  <c r="H66" i="21"/>
  <c r="P65" i="21"/>
  <c r="K65" i="21" s="1"/>
  <c r="H65" i="21"/>
  <c r="L64" i="21"/>
  <c r="K64" i="21"/>
  <c r="J64" i="21"/>
  <c r="P63" i="21"/>
  <c r="H63" i="21"/>
  <c r="P62" i="21"/>
  <c r="H62" i="21"/>
  <c r="P61" i="21"/>
  <c r="H61" i="21"/>
  <c r="P60" i="21"/>
  <c r="H60" i="21"/>
  <c r="P59" i="21"/>
  <c r="H59" i="21"/>
  <c r="P58" i="21"/>
  <c r="H58" i="21"/>
  <c r="P57" i="21"/>
  <c r="H57" i="21"/>
  <c r="P56" i="21"/>
  <c r="H56" i="21"/>
  <c r="P55" i="21"/>
  <c r="H55" i="21"/>
  <c r="P54" i="21"/>
  <c r="H54" i="21"/>
  <c r="P53" i="21"/>
  <c r="H53" i="21"/>
  <c r="P52" i="21"/>
  <c r="H52" i="21"/>
  <c r="J51" i="21"/>
  <c r="P50" i="21"/>
  <c r="H50" i="21"/>
  <c r="P49" i="21"/>
  <c r="H49" i="21"/>
  <c r="P48" i="21"/>
  <c r="P47" i="21"/>
  <c r="H47" i="21"/>
  <c r="P46" i="21"/>
  <c r="H46" i="21"/>
  <c r="P45" i="21"/>
  <c r="H45" i="21"/>
  <c r="P42" i="21"/>
  <c r="K42" i="21"/>
  <c r="L42" i="21" s="1"/>
  <c r="H42" i="21"/>
  <c r="P41" i="21"/>
  <c r="K41" i="21" s="1"/>
  <c r="L41" i="21" s="1"/>
  <c r="H41" i="21"/>
  <c r="P40" i="21"/>
  <c r="K40" i="21"/>
  <c r="L40" i="21" s="1"/>
  <c r="H40" i="21"/>
  <c r="P39" i="21"/>
  <c r="K39" i="21" s="1"/>
  <c r="H39" i="21"/>
  <c r="J38" i="21"/>
  <c r="I1" i="21" s="1"/>
  <c r="P37" i="21"/>
  <c r="H37" i="21"/>
  <c r="P36" i="21"/>
  <c r="H36" i="21"/>
  <c r="P35" i="21"/>
  <c r="H35" i="21"/>
  <c r="P34" i="21"/>
  <c r="H34" i="21"/>
  <c r="P33" i="21"/>
  <c r="H33" i="21"/>
  <c r="P32" i="21"/>
  <c r="H32" i="21"/>
  <c r="P31" i="21"/>
  <c r="H31" i="21"/>
  <c r="P30" i="21"/>
  <c r="H30" i="21"/>
  <c r="P29" i="21"/>
  <c r="K29" i="21" s="1"/>
  <c r="L29" i="21" s="1"/>
  <c r="H29" i="21"/>
  <c r="P28" i="21"/>
  <c r="K28" i="21"/>
  <c r="L28" i="21" s="1"/>
  <c r="H28" i="21"/>
  <c r="P27" i="21"/>
  <c r="K27" i="21" s="1"/>
  <c r="L27" i="21" s="1"/>
  <c r="H27" i="21"/>
  <c r="P26" i="21"/>
  <c r="K26" i="21" s="1"/>
  <c r="L26" i="21" s="1"/>
  <c r="H26" i="21"/>
  <c r="P25" i="21"/>
  <c r="K25" i="21" s="1"/>
  <c r="H25" i="21"/>
  <c r="J24" i="21"/>
  <c r="P23" i="21"/>
  <c r="H23" i="21"/>
  <c r="P22" i="21"/>
  <c r="H22" i="21"/>
  <c r="P21" i="21"/>
  <c r="H21" i="21"/>
  <c r="P20" i="21"/>
  <c r="H20" i="21"/>
  <c r="P18" i="21"/>
  <c r="K18" i="21"/>
  <c r="L18" i="21" s="1"/>
  <c r="H18" i="21"/>
  <c r="P17" i="21"/>
  <c r="K17" i="21" s="1"/>
  <c r="H17" i="21"/>
  <c r="J16" i="21"/>
  <c r="P15" i="21"/>
  <c r="H15" i="21"/>
  <c r="P14" i="21"/>
  <c r="H14" i="21"/>
  <c r="P13" i="21"/>
  <c r="K13" i="21" s="1"/>
  <c r="L13" i="21" s="1"/>
  <c r="H13" i="21"/>
  <c r="P12" i="21"/>
  <c r="K12" i="21" s="1"/>
  <c r="L12" i="21" s="1"/>
  <c r="H12" i="21"/>
  <c r="P11" i="21"/>
  <c r="K11" i="21" s="1"/>
  <c r="L11" i="21" s="1"/>
  <c r="H11" i="21"/>
  <c r="P10" i="21"/>
  <c r="K10" i="21" s="1"/>
  <c r="L10" i="21" s="1"/>
  <c r="H10" i="21"/>
  <c r="P9" i="21"/>
  <c r="K9" i="21"/>
  <c r="L9" i="21" s="1"/>
  <c r="H9" i="21"/>
  <c r="P8" i="21"/>
  <c r="K8" i="21" s="1"/>
  <c r="L8" i="21" s="1"/>
  <c r="H8" i="21"/>
  <c r="P7" i="21"/>
  <c r="K7" i="21" s="1"/>
  <c r="L7" i="21" s="1"/>
  <c r="H7" i="21"/>
  <c r="P6" i="21"/>
  <c r="K6" i="21" s="1"/>
  <c r="L6" i="21" s="1"/>
  <c r="H6" i="21"/>
  <c r="P5" i="21"/>
  <c r="K5" i="21" s="1"/>
  <c r="K16" i="21" s="1"/>
  <c r="H5" i="21"/>
  <c r="I2" i="21"/>
  <c r="E1" i="21"/>
  <c r="L124" i="20"/>
  <c r="K124" i="20"/>
  <c r="J124" i="20"/>
  <c r="P123" i="20"/>
  <c r="H123" i="20"/>
  <c r="P122" i="20"/>
  <c r="P119" i="20"/>
  <c r="H119" i="20"/>
  <c r="P118" i="20"/>
  <c r="H118" i="20"/>
  <c r="P117" i="20"/>
  <c r="H117" i="20"/>
  <c r="P116" i="20"/>
  <c r="H116" i="20"/>
  <c r="P115" i="20"/>
  <c r="H115" i="20"/>
  <c r="P114" i="20"/>
  <c r="H114" i="20"/>
  <c r="P113" i="20"/>
  <c r="H113" i="20"/>
  <c r="P112" i="20"/>
  <c r="H112" i="20"/>
  <c r="J111" i="20"/>
  <c r="P110" i="20"/>
  <c r="H110" i="20"/>
  <c r="P109" i="20"/>
  <c r="H109" i="20"/>
  <c r="P108" i="20"/>
  <c r="H108" i="20"/>
  <c r="P107" i="20"/>
  <c r="H107" i="20"/>
  <c r="P106" i="20"/>
  <c r="H106" i="20"/>
  <c r="P105" i="20"/>
  <c r="K105" i="20"/>
  <c r="L105" i="20" s="1"/>
  <c r="H105" i="20"/>
  <c r="P104" i="20"/>
  <c r="K104" i="20" s="1"/>
  <c r="L104" i="20" s="1"/>
  <c r="H104" i="20"/>
  <c r="P103" i="20"/>
  <c r="K103" i="20" s="1"/>
  <c r="L103" i="20" s="1"/>
  <c r="H103" i="20"/>
  <c r="P102" i="20"/>
  <c r="K102" i="20" s="1"/>
  <c r="L102" i="20" s="1"/>
  <c r="H102" i="20"/>
  <c r="P101" i="20"/>
  <c r="K101" i="20"/>
  <c r="H101" i="20"/>
  <c r="J100" i="20"/>
  <c r="H99" i="20"/>
  <c r="P95" i="20"/>
  <c r="K95" i="20"/>
  <c r="L95" i="20" s="1"/>
  <c r="H95" i="20"/>
  <c r="P94" i="20"/>
  <c r="K94" i="20" s="1"/>
  <c r="L94" i="20" s="1"/>
  <c r="H94" i="20"/>
  <c r="P93" i="20"/>
  <c r="K93" i="20"/>
  <c r="L93" i="20" s="1"/>
  <c r="H93" i="20"/>
  <c r="P92" i="20"/>
  <c r="K92" i="20" s="1"/>
  <c r="H92" i="20"/>
  <c r="J91" i="20"/>
  <c r="P90" i="20"/>
  <c r="H90" i="20"/>
  <c r="P89" i="20"/>
  <c r="H89" i="20"/>
  <c r="P88" i="20"/>
  <c r="P87" i="20"/>
  <c r="P86" i="20"/>
  <c r="K86" i="20"/>
  <c r="L86" i="20" s="1"/>
  <c r="H86" i="20"/>
  <c r="P85" i="20"/>
  <c r="K85" i="20" s="1"/>
  <c r="L85" i="20" s="1"/>
  <c r="H85" i="20"/>
  <c r="P84" i="20"/>
  <c r="K84" i="20" s="1"/>
  <c r="L84" i="20" s="1"/>
  <c r="H84" i="20"/>
  <c r="P83" i="20"/>
  <c r="K83" i="20" s="1"/>
  <c r="L83" i="20" s="1"/>
  <c r="H83" i="20"/>
  <c r="P82" i="20"/>
  <c r="K82" i="20" s="1"/>
  <c r="H82" i="20"/>
  <c r="L81" i="20"/>
  <c r="K81" i="20"/>
  <c r="J81" i="20"/>
  <c r="P80" i="20"/>
  <c r="H80" i="20"/>
  <c r="P79" i="20"/>
  <c r="H79" i="20"/>
  <c r="P78" i="20"/>
  <c r="H78" i="20"/>
  <c r="P77" i="20"/>
  <c r="H77" i="20"/>
  <c r="P76" i="20"/>
  <c r="H76" i="20"/>
  <c r="J75" i="20"/>
  <c r="P74" i="20"/>
  <c r="H74" i="20"/>
  <c r="P73" i="20"/>
  <c r="H73" i="20"/>
  <c r="P72" i="20"/>
  <c r="H72" i="20"/>
  <c r="P71" i="20"/>
  <c r="H71" i="20"/>
  <c r="P70" i="20"/>
  <c r="K70" i="20" s="1"/>
  <c r="L70" i="20" s="1"/>
  <c r="H70" i="20"/>
  <c r="P69" i="20"/>
  <c r="K69" i="20" s="1"/>
  <c r="L69" i="20" s="1"/>
  <c r="H69" i="20"/>
  <c r="P68" i="20"/>
  <c r="K68" i="20" s="1"/>
  <c r="L68" i="20" s="1"/>
  <c r="H68" i="20"/>
  <c r="P67" i="20"/>
  <c r="L67" i="20"/>
  <c r="K67" i="20"/>
  <c r="H67" i="20"/>
  <c r="P66" i="20"/>
  <c r="K66" i="20" s="1"/>
  <c r="H66" i="20"/>
  <c r="P65" i="20"/>
  <c r="K65" i="20" s="1"/>
  <c r="L65" i="20" s="1"/>
  <c r="H65" i="20"/>
  <c r="L64" i="20"/>
  <c r="K64" i="20"/>
  <c r="J64" i="20"/>
  <c r="P63" i="20"/>
  <c r="H63" i="20"/>
  <c r="P62" i="20"/>
  <c r="H62" i="20"/>
  <c r="P61" i="20"/>
  <c r="H61" i="20"/>
  <c r="P60" i="20"/>
  <c r="H60" i="20"/>
  <c r="P59" i="20"/>
  <c r="H59" i="20"/>
  <c r="P58" i="20"/>
  <c r="H58" i="20"/>
  <c r="P57" i="20"/>
  <c r="H57" i="20"/>
  <c r="P56" i="20"/>
  <c r="H56" i="20"/>
  <c r="P55" i="20"/>
  <c r="H55" i="20"/>
  <c r="P54" i="20"/>
  <c r="H54" i="20"/>
  <c r="P53" i="20"/>
  <c r="H53" i="20"/>
  <c r="P52" i="20"/>
  <c r="H52" i="20"/>
  <c r="J51" i="20"/>
  <c r="P50" i="20"/>
  <c r="H50" i="20"/>
  <c r="P49" i="20"/>
  <c r="H49" i="20"/>
  <c r="P48" i="20"/>
  <c r="P47" i="20"/>
  <c r="H47" i="20"/>
  <c r="P46" i="20"/>
  <c r="H46" i="20"/>
  <c r="P45" i="20"/>
  <c r="H45" i="20"/>
  <c r="P44" i="20"/>
  <c r="H44" i="20"/>
  <c r="P43" i="20"/>
  <c r="H43" i="20"/>
  <c r="P42" i="20"/>
  <c r="K42" i="20" s="1"/>
  <c r="L42" i="20" s="1"/>
  <c r="H42" i="20"/>
  <c r="P41" i="20"/>
  <c r="K41" i="20"/>
  <c r="L41" i="20" s="1"/>
  <c r="H41" i="20"/>
  <c r="P40" i="20"/>
  <c r="K40" i="20" s="1"/>
  <c r="L40" i="20" s="1"/>
  <c r="H40" i="20"/>
  <c r="P39" i="20"/>
  <c r="K39" i="20"/>
  <c r="H39" i="20"/>
  <c r="J38" i="20"/>
  <c r="P37" i="20"/>
  <c r="H37" i="20"/>
  <c r="P36" i="20"/>
  <c r="H36" i="20"/>
  <c r="P35" i="20"/>
  <c r="H35" i="20"/>
  <c r="P34" i="20"/>
  <c r="H34" i="20"/>
  <c r="P33" i="20"/>
  <c r="H33" i="20"/>
  <c r="P32" i="20"/>
  <c r="H32" i="20"/>
  <c r="P31" i="20"/>
  <c r="H31" i="20"/>
  <c r="P30" i="20"/>
  <c r="H30" i="20"/>
  <c r="P29" i="20"/>
  <c r="K29" i="20" s="1"/>
  <c r="L29" i="20" s="1"/>
  <c r="H29" i="20"/>
  <c r="P28" i="20"/>
  <c r="K28" i="20" s="1"/>
  <c r="L28" i="20" s="1"/>
  <c r="H28" i="20"/>
  <c r="P27" i="20"/>
  <c r="K27" i="20" s="1"/>
  <c r="L27" i="20" s="1"/>
  <c r="H27" i="20"/>
  <c r="P26" i="20"/>
  <c r="K26" i="20" s="1"/>
  <c r="L26" i="20" s="1"/>
  <c r="H26" i="20"/>
  <c r="P25" i="20"/>
  <c r="K25" i="20" s="1"/>
  <c r="H25" i="20"/>
  <c r="J24" i="20"/>
  <c r="I1" i="20" s="1"/>
  <c r="P23" i="20"/>
  <c r="H23" i="20"/>
  <c r="P22" i="20"/>
  <c r="H22" i="20"/>
  <c r="P21" i="20"/>
  <c r="H21" i="20"/>
  <c r="P20" i="20"/>
  <c r="H20" i="20"/>
  <c r="H19" i="20"/>
  <c r="P18" i="20"/>
  <c r="K18" i="20" s="1"/>
  <c r="L18" i="20" s="1"/>
  <c r="H18" i="20"/>
  <c r="P17" i="20"/>
  <c r="K17" i="20"/>
  <c r="K24" i="20" s="1"/>
  <c r="H17" i="20"/>
  <c r="J16" i="20"/>
  <c r="P15" i="20"/>
  <c r="H15" i="20"/>
  <c r="P14" i="20"/>
  <c r="H14" i="20"/>
  <c r="P13" i="20"/>
  <c r="K13" i="20" s="1"/>
  <c r="L13" i="20" s="1"/>
  <c r="H13" i="20"/>
  <c r="P12" i="20"/>
  <c r="K12" i="20" s="1"/>
  <c r="L12" i="20" s="1"/>
  <c r="H12" i="20"/>
  <c r="P11" i="20"/>
  <c r="K11" i="20" s="1"/>
  <c r="L11" i="20" s="1"/>
  <c r="H11" i="20"/>
  <c r="P10" i="20"/>
  <c r="K10" i="20" s="1"/>
  <c r="L10" i="20" s="1"/>
  <c r="H10" i="20"/>
  <c r="P9" i="20"/>
  <c r="K9" i="20" s="1"/>
  <c r="L9" i="20" s="1"/>
  <c r="H9" i="20"/>
  <c r="P8" i="20"/>
  <c r="K8" i="20" s="1"/>
  <c r="L8" i="20" s="1"/>
  <c r="H8" i="20"/>
  <c r="P7" i="20"/>
  <c r="K7" i="20" s="1"/>
  <c r="L7" i="20" s="1"/>
  <c r="H7" i="20"/>
  <c r="P6" i="20"/>
  <c r="K6" i="20"/>
  <c r="L6" i="20" s="1"/>
  <c r="H6" i="20"/>
  <c r="P5" i="20"/>
  <c r="K5" i="20" s="1"/>
  <c r="H5" i="20"/>
  <c r="I2" i="20"/>
  <c r="E1" i="20"/>
  <c r="K91" i="20" l="1"/>
  <c r="L91" i="22"/>
  <c r="K51" i="22"/>
  <c r="K38" i="23"/>
  <c r="L38" i="24"/>
  <c r="K111" i="21"/>
  <c r="K51" i="20"/>
  <c r="L24" i="22"/>
  <c r="K111" i="20"/>
  <c r="G1" i="21"/>
  <c r="G2" i="21" s="1"/>
  <c r="K75" i="21"/>
  <c r="K75" i="23"/>
  <c r="I1" i="23"/>
  <c r="G1" i="22"/>
  <c r="G2" i="22" s="1"/>
  <c r="G1" i="20"/>
  <c r="G2" i="20" s="1"/>
  <c r="K100" i="20"/>
  <c r="L92" i="20"/>
  <c r="L100" i="20" s="1"/>
  <c r="K38" i="21"/>
  <c r="L25" i="21"/>
  <c r="L38" i="21" s="1"/>
  <c r="L39" i="21"/>
  <c r="L51" i="21" s="1"/>
  <c r="K51" i="21"/>
  <c r="K16" i="20"/>
  <c r="L5" i="20"/>
  <c r="L16" i="20" s="1"/>
  <c r="K75" i="20"/>
  <c r="L66" i="20"/>
  <c r="L75" i="20" s="1"/>
  <c r="K24" i="21"/>
  <c r="L17" i="21"/>
  <c r="L24" i="21" s="1"/>
  <c r="K38" i="20"/>
  <c r="L25" i="20"/>
  <c r="L38" i="20" s="1"/>
  <c r="L39" i="20"/>
  <c r="L51" i="20" s="1"/>
  <c r="L65" i="21"/>
  <c r="L75" i="21" s="1"/>
  <c r="K91" i="21"/>
  <c r="L82" i="21"/>
  <c r="L91" i="21" s="1"/>
  <c r="L103" i="21"/>
  <c r="L111" i="21" s="1"/>
  <c r="K75" i="22"/>
  <c r="L65" i="22"/>
  <c r="L75" i="22" s="1"/>
  <c r="K100" i="22"/>
  <c r="L92" i="22"/>
  <c r="L100" i="22" s="1"/>
  <c r="K100" i="21"/>
  <c r="K16" i="22"/>
  <c r="L5" i="22"/>
  <c r="L16" i="22" s="1"/>
  <c r="K91" i="22"/>
  <c r="G1" i="23"/>
  <c r="G2" i="23" s="1"/>
  <c r="L17" i="20"/>
  <c r="L24" i="20" s="1"/>
  <c r="L5" i="21"/>
  <c r="L16" i="21" s="1"/>
  <c r="L92" i="21"/>
  <c r="L100" i="21" s="1"/>
  <c r="L82" i="20"/>
  <c r="L91" i="20" s="1"/>
  <c r="L101" i="20"/>
  <c r="L111" i="20" s="1"/>
  <c r="K111" i="22"/>
  <c r="L101" i="22"/>
  <c r="L111" i="22" s="1"/>
  <c r="K24" i="22"/>
  <c r="K38" i="22"/>
  <c r="L100" i="23"/>
  <c r="K16" i="24"/>
  <c r="L5" i="24"/>
  <c r="L16" i="24" s="1"/>
  <c r="L91" i="24"/>
  <c r="L100" i="24"/>
  <c r="K16" i="23"/>
  <c r="L5" i="23"/>
  <c r="L16" i="23" s="1"/>
  <c r="L39" i="22"/>
  <c r="L51" i="22" s="1"/>
  <c r="K24" i="23"/>
  <c r="L25" i="23"/>
  <c r="L38" i="23" s="1"/>
  <c r="K111" i="23"/>
  <c r="L101" i="23"/>
  <c r="L111" i="23" s="1"/>
  <c r="L65" i="24"/>
  <c r="L75" i="24" s="1"/>
  <c r="K75" i="24"/>
  <c r="K111" i="24"/>
  <c r="L101" i="24"/>
  <c r="L111" i="24" s="1"/>
  <c r="L17" i="23"/>
  <c r="L24" i="23" s="1"/>
  <c r="K51" i="23"/>
  <c r="L39" i="23"/>
  <c r="L51" i="23" s="1"/>
  <c r="G1" i="24"/>
  <c r="G2" i="24" s="1"/>
  <c r="K91" i="24"/>
  <c r="L65" i="23"/>
  <c r="L75" i="23" s="1"/>
  <c r="L82" i="23"/>
  <c r="L91" i="23" s="1"/>
  <c r="K100" i="23"/>
  <c r="K51" i="24"/>
  <c r="K24" i="24"/>
  <c r="K38" i="24"/>
  <c r="K100" i="24"/>
  <c r="E2" i="21" l="1"/>
  <c r="E2" i="22"/>
  <c r="E2" i="23"/>
  <c r="E2" i="24"/>
  <c r="E2" i="20"/>
  <c r="AE173" i="17" l="1"/>
  <c r="AD173" i="17"/>
  <c r="AA173" i="17"/>
  <c r="Z173" i="17"/>
  <c r="M173" i="17"/>
  <c r="W172" i="17"/>
  <c r="H172" i="17"/>
  <c r="W171" i="17"/>
  <c r="H171" i="17"/>
  <c r="AG170" i="17"/>
  <c r="AF170" i="17"/>
  <c r="W170" i="17"/>
  <c r="H170" i="17"/>
  <c r="AG169" i="17"/>
  <c r="AF169" i="17"/>
  <c r="W169" i="17"/>
  <c r="H169" i="17"/>
  <c r="AG168" i="17"/>
  <c r="AF168" i="17"/>
  <c r="H168" i="17"/>
  <c r="AG167" i="17"/>
  <c r="AF167" i="17"/>
  <c r="H167" i="17"/>
  <c r="AG166" i="17"/>
  <c r="AF166" i="17"/>
  <c r="H166" i="17"/>
  <c r="W165" i="17"/>
  <c r="P165" i="17"/>
  <c r="N165" i="17"/>
  <c r="AF165" i="17" s="1"/>
  <c r="H165" i="17"/>
  <c r="W164" i="17"/>
  <c r="P164" i="17"/>
  <c r="N164" i="17"/>
  <c r="AF164" i="17" s="1"/>
  <c r="H164" i="17"/>
  <c r="W163" i="17"/>
  <c r="N163" i="17" s="1"/>
  <c r="O163" i="17" s="1"/>
  <c r="P163" i="17"/>
  <c r="H163" i="17"/>
  <c r="W162" i="17"/>
  <c r="N162" i="17"/>
  <c r="AG162" i="17" s="1"/>
  <c r="P162" i="17"/>
  <c r="H162" i="17"/>
  <c r="W161" i="17"/>
  <c r="N161" i="17"/>
  <c r="AF161" i="17" s="1"/>
  <c r="P161" i="17"/>
  <c r="H161" i="17"/>
  <c r="AE160" i="17"/>
  <c r="AD160" i="17"/>
  <c r="AA160" i="17"/>
  <c r="Z160" i="17"/>
  <c r="M160" i="17"/>
  <c r="W159" i="17"/>
  <c r="H159" i="17"/>
  <c r="W158" i="17"/>
  <c r="H158" i="17"/>
  <c r="W157" i="17"/>
  <c r="H157" i="17"/>
  <c r="W156" i="17"/>
  <c r="H156" i="17"/>
  <c r="W155" i="17"/>
  <c r="H155" i="17"/>
  <c r="AG154" i="17"/>
  <c r="AF154" i="17"/>
  <c r="W154" i="17"/>
  <c r="H154" i="17"/>
  <c r="AG153" i="17"/>
  <c r="AF153" i="17"/>
  <c r="W153" i="17"/>
  <c r="H153" i="17"/>
  <c r="AG152" i="17"/>
  <c r="AF152" i="17"/>
  <c r="H152" i="17"/>
  <c r="AG151" i="17"/>
  <c r="AF151" i="17"/>
  <c r="W151" i="17"/>
  <c r="H151" i="17"/>
  <c r="W150" i="17"/>
  <c r="N150" i="17" s="1"/>
  <c r="P150" i="17"/>
  <c r="H150" i="17"/>
  <c r="W149" i="17"/>
  <c r="N149" i="17" s="1"/>
  <c r="P149" i="17"/>
  <c r="H149" i="17"/>
  <c r="W148" i="17"/>
  <c r="N148" i="17" s="1"/>
  <c r="H148" i="17"/>
  <c r="AE147" i="17"/>
  <c r="AD147" i="17"/>
  <c r="AA147" i="17"/>
  <c r="Z147" i="17"/>
  <c r="W147" i="17"/>
  <c r="M147" i="17"/>
  <c r="W146" i="17"/>
  <c r="H146" i="17"/>
  <c r="AG145" i="17"/>
  <c r="AF145" i="17"/>
  <c r="W145" i="17"/>
  <c r="H145" i="17"/>
  <c r="W144" i="17"/>
  <c r="P144" i="17"/>
  <c r="N144" i="17"/>
  <c r="AG144" i="17" s="1"/>
  <c r="H144" i="17"/>
  <c r="W143" i="17"/>
  <c r="N143" i="17" s="1"/>
  <c r="O143" i="17" s="1"/>
  <c r="P143" i="17"/>
  <c r="H143" i="17"/>
  <c r="W142" i="17"/>
  <c r="N142" i="17" s="1"/>
  <c r="P142" i="17"/>
  <c r="H142" i="17"/>
  <c r="W141" i="17"/>
  <c r="N141" i="17"/>
  <c r="O141" i="17" s="1"/>
  <c r="P141" i="17"/>
  <c r="H141" i="17"/>
  <c r="W140" i="17"/>
  <c r="P140" i="17"/>
  <c r="N140" i="17"/>
  <c r="AG140" i="17" s="1"/>
  <c r="H140" i="17"/>
  <c r="W139" i="17"/>
  <c r="N139" i="17" s="1"/>
  <c r="O139" i="17" s="1"/>
  <c r="P139" i="17"/>
  <c r="H139" i="17"/>
  <c r="W138" i="17"/>
  <c r="P138" i="17"/>
  <c r="N138" i="17"/>
  <c r="AG138" i="17" s="1"/>
  <c r="H138" i="17"/>
  <c r="W137" i="17"/>
  <c r="P137" i="17"/>
  <c r="N137" i="17"/>
  <c r="O137" i="17" s="1"/>
  <c r="H137" i="17"/>
  <c r="W136" i="17"/>
  <c r="N136" i="17" s="1"/>
  <c r="AG136" i="17" s="1"/>
  <c r="P136" i="17"/>
  <c r="H136" i="17"/>
  <c r="W135" i="17"/>
  <c r="N135" i="17" s="1"/>
  <c r="P135" i="17"/>
  <c r="H135" i="17"/>
  <c r="AE134" i="17"/>
  <c r="AD134" i="17"/>
  <c r="AA134" i="17"/>
  <c r="Z134" i="17"/>
  <c r="M134" i="17"/>
  <c r="W133" i="17"/>
  <c r="H133" i="17"/>
  <c r="W132" i="17"/>
  <c r="H132" i="17"/>
  <c r="W131" i="17"/>
  <c r="H131" i="17"/>
  <c r="W130" i="17"/>
  <c r="H130" i="17"/>
  <c r="W129" i="17"/>
  <c r="P129" i="17"/>
  <c r="N129" i="17"/>
  <c r="O129" i="17" s="1"/>
  <c r="H129" i="17"/>
  <c r="W128" i="17"/>
  <c r="N128" i="17" s="1"/>
  <c r="O128" i="17" s="1"/>
  <c r="P128" i="17"/>
  <c r="H128" i="17"/>
  <c r="W127" i="17"/>
  <c r="P127" i="17"/>
  <c r="N127" i="17"/>
  <c r="O127" i="17" s="1"/>
  <c r="H127" i="17"/>
  <c r="W126" i="17"/>
  <c r="N126" i="17"/>
  <c r="O126" i="17" s="1"/>
  <c r="P126" i="17"/>
  <c r="H126" i="17"/>
  <c r="W125" i="17"/>
  <c r="P125" i="17"/>
  <c r="N125" i="17"/>
  <c r="O125" i="17" s="1"/>
  <c r="H125" i="17"/>
  <c r="W124" i="17"/>
  <c r="N124" i="17" s="1"/>
  <c r="O124" i="17" s="1"/>
  <c r="P124" i="17"/>
  <c r="H124" i="17"/>
  <c r="W123" i="17"/>
  <c r="P123" i="17"/>
  <c r="N123" i="17"/>
  <c r="O123" i="17" s="1"/>
  <c r="H123" i="17"/>
  <c r="W122" i="17"/>
  <c r="N122" i="17" s="1"/>
  <c r="P122" i="17"/>
  <c r="H122" i="17"/>
  <c r="AE121" i="17"/>
  <c r="AD121" i="17"/>
  <c r="AA121" i="17"/>
  <c r="Z121" i="17"/>
  <c r="W121" i="17"/>
  <c r="M121" i="17"/>
  <c r="W120" i="17"/>
  <c r="H120" i="17"/>
  <c r="W119" i="17"/>
  <c r="H119" i="17"/>
  <c r="W118" i="17"/>
  <c r="H118" i="17"/>
  <c r="AG117" i="17"/>
  <c r="AF117" i="17"/>
  <c r="W117" i="17"/>
  <c r="H117" i="17"/>
  <c r="AG116" i="17"/>
  <c r="AF116" i="17"/>
  <c r="W116" i="17"/>
  <c r="H116" i="17"/>
  <c r="AG115" i="17"/>
  <c r="AF115" i="17"/>
  <c r="W115" i="17"/>
  <c r="H115" i="17"/>
  <c r="AG114" i="17"/>
  <c r="AF114" i="17"/>
  <c r="H114" i="17"/>
  <c r="W113" i="17"/>
  <c r="N113" i="17" s="1"/>
  <c r="P113" i="17"/>
  <c r="H113" i="17"/>
  <c r="W112" i="17"/>
  <c r="N112" i="17" s="1"/>
  <c r="O112" i="17"/>
  <c r="P112" i="17"/>
  <c r="H112" i="17"/>
  <c r="W111" i="17"/>
  <c r="P111" i="17"/>
  <c r="N111" i="17"/>
  <c r="O111" i="17" s="1"/>
  <c r="R111" i="17" s="1"/>
  <c r="H111" i="17"/>
  <c r="W110" i="17"/>
  <c r="N110" i="17" s="1"/>
  <c r="P110" i="17"/>
  <c r="H110" i="17"/>
  <c r="W109" i="17"/>
  <c r="N109" i="17" s="1"/>
  <c r="P109" i="17"/>
  <c r="H109" i="17"/>
  <c r="AE108" i="17"/>
  <c r="AD108" i="17"/>
  <c r="AA108" i="17"/>
  <c r="Z108" i="17"/>
  <c r="W108" i="17"/>
  <c r="M108" i="17"/>
  <c r="W107" i="17"/>
  <c r="H107" i="17"/>
  <c r="W106" i="17"/>
  <c r="H106" i="17"/>
  <c r="W105" i="17"/>
  <c r="H105" i="17"/>
  <c r="W104" i="17"/>
  <c r="N104" i="17" s="1"/>
  <c r="O104" i="17" s="1"/>
  <c r="H104" i="17"/>
  <c r="W103" i="17"/>
  <c r="N103" i="17" s="1"/>
  <c r="AG103" i="17" s="1"/>
  <c r="O103" i="17"/>
  <c r="P103" i="17"/>
  <c r="H103" i="17"/>
  <c r="W102" i="17"/>
  <c r="N102" i="17" s="1"/>
  <c r="P102" i="17"/>
  <c r="H102" i="17"/>
  <c r="W101" i="17"/>
  <c r="N101" i="17" s="1"/>
  <c r="P101" i="17"/>
  <c r="H101" i="17"/>
  <c r="W100" i="17"/>
  <c r="N100" i="17" s="1"/>
  <c r="P100" i="17"/>
  <c r="H100" i="17"/>
  <c r="W99" i="17"/>
  <c r="N99" i="17" s="1"/>
  <c r="P99" i="17"/>
  <c r="H99" i="17"/>
  <c r="W98" i="17"/>
  <c r="N98" i="17" s="1"/>
  <c r="P98" i="17"/>
  <c r="H98" i="17"/>
  <c r="W97" i="17"/>
  <c r="N97" i="17" s="1"/>
  <c r="P97" i="17"/>
  <c r="H97" i="17"/>
  <c r="W96" i="17"/>
  <c r="N96" i="17" s="1"/>
  <c r="P96" i="17"/>
  <c r="H96" i="17"/>
  <c r="AE95" i="17"/>
  <c r="AD95" i="17"/>
  <c r="AA95" i="17"/>
  <c r="Z95" i="17"/>
  <c r="M95" i="17"/>
  <c r="AG94" i="17"/>
  <c r="AF94" i="17"/>
  <c r="W94" i="17"/>
  <c r="H94" i="17"/>
  <c r="AG93" i="17"/>
  <c r="AF93" i="17"/>
  <c r="W93" i="17"/>
  <c r="H93" i="17"/>
  <c r="AG92" i="17"/>
  <c r="AF92" i="17"/>
  <c r="W92" i="17"/>
  <c r="H92" i="17"/>
  <c r="W91" i="17"/>
  <c r="N91" i="17" s="1"/>
  <c r="P91" i="17"/>
  <c r="H91" i="17"/>
  <c r="W90" i="17"/>
  <c r="N90" i="17" s="1"/>
  <c r="O90" i="17"/>
  <c r="P90" i="17"/>
  <c r="H90" i="17"/>
  <c r="W89" i="17"/>
  <c r="N89" i="17" s="1"/>
  <c r="P89" i="17"/>
  <c r="H89" i="17"/>
  <c r="W88" i="17"/>
  <c r="N88" i="17" s="1"/>
  <c r="O88" i="17"/>
  <c r="P88" i="17"/>
  <c r="H88" i="17"/>
  <c r="W87" i="17"/>
  <c r="P87" i="17"/>
  <c r="N87" i="17"/>
  <c r="O87" i="17" s="1"/>
  <c r="Q87" i="17" s="1"/>
  <c r="H87" i="17"/>
  <c r="W86" i="17"/>
  <c r="N86" i="17" s="1"/>
  <c r="P86" i="17"/>
  <c r="H86" i="17"/>
  <c r="W85" i="17"/>
  <c r="N85" i="17" s="1"/>
  <c r="P85" i="17"/>
  <c r="H85" i="17"/>
  <c r="W84" i="17"/>
  <c r="N84" i="17" s="1"/>
  <c r="O84" i="17" s="1"/>
  <c r="P84" i="17"/>
  <c r="H84" i="17"/>
  <c r="W83" i="17"/>
  <c r="N83" i="17"/>
  <c r="AG83" i="17" s="1"/>
  <c r="P83" i="17"/>
  <c r="H83" i="17"/>
  <c r="AE82" i="17"/>
  <c r="AD82" i="17"/>
  <c r="AA82" i="17"/>
  <c r="Z82" i="17"/>
  <c r="M82" i="17"/>
  <c r="W81" i="17"/>
  <c r="AG80" i="17"/>
  <c r="AF80" i="17"/>
  <c r="W80" i="17"/>
  <c r="H80" i="17"/>
  <c r="AG79" i="17"/>
  <c r="AF79" i="17"/>
  <c r="W79" i="17"/>
  <c r="H79" i="17"/>
  <c r="W78" i="17"/>
  <c r="N78" i="17"/>
  <c r="P78" i="17"/>
  <c r="H78" i="17"/>
  <c r="W77" i="17"/>
  <c r="N77" i="17" s="1"/>
  <c r="AF77" i="17" s="1"/>
  <c r="P77" i="17"/>
  <c r="H77" i="17"/>
  <c r="W76" i="17"/>
  <c r="N76" i="17"/>
  <c r="P76" i="17"/>
  <c r="H76" i="17"/>
  <c r="W75" i="17"/>
  <c r="N75" i="17" s="1"/>
  <c r="AF75" i="17" s="1"/>
  <c r="P75" i="17"/>
  <c r="H75" i="17"/>
  <c r="W74" i="17"/>
  <c r="N74" i="17" s="1"/>
  <c r="H74" i="17"/>
  <c r="W73" i="17"/>
  <c r="N73" i="17" s="1"/>
  <c r="P73" i="17"/>
  <c r="H73" i="17"/>
  <c r="W72" i="17"/>
  <c r="N72" i="17"/>
  <c r="H72" i="17"/>
  <c r="W71" i="17"/>
  <c r="N71" i="17" s="1"/>
  <c r="P71" i="17"/>
  <c r="H71" i="17"/>
  <c r="W70" i="17"/>
  <c r="N70" i="17" s="1"/>
  <c r="P70" i="17"/>
  <c r="P82" i="17"/>
  <c r="H70" i="17"/>
  <c r="AE69" i="17"/>
  <c r="AD69" i="17"/>
  <c r="AA69" i="17"/>
  <c r="Z69" i="17"/>
  <c r="W69" i="17"/>
  <c r="M69" i="17"/>
  <c r="W68" i="17"/>
  <c r="H68" i="17"/>
  <c r="AG67" i="17"/>
  <c r="AF67" i="17"/>
  <c r="W67" i="17"/>
  <c r="H67" i="17"/>
  <c r="AG66" i="17"/>
  <c r="AF66" i="17"/>
  <c r="W66" i="17"/>
  <c r="H66" i="17"/>
  <c r="AG65" i="17"/>
  <c r="AF65" i="17"/>
  <c r="W65" i="17"/>
  <c r="H65" i="17"/>
  <c r="AG64" i="17"/>
  <c r="AF64" i="17"/>
  <c r="H64" i="17"/>
  <c r="AG63" i="17"/>
  <c r="AF63" i="17"/>
  <c r="H63" i="17"/>
  <c r="AG62" i="17"/>
  <c r="AF62" i="17"/>
  <c r="H62" i="17"/>
  <c r="W61" i="17"/>
  <c r="N61" i="17" s="1"/>
  <c r="P61" i="17"/>
  <c r="H61" i="17"/>
  <c r="W60" i="17"/>
  <c r="N60" i="17" s="1"/>
  <c r="P60" i="17"/>
  <c r="H60" i="17"/>
  <c r="W59" i="17"/>
  <c r="N59" i="17" s="1"/>
  <c r="P59" i="17"/>
  <c r="H59" i="17"/>
  <c r="W58" i="17"/>
  <c r="N58" i="17" s="1"/>
  <c r="P58" i="17"/>
  <c r="H58" i="17"/>
  <c r="W57" i="17"/>
  <c r="N57" i="17" s="1"/>
  <c r="P57" i="17"/>
  <c r="H57" i="17"/>
  <c r="AE56" i="17"/>
  <c r="AD56" i="17"/>
  <c r="AA56" i="17"/>
  <c r="Z56" i="17"/>
  <c r="W56" i="17"/>
  <c r="M56" i="17"/>
  <c r="W55" i="17"/>
  <c r="H55" i="17"/>
  <c r="W54" i="17"/>
  <c r="H54" i="17"/>
  <c r="W53" i="17"/>
  <c r="H53" i="17"/>
  <c r="AG52" i="17"/>
  <c r="AF52" i="17"/>
  <c r="W52" i="17"/>
  <c r="H52" i="17"/>
  <c r="AG51" i="17"/>
  <c r="AF51" i="17"/>
  <c r="W51" i="17"/>
  <c r="AG50" i="17"/>
  <c r="AF50" i="17"/>
  <c r="H50" i="17"/>
  <c r="W49" i="17"/>
  <c r="N49" i="17" s="1"/>
  <c r="O49" i="17"/>
  <c r="H49" i="17"/>
  <c r="W48" i="17"/>
  <c r="N48" i="17" s="1"/>
  <c r="AG48" i="17" s="1"/>
  <c r="P48" i="17"/>
  <c r="H48" i="17"/>
  <c r="W47" i="17"/>
  <c r="N47" i="17" s="1"/>
  <c r="O47" i="17" s="1"/>
  <c r="H47" i="17"/>
  <c r="W46" i="17"/>
  <c r="N46" i="17" s="1"/>
  <c r="P46" i="17"/>
  <c r="H46" i="17"/>
  <c r="W45" i="17"/>
  <c r="N45" i="17" s="1"/>
  <c r="O45" i="17"/>
  <c r="H45" i="17"/>
  <c r="W44" i="17"/>
  <c r="N44" i="17" s="1"/>
  <c r="O44" i="17" s="1"/>
  <c r="H44" i="17"/>
  <c r="AE43" i="17"/>
  <c r="AD43" i="17"/>
  <c r="AA43" i="17"/>
  <c r="Z43" i="17"/>
  <c r="M43" i="17"/>
  <c r="W42" i="17"/>
  <c r="H42" i="17"/>
  <c r="W41" i="17"/>
  <c r="W40" i="17"/>
  <c r="H40" i="17"/>
  <c r="H39" i="17"/>
  <c r="AG38" i="17"/>
  <c r="AF38" i="17"/>
  <c r="H38" i="17"/>
  <c r="AG37" i="17"/>
  <c r="AF37" i="17"/>
  <c r="H37" i="17"/>
  <c r="AG36" i="17"/>
  <c r="AF36" i="17"/>
  <c r="H36" i="17"/>
  <c r="AG35" i="17"/>
  <c r="AF35" i="17"/>
  <c r="H35" i="17"/>
  <c r="W34" i="17"/>
  <c r="N34" i="17" s="1"/>
  <c r="O34" i="17" s="1"/>
  <c r="H34" i="17"/>
  <c r="W33" i="17"/>
  <c r="N33" i="17" s="1"/>
  <c r="AG33" i="17" s="1"/>
  <c r="P33" i="17"/>
  <c r="H33" i="17"/>
  <c r="W32" i="17"/>
  <c r="N32" i="17" s="1"/>
  <c r="O32" i="17" s="1"/>
  <c r="H32" i="17"/>
  <c r="W31" i="17"/>
  <c r="N31" i="17" s="1"/>
  <c r="AF31" i="17" s="1"/>
  <c r="H31" i="17"/>
  <c r="AE30" i="17"/>
  <c r="AD30" i="17"/>
  <c r="AA30" i="17"/>
  <c r="Z30" i="17"/>
  <c r="M30" i="17"/>
  <c r="AF29" i="17"/>
  <c r="W29" i="17"/>
  <c r="H29" i="17"/>
  <c r="AF28" i="17"/>
  <c r="W28" i="17"/>
  <c r="H28" i="17"/>
  <c r="AF27" i="17"/>
  <c r="W27" i="17"/>
  <c r="H27" i="17"/>
  <c r="AF26" i="17"/>
  <c r="W26" i="17"/>
  <c r="AF25" i="17"/>
  <c r="W25" i="17"/>
  <c r="W24" i="17"/>
  <c r="N24" i="17" s="1"/>
  <c r="AF24" i="17" s="1"/>
  <c r="P24" i="17"/>
  <c r="H24" i="17"/>
  <c r="W23" i="17"/>
  <c r="N23" i="17" s="1"/>
  <c r="O23" i="17" s="1"/>
  <c r="Q23" i="17" s="1"/>
  <c r="P23" i="17"/>
  <c r="H23" i="17"/>
  <c r="W22" i="17"/>
  <c r="N22" i="17"/>
  <c r="AF22" i="17" s="1"/>
  <c r="P22" i="17"/>
  <c r="H22" i="17"/>
  <c r="W21" i="17"/>
  <c r="N21" i="17" s="1"/>
  <c r="AF21" i="17" s="1"/>
  <c r="P21" i="17"/>
  <c r="H21" i="17"/>
  <c r="W20" i="17"/>
  <c r="N20" i="17" s="1"/>
  <c r="AF20" i="17" s="1"/>
  <c r="P20" i="17"/>
  <c r="H20" i="17"/>
  <c r="W19" i="17"/>
  <c r="N19" i="17" s="1"/>
  <c r="AG19" i="17" s="1"/>
  <c r="P19" i="17"/>
  <c r="H19" i="17"/>
  <c r="W18" i="17"/>
  <c r="N18" i="17" s="1"/>
  <c r="AG18" i="17" s="1"/>
  <c r="P18" i="17"/>
  <c r="H18" i="17"/>
  <c r="AE17" i="17"/>
  <c r="AE2" i="17" s="1"/>
  <c r="AD17" i="17"/>
  <c r="AD2" i="17" s="1"/>
  <c r="AA17" i="17"/>
  <c r="Z17" i="17"/>
  <c r="W17" i="17"/>
  <c r="M17" i="17"/>
  <c r="I1" i="17" s="1"/>
  <c r="W16" i="17"/>
  <c r="H16" i="17"/>
  <c r="W15" i="17"/>
  <c r="H15" i="17"/>
  <c r="W14" i="17"/>
  <c r="H14" i="17"/>
  <c r="W13" i="17"/>
  <c r="H13" i="17"/>
  <c r="W12" i="17"/>
  <c r="N12" i="17" s="1"/>
  <c r="O12" i="17" s="1"/>
  <c r="P12" i="17"/>
  <c r="H12" i="17"/>
  <c r="W11" i="17"/>
  <c r="P11" i="17"/>
  <c r="N11" i="17"/>
  <c r="AG11" i="17" s="1"/>
  <c r="H11" i="17"/>
  <c r="W10" i="17"/>
  <c r="N10" i="17" s="1"/>
  <c r="P10" i="17"/>
  <c r="H10" i="17"/>
  <c r="W9" i="17"/>
  <c r="N9" i="17"/>
  <c r="AG9" i="17" s="1"/>
  <c r="P9" i="17"/>
  <c r="H9" i="17"/>
  <c r="W8" i="17"/>
  <c r="N8" i="17" s="1"/>
  <c r="P8" i="17"/>
  <c r="H8" i="17"/>
  <c r="W7" i="17"/>
  <c r="N7" i="17" s="1"/>
  <c r="AG7" i="17" s="1"/>
  <c r="P7" i="17"/>
  <c r="H7" i="17"/>
  <c r="W6" i="17"/>
  <c r="N6" i="17" s="1"/>
  <c r="P6" i="17"/>
  <c r="H6" i="17"/>
  <c r="W5" i="17"/>
  <c r="N5" i="17" s="1"/>
  <c r="P5" i="17"/>
  <c r="P17" i="17"/>
  <c r="H5" i="17"/>
  <c r="AA2" i="17"/>
  <c r="Z2" i="17"/>
  <c r="I2" i="17"/>
  <c r="E1" i="17"/>
  <c r="AE173" i="16"/>
  <c r="AD173" i="16"/>
  <c r="AA173" i="16"/>
  <c r="Z173" i="16"/>
  <c r="M173" i="16"/>
  <c r="W172" i="16"/>
  <c r="H172" i="16"/>
  <c r="W171" i="16"/>
  <c r="H171" i="16"/>
  <c r="AG170" i="16"/>
  <c r="AF170" i="16"/>
  <c r="W170" i="16"/>
  <c r="H170" i="16"/>
  <c r="AG169" i="16"/>
  <c r="AF169" i="16"/>
  <c r="W169" i="16"/>
  <c r="H169" i="16"/>
  <c r="AG168" i="16"/>
  <c r="AF168" i="16"/>
  <c r="H168" i="16"/>
  <c r="AG167" i="16"/>
  <c r="AF167" i="16"/>
  <c r="H167" i="16"/>
  <c r="AG166" i="16"/>
  <c r="AF166" i="16"/>
  <c r="H166" i="16"/>
  <c r="W165" i="16"/>
  <c r="N165" i="16" s="1"/>
  <c r="P165" i="16"/>
  <c r="H165" i="16"/>
  <c r="W164" i="16"/>
  <c r="N164" i="16" s="1"/>
  <c r="P164" i="16"/>
  <c r="H164" i="16"/>
  <c r="W163" i="16"/>
  <c r="N163" i="16" s="1"/>
  <c r="AG163" i="16" s="1"/>
  <c r="P163" i="16"/>
  <c r="H163" i="16"/>
  <c r="W162" i="16"/>
  <c r="N162" i="16" s="1"/>
  <c r="O162" i="16" s="1"/>
  <c r="P162" i="16"/>
  <c r="H162" i="16"/>
  <c r="W161" i="16"/>
  <c r="N161" i="16" s="1"/>
  <c r="P161" i="16"/>
  <c r="P173" i="16"/>
  <c r="H161" i="16"/>
  <c r="AE160" i="16"/>
  <c r="AD160" i="16"/>
  <c r="AA160" i="16"/>
  <c r="Z160" i="16"/>
  <c r="M160" i="16"/>
  <c r="W159" i="16"/>
  <c r="H159" i="16"/>
  <c r="W158" i="16"/>
  <c r="H158" i="16"/>
  <c r="W157" i="16"/>
  <c r="H157" i="16"/>
  <c r="W156" i="16"/>
  <c r="H156" i="16"/>
  <c r="W155" i="16"/>
  <c r="H155" i="16"/>
  <c r="AG154" i="16"/>
  <c r="AF154" i="16"/>
  <c r="W154" i="16"/>
  <c r="H154" i="16"/>
  <c r="AG153" i="16"/>
  <c r="AF153" i="16"/>
  <c r="W153" i="16"/>
  <c r="H153" i="16"/>
  <c r="AG152" i="16"/>
  <c r="AF152" i="16"/>
  <c r="H152" i="16"/>
  <c r="AG151" i="16"/>
  <c r="AF151" i="16"/>
  <c r="W151" i="16"/>
  <c r="H151" i="16"/>
  <c r="W150" i="16"/>
  <c r="N150" i="16"/>
  <c r="AF150" i="16" s="1"/>
  <c r="P150" i="16"/>
  <c r="H150" i="16"/>
  <c r="W149" i="16"/>
  <c r="N149" i="16" s="1"/>
  <c r="P149" i="16"/>
  <c r="H149" i="16"/>
  <c r="W148" i="16"/>
  <c r="N148" i="16" s="1"/>
  <c r="H148" i="16"/>
  <c r="AE147" i="16"/>
  <c r="AD147" i="16"/>
  <c r="AA147" i="16"/>
  <c r="Z147" i="16"/>
  <c r="W147" i="16"/>
  <c r="M147" i="16"/>
  <c r="W146" i="16"/>
  <c r="H146" i="16"/>
  <c r="AG145" i="16"/>
  <c r="AF145" i="16"/>
  <c r="W145" i="16"/>
  <c r="H145" i="16"/>
  <c r="AG144" i="16"/>
  <c r="AF144" i="16"/>
  <c r="W144" i="16"/>
  <c r="H144" i="16"/>
  <c r="AG143" i="16"/>
  <c r="AF143" i="16"/>
  <c r="W143" i="16"/>
  <c r="W142" i="16"/>
  <c r="N142" i="16" s="1"/>
  <c r="P142" i="16"/>
  <c r="H142" i="16"/>
  <c r="W141" i="16"/>
  <c r="N141" i="16" s="1"/>
  <c r="O141" i="16" s="1"/>
  <c r="P141" i="16"/>
  <c r="H141" i="16"/>
  <c r="W140" i="16"/>
  <c r="N140" i="16" s="1"/>
  <c r="P140" i="16"/>
  <c r="H140" i="16"/>
  <c r="W139" i="16"/>
  <c r="N139" i="16" s="1"/>
  <c r="O139" i="16" s="1"/>
  <c r="P139" i="16"/>
  <c r="H139" i="16"/>
  <c r="W138" i="16"/>
  <c r="N138" i="16"/>
  <c r="P138" i="16"/>
  <c r="H138" i="16"/>
  <c r="W137" i="16"/>
  <c r="N137" i="16" s="1"/>
  <c r="O137" i="16" s="1"/>
  <c r="P137" i="16"/>
  <c r="H137" i="16"/>
  <c r="W136" i="16"/>
  <c r="N136" i="16" s="1"/>
  <c r="P136" i="16"/>
  <c r="H136" i="16"/>
  <c r="W135" i="16"/>
  <c r="N135" i="16" s="1"/>
  <c r="H135" i="16"/>
  <c r="AE134" i="16"/>
  <c r="AD134" i="16"/>
  <c r="AA134" i="16"/>
  <c r="Z134" i="16"/>
  <c r="M134" i="16"/>
  <c r="W133" i="16"/>
  <c r="H133" i="16"/>
  <c r="W132" i="16"/>
  <c r="H132" i="16"/>
  <c r="W131" i="16"/>
  <c r="H131" i="16"/>
  <c r="W130" i="16"/>
  <c r="H130" i="16"/>
  <c r="H129" i="16"/>
  <c r="W128" i="16"/>
  <c r="N128" i="16" s="1"/>
  <c r="P128" i="16"/>
  <c r="H128" i="16"/>
  <c r="W127" i="16"/>
  <c r="N127" i="16" s="1"/>
  <c r="AG127" i="16" s="1"/>
  <c r="H127" i="16"/>
  <c r="W126" i="16"/>
  <c r="P126" i="16"/>
  <c r="N126" i="16"/>
  <c r="O126" i="16" s="1"/>
  <c r="AG126" i="16"/>
  <c r="H126" i="16"/>
  <c r="W125" i="16"/>
  <c r="N125" i="16"/>
  <c r="AG125" i="16" s="1"/>
  <c r="P125" i="16"/>
  <c r="H125" i="16"/>
  <c r="W124" i="16"/>
  <c r="N124" i="16" s="1"/>
  <c r="P124" i="16"/>
  <c r="H124" i="16"/>
  <c r="W123" i="16"/>
  <c r="N123" i="16"/>
  <c r="AG123" i="16" s="1"/>
  <c r="P123" i="16"/>
  <c r="H123" i="16"/>
  <c r="W122" i="16"/>
  <c r="N122" i="16" s="1"/>
  <c r="AF122" i="16" s="1"/>
  <c r="P134" i="16"/>
  <c r="H122" i="16"/>
  <c r="AE121" i="16"/>
  <c r="AD121" i="16"/>
  <c r="AA121" i="16"/>
  <c r="Z121" i="16"/>
  <c r="W121" i="16"/>
  <c r="M121" i="16"/>
  <c r="I1" i="16" s="1"/>
  <c r="W120" i="16"/>
  <c r="H120" i="16"/>
  <c r="W119" i="16"/>
  <c r="H119" i="16"/>
  <c r="W118" i="16"/>
  <c r="H118" i="16"/>
  <c r="AG117" i="16"/>
  <c r="AF117" i="16"/>
  <c r="W117" i="16"/>
  <c r="H117" i="16"/>
  <c r="AG116" i="16"/>
  <c r="AF116" i="16"/>
  <c r="W116" i="16"/>
  <c r="H116" i="16"/>
  <c r="AG115" i="16"/>
  <c r="AF115" i="16"/>
  <c r="W115" i="16"/>
  <c r="H115" i="16"/>
  <c r="AG114" i="16"/>
  <c r="AF114" i="16"/>
  <c r="H114" i="16"/>
  <c r="W113" i="16"/>
  <c r="N113" i="16" s="1"/>
  <c r="P113" i="16"/>
  <c r="H113" i="16"/>
  <c r="W112" i="16"/>
  <c r="N112" i="16"/>
  <c r="AF112" i="16" s="1"/>
  <c r="P112" i="16"/>
  <c r="H112" i="16"/>
  <c r="W111" i="16"/>
  <c r="N111" i="16" s="1"/>
  <c r="P111" i="16"/>
  <c r="H111" i="16"/>
  <c r="W110" i="16"/>
  <c r="N110" i="16" s="1"/>
  <c r="AF110" i="16" s="1"/>
  <c r="P110" i="16"/>
  <c r="H110" i="16"/>
  <c r="W109" i="16"/>
  <c r="N109" i="16"/>
  <c r="P109" i="16"/>
  <c r="H109" i="16"/>
  <c r="AE108" i="16"/>
  <c r="AD108" i="16"/>
  <c r="AA108" i="16"/>
  <c r="Z108" i="16"/>
  <c r="W108" i="16"/>
  <c r="M108" i="16"/>
  <c r="W107" i="16"/>
  <c r="H107" i="16"/>
  <c r="W106" i="16"/>
  <c r="H106" i="16"/>
  <c r="W105" i="16"/>
  <c r="H105" i="16"/>
  <c r="W104" i="16"/>
  <c r="N104" i="16" s="1"/>
  <c r="O104" i="16" s="1"/>
  <c r="P104" i="16"/>
  <c r="H104" i="16"/>
  <c r="W103" i="16"/>
  <c r="N103" i="16"/>
  <c r="AG103" i="16" s="1"/>
  <c r="P103" i="16"/>
  <c r="H103" i="16"/>
  <c r="W102" i="16"/>
  <c r="N102" i="16" s="1"/>
  <c r="O102" i="16" s="1"/>
  <c r="P102" i="16"/>
  <c r="H102" i="16"/>
  <c r="W101" i="16"/>
  <c r="N101" i="16" s="1"/>
  <c r="AG101" i="16" s="1"/>
  <c r="P101" i="16"/>
  <c r="H101" i="16"/>
  <c r="W100" i="16"/>
  <c r="P100" i="16"/>
  <c r="N100" i="16"/>
  <c r="O100" i="16" s="1"/>
  <c r="H100" i="16"/>
  <c r="W99" i="16"/>
  <c r="N99" i="16" s="1"/>
  <c r="AG99" i="16" s="1"/>
  <c r="P99" i="16"/>
  <c r="H99" i="16"/>
  <c r="W98" i="16"/>
  <c r="N98" i="16" s="1"/>
  <c r="O98" i="16" s="1"/>
  <c r="P98" i="16"/>
  <c r="H98" i="16"/>
  <c r="W97" i="16"/>
  <c r="N97" i="16"/>
  <c r="AG97" i="16" s="1"/>
  <c r="P97" i="16"/>
  <c r="H97" i="16"/>
  <c r="W96" i="16"/>
  <c r="N96" i="16" s="1"/>
  <c r="N108" i="16" s="1"/>
  <c r="P108" i="16"/>
  <c r="H96" i="16"/>
  <c r="AE95" i="16"/>
  <c r="AD95" i="16"/>
  <c r="AA95" i="16"/>
  <c r="Z95" i="16"/>
  <c r="M95" i="16"/>
  <c r="P95" i="16" s="1"/>
  <c r="AG94" i="16"/>
  <c r="AF94" i="16"/>
  <c r="W94" i="16"/>
  <c r="H94" i="16"/>
  <c r="AG93" i="16"/>
  <c r="AF93" i="16"/>
  <c r="W93" i="16"/>
  <c r="H93" i="16"/>
  <c r="AG92" i="16"/>
  <c r="AF92" i="16"/>
  <c r="W92" i="16"/>
  <c r="H92" i="16"/>
  <c r="AG91" i="16"/>
  <c r="AF91" i="16"/>
  <c r="H91" i="16"/>
  <c r="W90" i="16"/>
  <c r="N90" i="16" s="1"/>
  <c r="P90" i="16"/>
  <c r="H90" i="16"/>
  <c r="W89" i="16"/>
  <c r="N89" i="16" s="1"/>
  <c r="P89" i="16"/>
  <c r="H89" i="16"/>
  <c r="W88" i="16"/>
  <c r="N88" i="16" s="1"/>
  <c r="P88" i="16"/>
  <c r="H88" i="16"/>
  <c r="W87" i="16"/>
  <c r="N87" i="16" s="1"/>
  <c r="P87" i="16"/>
  <c r="H87" i="16"/>
  <c r="AG86" i="16"/>
  <c r="W86" i="16"/>
  <c r="N86" i="16"/>
  <c r="AF86" i="16" s="1"/>
  <c r="P86" i="16"/>
  <c r="H86" i="16"/>
  <c r="W85" i="16"/>
  <c r="N85" i="16" s="1"/>
  <c r="P85" i="16"/>
  <c r="H85" i="16"/>
  <c r="W84" i="16"/>
  <c r="N84" i="16" s="1"/>
  <c r="P84" i="16"/>
  <c r="H84" i="16"/>
  <c r="W83" i="16"/>
  <c r="N83" i="16" s="1"/>
  <c r="P83" i="16"/>
  <c r="H83" i="16"/>
  <c r="AE82" i="16"/>
  <c r="AD82" i="16"/>
  <c r="AA82" i="16"/>
  <c r="Z82" i="16"/>
  <c r="M82" i="16"/>
  <c r="P82" i="16" s="1"/>
  <c r="W81" i="16"/>
  <c r="AG80" i="16"/>
  <c r="AF80" i="16"/>
  <c r="W80" i="16"/>
  <c r="H80" i="16"/>
  <c r="AG79" i="16"/>
  <c r="AF79" i="16"/>
  <c r="W79" i="16"/>
  <c r="H79" i="16"/>
  <c r="AG78" i="16"/>
  <c r="AF78" i="16"/>
  <c r="H78" i="16"/>
  <c r="W77" i="16"/>
  <c r="N77" i="16" s="1"/>
  <c r="P77" i="16"/>
  <c r="H77" i="16"/>
  <c r="W76" i="16"/>
  <c r="N76" i="16"/>
  <c r="AF76" i="16" s="1"/>
  <c r="P76" i="16"/>
  <c r="H76" i="16"/>
  <c r="W75" i="16"/>
  <c r="P75" i="16"/>
  <c r="N75" i="16"/>
  <c r="O75" i="16" s="1"/>
  <c r="AG75" i="16"/>
  <c r="H75" i="16"/>
  <c r="W74" i="16"/>
  <c r="N74" i="16"/>
  <c r="AF74" i="16" s="1"/>
  <c r="P74" i="16"/>
  <c r="H74" i="16"/>
  <c r="W73" i="16"/>
  <c r="N73" i="16" s="1"/>
  <c r="P73" i="16"/>
  <c r="H73" i="16"/>
  <c r="W72" i="16"/>
  <c r="N72" i="16"/>
  <c r="AF72" i="16" s="1"/>
  <c r="P72" i="16"/>
  <c r="H72" i="16"/>
  <c r="W71" i="16"/>
  <c r="N71" i="16" s="1"/>
  <c r="P71" i="16"/>
  <c r="H71" i="16"/>
  <c r="W70" i="16"/>
  <c r="N70" i="16" s="1"/>
  <c r="P70" i="16"/>
  <c r="H70" i="16"/>
  <c r="AE69" i="16"/>
  <c r="AD69" i="16"/>
  <c r="AD2" i="16" s="1"/>
  <c r="AA69" i="16"/>
  <c r="Z69" i="16"/>
  <c r="W69" i="16"/>
  <c r="M69" i="16"/>
  <c r="W68" i="16"/>
  <c r="H68" i="16"/>
  <c r="AG67" i="16"/>
  <c r="AF67" i="16"/>
  <c r="W67" i="16"/>
  <c r="H67" i="16"/>
  <c r="AG66" i="16"/>
  <c r="AF66" i="16"/>
  <c r="W66" i="16"/>
  <c r="H66" i="16"/>
  <c r="AG65" i="16"/>
  <c r="AF65" i="16"/>
  <c r="W65" i="16"/>
  <c r="H65" i="16"/>
  <c r="AG64" i="16"/>
  <c r="AF64" i="16"/>
  <c r="H64" i="16"/>
  <c r="AG63" i="16"/>
  <c r="AF63" i="16"/>
  <c r="H63" i="16"/>
  <c r="AG62" i="16"/>
  <c r="AF62" i="16"/>
  <c r="H62" i="16"/>
  <c r="W61" i="16"/>
  <c r="N61" i="16" s="1"/>
  <c r="P61" i="16"/>
  <c r="H61" i="16"/>
  <c r="W60" i="16"/>
  <c r="N60" i="16" s="1"/>
  <c r="AF60" i="16" s="1"/>
  <c r="P60" i="16"/>
  <c r="H60" i="16"/>
  <c r="W59" i="16"/>
  <c r="N59" i="16" s="1"/>
  <c r="P59" i="16"/>
  <c r="H59" i="16"/>
  <c r="W58" i="16"/>
  <c r="N58" i="16"/>
  <c r="AF58" i="16" s="1"/>
  <c r="P58" i="16"/>
  <c r="H58" i="16"/>
  <c r="W57" i="16"/>
  <c r="N57" i="16" s="1"/>
  <c r="O57" i="16" s="1"/>
  <c r="P57" i="16"/>
  <c r="H57" i="16"/>
  <c r="AE56" i="16"/>
  <c r="AD56" i="16"/>
  <c r="AA56" i="16"/>
  <c r="Z56" i="16"/>
  <c r="W56" i="16"/>
  <c r="M56" i="16"/>
  <c r="P56" i="16" s="1"/>
  <c r="W55" i="16"/>
  <c r="H55" i="16"/>
  <c r="W54" i="16"/>
  <c r="H54" i="16"/>
  <c r="W53" i="16"/>
  <c r="H53" i="16"/>
  <c r="AG52" i="16"/>
  <c r="AF52" i="16"/>
  <c r="W52" i="16"/>
  <c r="H52" i="16"/>
  <c r="AG51" i="16"/>
  <c r="AF51" i="16"/>
  <c r="W51" i="16"/>
  <c r="W50" i="16"/>
  <c r="N50" i="16" s="1"/>
  <c r="P50" i="16"/>
  <c r="H50" i="16"/>
  <c r="W49" i="16"/>
  <c r="N49" i="16" s="1"/>
  <c r="P49" i="16"/>
  <c r="H49" i="16"/>
  <c r="W48" i="16"/>
  <c r="N48" i="16"/>
  <c r="AF48" i="16" s="1"/>
  <c r="P48" i="16"/>
  <c r="H48" i="16"/>
  <c r="W47" i="16"/>
  <c r="N47" i="16" s="1"/>
  <c r="P47" i="16"/>
  <c r="H47" i="16"/>
  <c r="W46" i="16"/>
  <c r="N46" i="16" s="1"/>
  <c r="P46" i="16"/>
  <c r="H46" i="16"/>
  <c r="W45" i="16"/>
  <c r="N45" i="16" s="1"/>
  <c r="P45" i="16"/>
  <c r="H45" i="16"/>
  <c r="W44" i="16"/>
  <c r="N44" i="16" s="1"/>
  <c r="P44" i="16"/>
  <c r="H44" i="16"/>
  <c r="AE43" i="16"/>
  <c r="AD43" i="16"/>
  <c r="AA43" i="16"/>
  <c r="Z43" i="16"/>
  <c r="M43" i="16"/>
  <c r="W42" i="16"/>
  <c r="H42" i="16"/>
  <c r="W41" i="16"/>
  <c r="W40" i="16"/>
  <c r="H40" i="16"/>
  <c r="H39" i="16"/>
  <c r="AG38" i="16"/>
  <c r="AF38" i="16"/>
  <c r="H38" i="16"/>
  <c r="AG37" i="16"/>
  <c r="AF37" i="16"/>
  <c r="H37" i="16"/>
  <c r="W36" i="16"/>
  <c r="N36" i="16" s="1"/>
  <c r="AF36" i="16" s="1"/>
  <c r="P36" i="16"/>
  <c r="H36" i="16"/>
  <c r="W35" i="16"/>
  <c r="N35" i="16" s="1"/>
  <c r="P35" i="16"/>
  <c r="H35" i="16"/>
  <c r="W34" i="16"/>
  <c r="N34" i="16"/>
  <c r="AF34" i="16" s="1"/>
  <c r="P34" i="16"/>
  <c r="H34" i="16"/>
  <c r="W33" i="16"/>
  <c r="N33" i="16" s="1"/>
  <c r="P33" i="16"/>
  <c r="H33" i="16"/>
  <c r="W32" i="16"/>
  <c r="N32" i="16"/>
  <c r="AF32" i="16" s="1"/>
  <c r="P32" i="16"/>
  <c r="H32" i="16"/>
  <c r="W31" i="16"/>
  <c r="N31" i="16" s="1"/>
  <c r="P31" i="16"/>
  <c r="H31" i="16"/>
  <c r="AE30" i="16"/>
  <c r="AD30" i="16"/>
  <c r="AA30" i="16"/>
  <c r="Z30" i="16"/>
  <c r="M30" i="16"/>
  <c r="AF29" i="16"/>
  <c r="W29" i="16"/>
  <c r="H29" i="16"/>
  <c r="AF28" i="16"/>
  <c r="W28" i="16"/>
  <c r="H28" i="16"/>
  <c r="AF27" i="16"/>
  <c r="W27" i="16"/>
  <c r="H27" i="16"/>
  <c r="AF26" i="16"/>
  <c r="W26" i="16"/>
  <c r="AF25" i="16"/>
  <c r="W25" i="16"/>
  <c r="AF24" i="16"/>
  <c r="H24" i="16"/>
  <c r="H23" i="16"/>
  <c r="W22" i="16"/>
  <c r="N22" i="16"/>
  <c r="AF22" i="16" s="1"/>
  <c r="P22" i="16"/>
  <c r="H22" i="16"/>
  <c r="W21" i="16"/>
  <c r="N21" i="16" s="1"/>
  <c r="AG21" i="16" s="1"/>
  <c r="P21" i="16"/>
  <c r="H21" i="16"/>
  <c r="W20" i="16"/>
  <c r="N20" i="16" s="1"/>
  <c r="P20" i="16"/>
  <c r="H20" i="16"/>
  <c r="W19" i="16"/>
  <c r="N19" i="16"/>
  <c r="AF19" i="16" s="1"/>
  <c r="P19" i="16"/>
  <c r="H19" i="16"/>
  <c r="W18" i="16"/>
  <c r="N18" i="16" s="1"/>
  <c r="P18" i="16"/>
  <c r="H18" i="16"/>
  <c r="AE17" i="16"/>
  <c r="AE2" i="16" s="1"/>
  <c r="AD17" i="16"/>
  <c r="AA17" i="16"/>
  <c r="Z17" i="16"/>
  <c r="Z2" i="16" s="1"/>
  <c r="W17" i="16"/>
  <c r="M17" i="16"/>
  <c r="W16" i="16"/>
  <c r="H16" i="16"/>
  <c r="W15" i="16"/>
  <c r="H15" i="16"/>
  <c r="W14" i="16"/>
  <c r="H14" i="16"/>
  <c r="W13" i="16"/>
  <c r="H13" i="16"/>
  <c r="H12" i="16"/>
  <c r="W11" i="16"/>
  <c r="N11" i="16" s="1"/>
  <c r="H11" i="16"/>
  <c r="W10" i="16"/>
  <c r="N10" i="16" s="1"/>
  <c r="P10" i="16"/>
  <c r="H10" i="16"/>
  <c r="W9" i="16"/>
  <c r="N9" i="16" s="1"/>
  <c r="H9" i="16"/>
  <c r="W8" i="16"/>
  <c r="N8" i="16" s="1"/>
  <c r="P8" i="16"/>
  <c r="H8" i="16"/>
  <c r="W7" i="16"/>
  <c r="N7" i="16" s="1"/>
  <c r="H7" i="16"/>
  <c r="W6" i="16"/>
  <c r="N6" i="16" s="1"/>
  <c r="P6" i="16"/>
  <c r="H6" i="16"/>
  <c r="W5" i="16"/>
  <c r="N5" i="16" s="1"/>
  <c r="P5" i="16"/>
  <c r="P17" i="16"/>
  <c r="H5" i="16"/>
  <c r="AA2" i="16"/>
  <c r="I2" i="16"/>
  <c r="E1" i="16"/>
  <c r="AE173" i="15"/>
  <c r="AD173" i="15"/>
  <c r="AA173" i="15"/>
  <c r="Z173" i="15"/>
  <c r="M173" i="15"/>
  <c r="W172" i="15"/>
  <c r="H172" i="15"/>
  <c r="W171" i="15"/>
  <c r="H171" i="15"/>
  <c r="AG170" i="15"/>
  <c r="AF170" i="15"/>
  <c r="W170" i="15"/>
  <c r="H170" i="15"/>
  <c r="AG169" i="15"/>
  <c r="AF169" i="15"/>
  <c r="W169" i="15"/>
  <c r="H169" i="15"/>
  <c r="AG168" i="15"/>
  <c r="AF168" i="15"/>
  <c r="H168" i="15"/>
  <c r="AG167" i="15"/>
  <c r="AF167" i="15"/>
  <c r="H167" i="15"/>
  <c r="AG166" i="15"/>
  <c r="AF166" i="15"/>
  <c r="H166" i="15"/>
  <c r="W165" i="15"/>
  <c r="N165" i="15" s="1"/>
  <c r="P165" i="15"/>
  <c r="H165" i="15"/>
  <c r="W164" i="15"/>
  <c r="N164" i="15" s="1"/>
  <c r="P164" i="15"/>
  <c r="H164" i="15"/>
  <c r="W163" i="15"/>
  <c r="N163" i="15" s="1"/>
  <c r="P163" i="15"/>
  <c r="H163" i="15"/>
  <c r="W162" i="15"/>
  <c r="N162" i="15" s="1"/>
  <c r="P162" i="15"/>
  <c r="H162" i="15"/>
  <c r="W161" i="15"/>
  <c r="N161" i="15" s="1"/>
  <c r="P161" i="15"/>
  <c r="P173" i="15"/>
  <c r="H161" i="15"/>
  <c r="AE160" i="15"/>
  <c r="AD160" i="15"/>
  <c r="AA160" i="15"/>
  <c r="Z160" i="15"/>
  <c r="M160" i="15"/>
  <c r="P160" i="15" s="1"/>
  <c r="W159" i="15"/>
  <c r="H159" i="15"/>
  <c r="W158" i="15"/>
  <c r="H158" i="15"/>
  <c r="W157" i="15"/>
  <c r="H157" i="15"/>
  <c r="W156" i="15"/>
  <c r="H156" i="15"/>
  <c r="W155" i="15"/>
  <c r="H155" i="15"/>
  <c r="AG154" i="15"/>
  <c r="AF154" i="15"/>
  <c r="W154" i="15"/>
  <c r="H154" i="15"/>
  <c r="AG153" i="15"/>
  <c r="AF153" i="15"/>
  <c r="W153" i="15"/>
  <c r="H153" i="15"/>
  <c r="AG152" i="15"/>
  <c r="AF152" i="15"/>
  <c r="H152" i="15"/>
  <c r="AG151" i="15"/>
  <c r="AF151" i="15"/>
  <c r="W151" i="15"/>
  <c r="H151" i="15"/>
  <c r="AG150" i="15"/>
  <c r="W150" i="15"/>
  <c r="N150" i="15"/>
  <c r="AF150" i="15" s="1"/>
  <c r="P150" i="15"/>
  <c r="H150" i="15"/>
  <c r="W149" i="15"/>
  <c r="N149" i="15" s="1"/>
  <c r="P149" i="15"/>
  <c r="H149" i="15"/>
  <c r="W148" i="15"/>
  <c r="N148" i="15" s="1"/>
  <c r="H148" i="15"/>
  <c r="AE147" i="15"/>
  <c r="AD147" i="15"/>
  <c r="AA147" i="15"/>
  <c r="Z147" i="15"/>
  <c r="W147" i="15"/>
  <c r="M147" i="15"/>
  <c r="W146" i="15"/>
  <c r="H146" i="15"/>
  <c r="AG145" i="15"/>
  <c r="AF145" i="15"/>
  <c r="W145" i="15"/>
  <c r="H145" i="15"/>
  <c r="AG144" i="15"/>
  <c r="AF144" i="15"/>
  <c r="H144" i="15"/>
  <c r="AG143" i="15"/>
  <c r="AF143" i="15"/>
  <c r="W142" i="15"/>
  <c r="N142" i="15" s="1"/>
  <c r="P142" i="15"/>
  <c r="H142" i="15"/>
  <c r="W141" i="15"/>
  <c r="N141" i="15" s="1"/>
  <c r="P141" i="15"/>
  <c r="H141" i="15"/>
  <c r="W140" i="15"/>
  <c r="N140" i="15" s="1"/>
  <c r="P140" i="15"/>
  <c r="H140" i="15"/>
  <c r="W139" i="15"/>
  <c r="N139" i="15"/>
  <c r="AF139" i="15" s="1"/>
  <c r="P139" i="15"/>
  <c r="H139" i="15"/>
  <c r="W138" i="15"/>
  <c r="N138" i="15" s="1"/>
  <c r="P138" i="15"/>
  <c r="H138" i="15"/>
  <c r="W137" i="15"/>
  <c r="N137" i="15" s="1"/>
  <c r="P137" i="15"/>
  <c r="H137" i="15"/>
  <c r="W136" i="15"/>
  <c r="N136" i="15" s="1"/>
  <c r="P136" i="15"/>
  <c r="H136" i="15"/>
  <c r="W135" i="15"/>
  <c r="N135" i="15" s="1"/>
  <c r="H135" i="15"/>
  <c r="AE134" i="15"/>
  <c r="AD134" i="15"/>
  <c r="AA134" i="15"/>
  <c r="Z134" i="15"/>
  <c r="M134" i="15"/>
  <c r="W133" i="15"/>
  <c r="H133" i="15"/>
  <c r="W132" i="15"/>
  <c r="H132" i="15"/>
  <c r="W131" i="15"/>
  <c r="H131" i="15"/>
  <c r="W130" i="15"/>
  <c r="H130" i="15"/>
  <c r="H129" i="15"/>
  <c r="W128" i="15"/>
  <c r="N128" i="15" s="1"/>
  <c r="P128" i="15"/>
  <c r="H128" i="15"/>
  <c r="W127" i="15"/>
  <c r="N127" i="15" s="1"/>
  <c r="P127" i="15"/>
  <c r="H127" i="15"/>
  <c r="AG126" i="15"/>
  <c r="W126" i="15"/>
  <c r="P126" i="15"/>
  <c r="N126" i="15"/>
  <c r="O126" i="15" s="1"/>
  <c r="H126" i="15"/>
  <c r="W125" i="15"/>
  <c r="N125" i="15" s="1"/>
  <c r="P125" i="15"/>
  <c r="H125" i="15"/>
  <c r="AG124" i="15"/>
  <c r="W124" i="15"/>
  <c r="P124" i="15"/>
  <c r="N124" i="15"/>
  <c r="O124" i="15" s="1"/>
  <c r="H124" i="15"/>
  <c r="W123" i="15"/>
  <c r="N123" i="15" s="1"/>
  <c r="P123" i="15"/>
  <c r="H123" i="15"/>
  <c r="W122" i="15"/>
  <c r="N122" i="15"/>
  <c r="AG122" i="15" s="1"/>
  <c r="P134" i="15"/>
  <c r="H122" i="15"/>
  <c r="AE121" i="15"/>
  <c r="AD121" i="15"/>
  <c r="AA121" i="15"/>
  <c r="Z121" i="15"/>
  <c r="W121" i="15"/>
  <c r="M121" i="15"/>
  <c r="P121" i="15" s="1"/>
  <c r="W120" i="15"/>
  <c r="H120" i="15"/>
  <c r="W119" i="15"/>
  <c r="H119" i="15"/>
  <c r="W118" i="15"/>
  <c r="H118" i="15"/>
  <c r="AG117" i="15"/>
  <c r="AF117" i="15"/>
  <c r="W117" i="15"/>
  <c r="H117" i="15"/>
  <c r="AG116" i="15"/>
  <c r="AF116" i="15"/>
  <c r="W116" i="15"/>
  <c r="H116" i="15"/>
  <c r="AG115" i="15"/>
  <c r="AF115" i="15"/>
  <c r="W115" i="15"/>
  <c r="H115" i="15"/>
  <c r="AG114" i="15"/>
  <c r="AF114" i="15"/>
  <c r="H114" i="15"/>
  <c r="W113" i="15"/>
  <c r="N113" i="15" s="1"/>
  <c r="P113" i="15"/>
  <c r="H113" i="15"/>
  <c r="W112" i="15"/>
  <c r="P112" i="15"/>
  <c r="N112" i="15"/>
  <c r="AG112" i="15" s="1"/>
  <c r="H112" i="15"/>
  <c r="W111" i="15"/>
  <c r="N111" i="15" s="1"/>
  <c r="P111" i="15"/>
  <c r="H111" i="15"/>
  <c r="W110" i="15"/>
  <c r="N110" i="15" s="1"/>
  <c r="P110" i="15"/>
  <c r="H110" i="15"/>
  <c r="W109" i="15"/>
  <c r="N109" i="15" s="1"/>
  <c r="P109" i="15"/>
  <c r="H109" i="15"/>
  <c r="AE108" i="15"/>
  <c r="AD108" i="15"/>
  <c r="AA108" i="15"/>
  <c r="Z108" i="15"/>
  <c r="W108" i="15"/>
  <c r="M108" i="15"/>
  <c r="W107" i="15"/>
  <c r="H107" i="15"/>
  <c r="W106" i="15"/>
  <c r="H106" i="15"/>
  <c r="W105" i="15"/>
  <c r="H105" i="15"/>
  <c r="W104" i="15"/>
  <c r="N104" i="15" s="1"/>
  <c r="O104" i="15"/>
  <c r="H104" i="15"/>
  <c r="W103" i="15"/>
  <c r="N103" i="15" s="1"/>
  <c r="AG103" i="15" s="1"/>
  <c r="P103" i="15"/>
  <c r="H103" i="15"/>
  <c r="W102" i="15"/>
  <c r="N102" i="15" s="1"/>
  <c r="H102" i="15"/>
  <c r="W101" i="15"/>
  <c r="N101" i="15" s="1"/>
  <c r="P101" i="15"/>
  <c r="H101" i="15"/>
  <c r="W100" i="15"/>
  <c r="N100" i="15" s="1"/>
  <c r="O100" i="15"/>
  <c r="H100" i="15"/>
  <c r="W99" i="15"/>
  <c r="N99" i="15" s="1"/>
  <c r="AG99" i="15" s="1"/>
  <c r="P99" i="15"/>
  <c r="H99" i="15"/>
  <c r="W98" i="15"/>
  <c r="N98" i="15" s="1"/>
  <c r="H98" i="15"/>
  <c r="W97" i="15"/>
  <c r="N97" i="15" s="1"/>
  <c r="P97" i="15"/>
  <c r="H97" i="15"/>
  <c r="W96" i="15"/>
  <c r="N96" i="15" s="1"/>
  <c r="P96" i="15"/>
  <c r="H96" i="15"/>
  <c r="AE95" i="15"/>
  <c r="AD95" i="15"/>
  <c r="AA95" i="15"/>
  <c r="Z95" i="15"/>
  <c r="M95" i="15"/>
  <c r="AG94" i="15"/>
  <c r="AF94" i="15"/>
  <c r="W94" i="15"/>
  <c r="H94" i="15"/>
  <c r="AG93" i="15"/>
  <c r="AF93" i="15"/>
  <c r="W93" i="15"/>
  <c r="H93" i="15"/>
  <c r="AG92" i="15"/>
  <c r="AF92" i="15"/>
  <c r="W92" i="15"/>
  <c r="H92" i="15"/>
  <c r="W91" i="15"/>
  <c r="N91" i="15" s="1"/>
  <c r="P91" i="15"/>
  <c r="H91" i="15"/>
  <c r="W90" i="15"/>
  <c r="N90" i="15" s="1"/>
  <c r="O90" i="15"/>
  <c r="H90" i="15"/>
  <c r="W89" i="15"/>
  <c r="N89" i="15" s="1"/>
  <c r="AG89" i="15" s="1"/>
  <c r="P89" i="15"/>
  <c r="H89" i="15"/>
  <c r="W88" i="15"/>
  <c r="N88" i="15" s="1"/>
  <c r="H88" i="15"/>
  <c r="W87" i="15"/>
  <c r="N87" i="15" s="1"/>
  <c r="AF87" i="15" s="1"/>
  <c r="P87" i="15"/>
  <c r="H87" i="15"/>
  <c r="W86" i="15"/>
  <c r="N86" i="15" s="1"/>
  <c r="AF86" i="15" s="1"/>
  <c r="P86" i="15"/>
  <c r="H86" i="15"/>
  <c r="W85" i="15"/>
  <c r="N85" i="15" s="1"/>
  <c r="AF85" i="15" s="1"/>
  <c r="O85" i="15"/>
  <c r="P85" i="15"/>
  <c r="H85" i="15"/>
  <c r="W84" i="15"/>
  <c r="N84" i="15" s="1"/>
  <c r="AF84" i="15" s="1"/>
  <c r="O84" i="15"/>
  <c r="P84" i="15"/>
  <c r="H84" i="15"/>
  <c r="W83" i="15"/>
  <c r="N83" i="15" s="1"/>
  <c r="P83" i="15"/>
  <c r="H83" i="15"/>
  <c r="AE82" i="15"/>
  <c r="AD82" i="15"/>
  <c r="AA82" i="15"/>
  <c r="Z82" i="15"/>
  <c r="M82" i="15"/>
  <c r="W81" i="15"/>
  <c r="AG80" i="15"/>
  <c r="AF80" i="15"/>
  <c r="W80" i="15"/>
  <c r="H80" i="15"/>
  <c r="AG79" i="15"/>
  <c r="AF79" i="15"/>
  <c r="W79" i="15"/>
  <c r="H79" i="15"/>
  <c r="AG78" i="15"/>
  <c r="AF78" i="15"/>
  <c r="H78" i="15"/>
  <c r="W77" i="15"/>
  <c r="N77" i="15" s="1"/>
  <c r="P77" i="15"/>
  <c r="H77" i="15"/>
  <c r="W76" i="15"/>
  <c r="N76" i="15"/>
  <c r="AF76" i="15" s="1"/>
  <c r="P76" i="15"/>
  <c r="H76" i="15"/>
  <c r="W75" i="15"/>
  <c r="N75" i="15" s="1"/>
  <c r="P75" i="15"/>
  <c r="H75" i="15"/>
  <c r="W74" i="15"/>
  <c r="N74" i="15" s="1"/>
  <c r="P74" i="15"/>
  <c r="H74" i="15"/>
  <c r="W73" i="15"/>
  <c r="N73" i="15" s="1"/>
  <c r="P73" i="15"/>
  <c r="H73" i="15"/>
  <c r="W72" i="15"/>
  <c r="N72" i="15" s="1"/>
  <c r="P72" i="15"/>
  <c r="H72" i="15"/>
  <c r="W71" i="15"/>
  <c r="N71" i="15" s="1"/>
  <c r="P71" i="15"/>
  <c r="H71" i="15"/>
  <c r="W70" i="15"/>
  <c r="N70" i="15" s="1"/>
  <c r="P82" i="15"/>
  <c r="H70" i="15"/>
  <c r="AE69" i="15"/>
  <c r="AD69" i="15"/>
  <c r="AA69" i="15"/>
  <c r="Z69" i="15"/>
  <c r="W69" i="15"/>
  <c r="M69" i="15"/>
  <c r="W68" i="15"/>
  <c r="H68" i="15"/>
  <c r="AG67" i="15"/>
  <c r="AF67" i="15"/>
  <c r="W67" i="15"/>
  <c r="H67" i="15"/>
  <c r="AG66" i="15"/>
  <c r="AF66" i="15"/>
  <c r="W66" i="15"/>
  <c r="H66" i="15"/>
  <c r="AG65" i="15"/>
  <c r="AF65" i="15"/>
  <c r="W65" i="15"/>
  <c r="H65" i="15"/>
  <c r="AG64" i="15"/>
  <c r="AF64" i="15"/>
  <c r="H64" i="15"/>
  <c r="AG63" i="15"/>
  <c r="AF63" i="15"/>
  <c r="H63" i="15"/>
  <c r="AG62" i="15"/>
  <c r="AF62" i="15"/>
  <c r="H62" i="15"/>
  <c r="W61" i="15"/>
  <c r="N61" i="15" s="1"/>
  <c r="P61" i="15"/>
  <c r="H61" i="15"/>
  <c r="W60" i="15"/>
  <c r="N60" i="15" s="1"/>
  <c r="P60" i="15"/>
  <c r="H60" i="15"/>
  <c r="W59" i="15"/>
  <c r="N59" i="15" s="1"/>
  <c r="P59" i="15"/>
  <c r="H59" i="15"/>
  <c r="W58" i="15"/>
  <c r="N58" i="15"/>
  <c r="AF58" i="15" s="1"/>
  <c r="P58" i="15"/>
  <c r="H58" i="15"/>
  <c r="W57" i="15"/>
  <c r="N57" i="15"/>
  <c r="O57" i="15" s="1"/>
  <c r="P57" i="15"/>
  <c r="H57" i="15"/>
  <c r="AE56" i="15"/>
  <c r="AD56" i="15"/>
  <c r="AA56" i="15"/>
  <c r="Z56" i="15"/>
  <c r="W56" i="15"/>
  <c r="M56" i="15"/>
  <c r="W55" i="15"/>
  <c r="H55" i="15"/>
  <c r="W54" i="15"/>
  <c r="H54" i="15"/>
  <c r="W53" i="15"/>
  <c r="H53" i="15"/>
  <c r="AG52" i="15"/>
  <c r="AF52" i="15"/>
  <c r="W52" i="15"/>
  <c r="H52" i="15"/>
  <c r="AG51" i="15"/>
  <c r="AF51" i="15"/>
  <c r="W51" i="15"/>
  <c r="W50" i="15"/>
  <c r="N50" i="15" s="1"/>
  <c r="AG50" i="15" s="1"/>
  <c r="P50" i="15"/>
  <c r="H50" i="15"/>
  <c r="W49" i="15"/>
  <c r="N49" i="15" s="1"/>
  <c r="O49" i="15" s="1"/>
  <c r="P49" i="15"/>
  <c r="H49" i="15"/>
  <c r="W48" i="15"/>
  <c r="N48" i="15"/>
  <c r="AG48" i="15" s="1"/>
  <c r="P48" i="15"/>
  <c r="H48" i="15"/>
  <c r="W47" i="15"/>
  <c r="P47" i="15"/>
  <c r="N47" i="15"/>
  <c r="O47" i="15" s="1"/>
  <c r="H47" i="15"/>
  <c r="W46" i="15"/>
  <c r="N46" i="15" s="1"/>
  <c r="AG46" i="15" s="1"/>
  <c r="P46" i="15"/>
  <c r="H46" i="15"/>
  <c r="W45" i="15"/>
  <c r="P45" i="15"/>
  <c r="N45" i="15"/>
  <c r="O45" i="15" s="1"/>
  <c r="AG45" i="15"/>
  <c r="H45" i="15"/>
  <c r="W44" i="15"/>
  <c r="N44" i="15" s="1"/>
  <c r="P44" i="15"/>
  <c r="P56" i="15"/>
  <c r="H44" i="15"/>
  <c r="AE43" i="15"/>
  <c r="AD43" i="15"/>
  <c r="AA43" i="15"/>
  <c r="Z43" i="15"/>
  <c r="M43" i="15"/>
  <c r="W42" i="15"/>
  <c r="H42" i="15"/>
  <c r="W41" i="15"/>
  <c r="W40" i="15"/>
  <c r="H40" i="15"/>
  <c r="H39" i="15"/>
  <c r="AG38" i="15"/>
  <c r="AF38" i="15"/>
  <c r="H38" i="15"/>
  <c r="W37" i="15"/>
  <c r="N37" i="15"/>
  <c r="AF37" i="15" s="1"/>
  <c r="P37" i="15"/>
  <c r="H37" i="15"/>
  <c r="W36" i="15"/>
  <c r="N36" i="15" s="1"/>
  <c r="O36" i="15" s="1"/>
  <c r="P36" i="15"/>
  <c r="H36" i="15"/>
  <c r="W35" i="15"/>
  <c r="N35" i="15" s="1"/>
  <c r="P35" i="15"/>
  <c r="H35" i="15"/>
  <c r="W34" i="15"/>
  <c r="N34" i="15" s="1"/>
  <c r="O34" i="15"/>
  <c r="P34" i="15"/>
  <c r="H34" i="15"/>
  <c r="W33" i="15"/>
  <c r="N33" i="15"/>
  <c r="AF33" i="15" s="1"/>
  <c r="P33" i="15"/>
  <c r="H33" i="15"/>
  <c r="W32" i="15"/>
  <c r="N32" i="15" s="1"/>
  <c r="P32" i="15"/>
  <c r="H32" i="15"/>
  <c r="W31" i="15"/>
  <c r="N31" i="15" s="1"/>
  <c r="H31" i="15"/>
  <c r="AE30" i="15"/>
  <c r="AD30" i="15"/>
  <c r="AA30" i="15"/>
  <c r="AA2" i="15" s="1"/>
  <c r="Z30" i="15"/>
  <c r="M30" i="15"/>
  <c r="AF29" i="15"/>
  <c r="W29" i="15"/>
  <c r="H29" i="15"/>
  <c r="AF28" i="15"/>
  <c r="W28" i="15"/>
  <c r="H28" i="15"/>
  <c r="AF27" i="15"/>
  <c r="W27" i="15"/>
  <c r="H27" i="15"/>
  <c r="AF26" i="15"/>
  <c r="W26" i="15"/>
  <c r="AF25" i="15"/>
  <c r="W25" i="15"/>
  <c r="AF24" i="15"/>
  <c r="H24" i="15"/>
  <c r="H23" i="15"/>
  <c r="W22" i="15"/>
  <c r="N22" i="15" s="1"/>
  <c r="O22" i="15" s="1"/>
  <c r="P22" i="15"/>
  <c r="H22" i="15"/>
  <c r="W21" i="15"/>
  <c r="N21" i="15" s="1"/>
  <c r="P21" i="15"/>
  <c r="H21" i="15"/>
  <c r="W20" i="15"/>
  <c r="N20" i="15" s="1"/>
  <c r="O20" i="15" s="1"/>
  <c r="P20" i="15"/>
  <c r="H20" i="15"/>
  <c r="W19" i="15"/>
  <c r="N19" i="15" s="1"/>
  <c r="P19" i="15"/>
  <c r="H19" i="15"/>
  <c r="W18" i="15"/>
  <c r="N18" i="15" s="1"/>
  <c r="P18" i="15"/>
  <c r="H18" i="15"/>
  <c r="AE17" i="15"/>
  <c r="AE2" i="15" s="1"/>
  <c r="AD17" i="15"/>
  <c r="AA17" i="15"/>
  <c r="Z17" i="15"/>
  <c r="Z2" i="15" s="1"/>
  <c r="W17" i="15"/>
  <c r="M17" i="15"/>
  <c r="W16" i="15"/>
  <c r="H16" i="15"/>
  <c r="W15" i="15"/>
  <c r="H15" i="15"/>
  <c r="W14" i="15"/>
  <c r="H14" i="15"/>
  <c r="W13" i="15"/>
  <c r="H13" i="15"/>
  <c r="W12" i="15"/>
  <c r="H12" i="15"/>
  <c r="W11" i="15"/>
  <c r="P11" i="15"/>
  <c r="N11" i="15"/>
  <c r="O11" i="15" s="1"/>
  <c r="H11" i="15"/>
  <c r="W10" i="15"/>
  <c r="N10" i="15" s="1"/>
  <c r="P10" i="15"/>
  <c r="H10" i="15"/>
  <c r="W9" i="15"/>
  <c r="N9" i="15" s="1"/>
  <c r="O9" i="15" s="1"/>
  <c r="P9" i="15"/>
  <c r="H9" i="15"/>
  <c r="W8" i="15"/>
  <c r="N8" i="15"/>
  <c r="P8" i="15"/>
  <c r="H8" i="15"/>
  <c r="W7" i="15"/>
  <c r="N7" i="15" s="1"/>
  <c r="O7" i="15" s="1"/>
  <c r="P7" i="15"/>
  <c r="H7" i="15"/>
  <c r="W6" i="15"/>
  <c r="N6" i="15" s="1"/>
  <c r="P6" i="15"/>
  <c r="H6" i="15"/>
  <c r="W5" i="15"/>
  <c r="N5" i="15"/>
  <c r="AG5" i="15" s="1"/>
  <c r="P17" i="15"/>
  <c r="H5" i="15"/>
  <c r="AD2" i="15"/>
  <c r="I2" i="15"/>
  <c r="E1" i="15"/>
  <c r="AE173" i="14"/>
  <c r="AD173" i="14"/>
  <c r="AA173" i="14"/>
  <c r="Z173" i="14"/>
  <c r="M173" i="14"/>
  <c r="W172" i="14"/>
  <c r="H172" i="14"/>
  <c r="W171" i="14"/>
  <c r="H171" i="14"/>
  <c r="AG170" i="14"/>
  <c r="AF170" i="14"/>
  <c r="W170" i="14"/>
  <c r="H170" i="14"/>
  <c r="AG169" i="14"/>
  <c r="AF169" i="14"/>
  <c r="W169" i="14"/>
  <c r="H169" i="14"/>
  <c r="AG168" i="14"/>
  <c r="AF168" i="14"/>
  <c r="H168" i="14"/>
  <c r="AG167" i="14"/>
  <c r="AF167" i="14"/>
  <c r="H167" i="14"/>
  <c r="AG166" i="14"/>
  <c r="AF166" i="14"/>
  <c r="H166" i="14"/>
  <c r="W165" i="14"/>
  <c r="N165" i="14" s="1"/>
  <c r="AG165" i="14" s="1"/>
  <c r="P165" i="14"/>
  <c r="H165" i="14"/>
  <c r="W164" i="14"/>
  <c r="N164" i="14" s="1"/>
  <c r="P164" i="14"/>
  <c r="H164" i="14"/>
  <c r="W163" i="14"/>
  <c r="P163" i="14"/>
  <c r="N163" i="14"/>
  <c r="O163" i="14" s="1"/>
  <c r="H163" i="14"/>
  <c r="W162" i="14"/>
  <c r="P162" i="14"/>
  <c r="N162" i="14"/>
  <c r="H162" i="14"/>
  <c r="W161" i="14"/>
  <c r="N161" i="14" s="1"/>
  <c r="AG161" i="14" s="1"/>
  <c r="P161" i="14"/>
  <c r="H161" i="14"/>
  <c r="AE160" i="14"/>
  <c r="AD160" i="14"/>
  <c r="AA160" i="14"/>
  <c r="Z160" i="14"/>
  <c r="M160" i="14"/>
  <c r="W159" i="14"/>
  <c r="H159" i="14"/>
  <c r="W158" i="14"/>
  <c r="H158" i="14"/>
  <c r="W157" i="14"/>
  <c r="H157" i="14"/>
  <c r="W156" i="14"/>
  <c r="H156" i="14"/>
  <c r="W155" i="14"/>
  <c r="H155" i="14"/>
  <c r="AG154" i="14"/>
  <c r="AF154" i="14"/>
  <c r="W154" i="14"/>
  <c r="H154" i="14"/>
  <c r="AG153" i="14"/>
  <c r="AF153" i="14"/>
  <c r="W153" i="14"/>
  <c r="H153" i="14"/>
  <c r="AG152" i="14"/>
  <c r="AF152" i="14"/>
  <c r="H152" i="14"/>
  <c r="AG151" i="14"/>
  <c r="AF151" i="14"/>
  <c r="W151" i="14"/>
  <c r="H151" i="14"/>
  <c r="W150" i="14"/>
  <c r="N150" i="14" s="1"/>
  <c r="H150" i="14"/>
  <c r="AG149" i="14"/>
  <c r="W149" i="14"/>
  <c r="N149" i="14" s="1"/>
  <c r="P149" i="14"/>
  <c r="H149" i="14"/>
  <c r="W148" i="14"/>
  <c r="N148" i="14" s="1"/>
  <c r="H148" i="14"/>
  <c r="AE147" i="14"/>
  <c r="AD147" i="14"/>
  <c r="AA147" i="14"/>
  <c r="Z147" i="14"/>
  <c r="W147" i="14"/>
  <c r="M147" i="14"/>
  <c r="W146" i="14"/>
  <c r="H146" i="14"/>
  <c r="AG145" i="14"/>
  <c r="AF145" i="14"/>
  <c r="W145" i="14"/>
  <c r="H145" i="14"/>
  <c r="AG144" i="14"/>
  <c r="AF144" i="14"/>
  <c r="W144" i="14"/>
  <c r="H144" i="14"/>
  <c r="AG143" i="14"/>
  <c r="AF143" i="14"/>
  <c r="W142" i="14"/>
  <c r="N142" i="14" s="1"/>
  <c r="P142" i="14"/>
  <c r="H142" i="14"/>
  <c r="W141" i="14"/>
  <c r="P141" i="14"/>
  <c r="N141" i="14"/>
  <c r="O141" i="14" s="1"/>
  <c r="H141" i="14"/>
  <c r="W140" i="14"/>
  <c r="N140" i="14" s="1"/>
  <c r="P140" i="14"/>
  <c r="H140" i="14"/>
  <c r="W139" i="14"/>
  <c r="N139" i="14" s="1"/>
  <c r="O139" i="14" s="1"/>
  <c r="P139" i="14"/>
  <c r="H139" i="14"/>
  <c r="W138" i="14"/>
  <c r="P138" i="14"/>
  <c r="N138" i="14"/>
  <c r="H138" i="14"/>
  <c r="W137" i="14"/>
  <c r="N137" i="14" s="1"/>
  <c r="O137" i="14" s="1"/>
  <c r="P137" i="14"/>
  <c r="H137" i="14"/>
  <c r="W136" i="14"/>
  <c r="N136" i="14" s="1"/>
  <c r="P136" i="14"/>
  <c r="H136" i="14"/>
  <c r="W135" i="14"/>
  <c r="P135" i="14"/>
  <c r="N135" i="14"/>
  <c r="H135" i="14"/>
  <c r="AE134" i="14"/>
  <c r="AD134" i="14"/>
  <c r="AA134" i="14"/>
  <c r="Z134" i="14"/>
  <c r="M134" i="14"/>
  <c r="W133" i="14"/>
  <c r="H133" i="14"/>
  <c r="W132" i="14"/>
  <c r="H132" i="14"/>
  <c r="W131" i="14"/>
  <c r="H131" i="14"/>
  <c r="W130" i="14"/>
  <c r="H130" i="14"/>
  <c r="H129" i="14"/>
  <c r="W128" i="14"/>
  <c r="N128" i="14" s="1"/>
  <c r="O128" i="14" s="1"/>
  <c r="H128" i="14"/>
  <c r="W127" i="14"/>
  <c r="N127" i="14" s="1"/>
  <c r="P127" i="14"/>
  <c r="H127" i="14"/>
  <c r="W126" i="14"/>
  <c r="N126" i="14" s="1"/>
  <c r="O126" i="14"/>
  <c r="H126" i="14"/>
  <c r="W125" i="14"/>
  <c r="N125" i="14" s="1"/>
  <c r="P125" i="14"/>
  <c r="H125" i="14"/>
  <c r="W124" i="14"/>
  <c r="N124" i="14" s="1"/>
  <c r="O124" i="14" s="1"/>
  <c r="H124" i="14"/>
  <c r="W123" i="14"/>
  <c r="N123" i="14" s="1"/>
  <c r="P123" i="14"/>
  <c r="H123" i="14"/>
  <c r="W122" i="14"/>
  <c r="N122" i="14" s="1"/>
  <c r="H122" i="14"/>
  <c r="AE121" i="14"/>
  <c r="AD121" i="14"/>
  <c r="AA121" i="14"/>
  <c r="Z121" i="14"/>
  <c r="W121" i="14"/>
  <c r="M121" i="14"/>
  <c r="W120" i="14"/>
  <c r="H120" i="14"/>
  <c r="W119" i="14"/>
  <c r="H119" i="14"/>
  <c r="W118" i="14"/>
  <c r="H118" i="14"/>
  <c r="AG117" i="14"/>
  <c r="AF117" i="14"/>
  <c r="W117" i="14"/>
  <c r="H117" i="14"/>
  <c r="AG116" i="14"/>
  <c r="AF116" i="14"/>
  <c r="W116" i="14"/>
  <c r="H116" i="14"/>
  <c r="AG115" i="14"/>
  <c r="AF115" i="14"/>
  <c r="W115" i="14"/>
  <c r="H115" i="14"/>
  <c r="AG114" i="14"/>
  <c r="AF114" i="14"/>
  <c r="H114" i="14"/>
  <c r="W113" i="14"/>
  <c r="P113" i="14"/>
  <c r="N113" i="14"/>
  <c r="H113" i="14"/>
  <c r="W112" i="14"/>
  <c r="N112" i="14" s="1"/>
  <c r="P112" i="14"/>
  <c r="H112" i="14"/>
  <c r="W111" i="14"/>
  <c r="N111" i="14" s="1"/>
  <c r="P111" i="14"/>
  <c r="H111" i="14"/>
  <c r="W110" i="14"/>
  <c r="P110" i="14"/>
  <c r="N110" i="14"/>
  <c r="H110" i="14"/>
  <c r="W109" i="14"/>
  <c r="N109" i="14" s="1"/>
  <c r="P109" i="14"/>
  <c r="H109" i="14"/>
  <c r="AE108" i="14"/>
  <c r="AD108" i="14"/>
  <c r="AA108" i="14"/>
  <c r="Z108" i="14"/>
  <c r="W108" i="14"/>
  <c r="M108" i="14"/>
  <c r="W107" i="14"/>
  <c r="H107" i="14"/>
  <c r="W106" i="14"/>
  <c r="H106" i="14"/>
  <c r="W105" i="14"/>
  <c r="H105" i="14"/>
  <c r="W104" i="14"/>
  <c r="N104" i="14" s="1"/>
  <c r="AF104" i="14" s="1"/>
  <c r="O104" i="14"/>
  <c r="P104" i="14"/>
  <c r="H104" i="14"/>
  <c r="AG103" i="14"/>
  <c r="W103" i="14"/>
  <c r="N103" i="14" s="1"/>
  <c r="AF103" i="14" s="1"/>
  <c r="H103" i="14"/>
  <c r="W102" i="14"/>
  <c r="N102" i="14" s="1"/>
  <c r="P102" i="14"/>
  <c r="H102" i="14"/>
  <c r="W101" i="14"/>
  <c r="N101" i="14" s="1"/>
  <c r="AF101" i="14" s="1"/>
  <c r="P101" i="14"/>
  <c r="H101" i="14"/>
  <c r="W100" i="14"/>
  <c r="N100" i="14" s="1"/>
  <c r="AF100" i="14" s="1"/>
  <c r="P100" i="14"/>
  <c r="H100" i="14"/>
  <c r="W99" i="14"/>
  <c r="N99" i="14" s="1"/>
  <c r="AF99" i="14" s="1"/>
  <c r="H99" i="14"/>
  <c r="W98" i="14"/>
  <c r="N98" i="14" s="1"/>
  <c r="P98" i="14"/>
  <c r="H98" i="14"/>
  <c r="W97" i="14"/>
  <c r="N97" i="14" s="1"/>
  <c r="AF97" i="14" s="1"/>
  <c r="O97" i="14"/>
  <c r="Q97" i="14" s="1"/>
  <c r="P97" i="14"/>
  <c r="H97" i="14"/>
  <c r="W96" i="14"/>
  <c r="N96" i="14" s="1"/>
  <c r="AG96" i="14" s="1"/>
  <c r="H96" i="14"/>
  <c r="AE95" i="14"/>
  <c r="AD95" i="14"/>
  <c r="AA95" i="14"/>
  <c r="Z95" i="14"/>
  <c r="M95" i="14"/>
  <c r="P95" i="14" s="1"/>
  <c r="AG94" i="14"/>
  <c r="AF94" i="14"/>
  <c r="W94" i="14"/>
  <c r="H94" i="14"/>
  <c r="AG93" i="14"/>
  <c r="AF93" i="14"/>
  <c r="W93" i="14"/>
  <c r="H93" i="14"/>
  <c r="AG92" i="14"/>
  <c r="AF92" i="14"/>
  <c r="W92" i="14"/>
  <c r="H92" i="14"/>
  <c r="AF91" i="14"/>
  <c r="W91" i="14"/>
  <c r="N91" i="14" s="1"/>
  <c r="O91" i="14"/>
  <c r="P91" i="14"/>
  <c r="H91" i="14"/>
  <c r="W90" i="14"/>
  <c r="N90" i="14"/>
  <c r="AF90" i="14" s="1"/>
  <c r="P90" i="14"/>
  <c r="H90" i="14"/>
  <c r="W89" i="14"/>
  <c r="N89" i="14" s="1"/>
  <c r="P89" i="14"/>
  <c r="H89" i="14"/>
  <c r="W88" i="14"/>
  <c r="N88" i="14" s="1"/>
  <c r="AF88" i="14" s="1"/>
  <c r="P88" i="14"/>
  <c r="H88" i="14"/>
  <c r="W87" i="14"/>
  <c r="N87" i="14" s="1"/>
  <c r="O87" i="14" s="1"/>
  <c r="P87" i="14"/>
  <c r="H87" i="14"/>
  <c r="W86" i="14"/>
  <c r="N86" i="14" s="1"/>
  <c r="H86" i="14"/>
  <c r="W85" i="14"/>
  <c r="N85" i="14" s="1"/>
  <c r="AF85" i="14" s="1"/>
  <c r="P85" i="14"/>
  <c r="H85" i="14"/>
  <c r="W84" i="14"/>
  <c r="N84" i="14" s="1"/>
  <c r="P84" i="14"/>
  <c r="H84" i="14"/>
  <c r="W83" i="14"/>
  <c r="P83" i="14"/>
  <c r="N83" i="14"/>
  <c r="H83" i="14"/>
  <c r="AE82" i="14"/>
  <c r="AD82" i="14"/>
  <c r="AA82" i="14"/>
  <c r="Z82" i="14"/>
  <c r="M82" i="14"/>
  <c r="W81" i="14"/>
  <c r="AG80" i="14"/>
  <c r="AF80" i="14"/>
  <c r="W80" i="14"/>
  <c r="H80" i="14"/>
  <c r="AG79" i="14"/>
  <c r="AF79" i="14"/>
  <c r="W79" i="14"/>
  <c r="H79" i="14"/>
  <c r="AG78" i="14"/>
  <c r="AF78" i="14"/>
  <c r="H78" i="14"/>
  <c r="W77" i="14"/>
  <c r="P77" i="14"/>
  <c r="N77" i="14"/>
  <c r="H77" i="14"/>
  <c r="W76" i="14"/>
  <c r="N76" i="14" s="1"/>
  <c r="O76" i="14" s="1"/>
  <c r="P76" i="14"/>
  <c r="H76" i="14"/>
  <c r="W75" i="14"/>
  <c r="N75" i="14" s="1"/>
  <c r="P75" i="14"/>
  <c r="H75" i="14"/>
  <c r="W74" i="14"/>
  <c r="P74" i="14"/>
  <c r="N74" i="14"/>
  <c r="O74" i="14" s="1"/>
  <c r="H74" i="14"/>
  <c r="W73" i="14"/>
  <c r="N73" i="14" s="1"/>
  <c r="P73" i="14"/>
  <c r="H73" i="14"/>
  <c r="W72" i="14"/>
  <c r="N72" i="14" s="1"/>
  <c r="O72" i="14" s="1"/>
  <c r="P72" i="14"/>
  <c r="H72" i="14"/>
  <c r="W71" i="14"/>
  <c r="P71" i="14"/>
  <c r="N71" i="14"/>
  <c r="H71" i="14"/>
  <c r="W70" i="14"/>
  <c r="N70" i="14" s="1"/>
  <c r="P70" i="14"/>
  <c r="H70" i="14"/>
  <c r="AE69" i="14"/>
  <c r="AD69" i="14"/>
  <c r="AA69" i="14"/>
  <c r="Z69" i="14"/>
  <c r="W69" i="14"/>
  <c r="M69" i="14"/>
  <c r="P69" i="14" s="1"/>
  <c r="W68" i="14"/>
  <c r="H68" i="14"/>
  <c r="AG67" i="14"/>
  <c r="AF67" i="14"/>
  <c r="W67" i="14"/>
  <c r="H67" i="14"/>
  <c r="AG66" i="14"/>
  <c r="AF66" i="14"/>
  <c r="W66" i="14"/>
  <c r="H66" i="14"/>
  <c r="AG65" i="14"/>
  <c r="AF65" i="14"/>
  <c r="W65" i="14"/>
  <c r="H65" i="14"/>
  <c r="AG64" i="14"/>
  <c r="AF64" i="14"/>
  <c r="H64" i="14"/>
  <c r="AG63" i="14"/>
  <c r="AF63" i="14"/>
  <c r="H63" i="14"/>
  <c r="AG62" i="14"/>
  <c r="AF62" i="14"/>
  <c r="H62" i="14"/>
  <c r="W61" i="14"/>
  <c r="N61" i="14" s="1"/>
  <c r="P61" i="14"/>
  <c r="H61" i="14"/>
  <c r="W60" i="14"/>
  <c r="N60" i="14" s="1"/>
  <c r="O60" i="14" s="1"/>
  <c r="P60" i="14"/>
  <c r="H60" i="14"/>
  <c r="W59" i="14"/>
  <c r="P59" i="14"/>
  <c r="N59" i="14"/>
  <c r="H59" i="14"/>
  <c r="W58" i="14"/>
  <c r="N58" i="14" s="1"/>
  <c r="O58" i="14" s="1"/>
  <c r="P58" i="14"/>
  <c r="H58" i="14"/>
  <c r="W57" i="14"/>
  <c r="N57" i="14" s="1"/>
  <c r="P57" i="14"/>
  <c r="H57" i="14"/>
  <c r="AE56" i="14"/>
  <c r="AD56" i="14"/>
  <c r="AA56" i="14"/>
  <c r="Z56" i="14"/>
  <c r="W56" i="14"/>
  <c r="M56" i="14"/>
  <c r="P56" i="14" s="1"/>
  <c r="W55" i="14"/>
  <c r="H55" i="14"/>
  <c r="W54" i="14"/>
  <c r="H54" i="14"/>
  <c r="W53" i="14"/>
  <c r="H53" i="14"/>
  <c r="AG52" i="14"/>
  <c r="AF52" i="14"/>
  <c r="W52" i="14"/>
  <c r="H52" i="14"/>
  <c r="AG51" i="14"/>
  <c r="AF51" i="14"/>
  <c r="H51" i="14"/>
  <c r="W50" i="14"/>
  <c r="P50" i="14"/>
  <c r="N50" i="14"/>
  <c r="H50" i="14"/>
  <c r="W49" i="14"/>
  <c r="P49" i="14"/>
  <c r="N49" i="14"/>
  <c r="O49" i="14" s="1"/>
  <c r="H49" i="14"/>
  <c r="W48" i="14"/>
  <c r="N48" i="14" s="1"/>
  <c r="P48" i="14"/>
  <c r="H48" i="14"/>
  <c r="W47" i="14"/>
  <c r="P47" i="14"/>
  <c r="N47" i="14"/>
  <c r="O47" i="14" s="1"/>
  <c r="H47" i="14"/>
  <c r="W46" i="14"/>
  <c r="P46" i="14"/>
  <c r="N46" i="14"/>
  <c r="H46" i="14"/>
  <c r="W45" i="14"/>
  <c r="N45" i="14" s="1"/>
  <c r="O45" i="14" s="1"/>
  <c r="P45" i="14"/>
  <c r="H45" i="14"/>
  <c r="W44" i="14"/>
  <c r="N44" i="14" s="1"/>
  <c r="P44" i="14"/>
  <c r="H44" i="14"/>
  <c r="AE43" i="14"/>
  <c r="AD43" i="14"/>
  <c r="AA43" i="14"/>
  <c r="Z43" i="14"/>
  <c r="M43" i="14"/>
  <c r="W42" i="14"/>
  <c r="H42" i="14"/>
  <c r="W41" i="14"/>
  <c r="W40" i="14"/>
  <c r="H40" i="14"/>
  <c r="H39" i="14"/>
  <c r="AG38" i="14"/>
  <c r="AF38" i="14"/>
  <c r="H38" i="14"/>
  <c r="W37" i="14"/>
  <c r="N37" i="14" s="1"/>
  <c r="AG37" i="14" s="1"/>
  <c r="P37" i="14"/>
  <c r="H37" i="14"/>
  <c r="W36" i="14"/>
  <c r="N36" i="14" s="1"/>
  <c r="O36" i="14" s="1"/>
  <c r="H36" i="14"/>
  <c r="W35" i="14"/>
  <c r="N35" i="14" s="1"/>
  <c r="P35" i="14"/>
  <c r="H35" i="14"/>
  <c r="W34" i="14"/>
  <c r="N34" i="14" s="1"/>
  <c r="O34" i="14" s="1"/>
  <c r="H34" i="14"/>
  <c r="W33" i="14"/>
  <c r="N33" i="14" s="1"/>
  <c r="AG33" i="14" s="1"/>
  <c r="P33" i="14"/>
  <c r="H33" i="14"/>
  <c r="W32" i="14"/>
  <c r="N32" i="14" s="1"/>
  <c r="O32" i="14" s="1"/>
  <c r="H32" i="14"/>
  <c r="W31" i="14"/>
  <c r="N31" i="14" s="1"/>
  <c r="H31" i="14"/>
  <c r="AE30" i="14"/>
  <c r="AD30" i="14"/>
  <c r="AA30" i="14"/>
  <c r="Z30" i="14"/>
  <c r="M30" i="14"/>
  <c r="AF29" i="14"/>
  <c r="W29" i="14"/>
  <c r="H29" i="14"/>
  <c r="AF28" i="14"/>
  <c r="W28" i="14"/>
  <c r="H28" i="14"/>
  <c r="AF27" i="14"/>
  <c r="W27" i="14"/>
  <c r="H27" i="14"/>
  <c r="AF26" i="14"/>
  <c r="W26" i="14"/>
  <c r="AF25" i="14"/>
  <c r="W25" i="14"/>
  <c r="AF24" i="14"/>
  <c r="H24" i="14"/>
  <c r="H23" i="14"/>
  <c r="W22" i="14"/>
  <c r="N22" i="14" s="1"/>
  <c r="H22" i="14"/>
  <c r="W21" i="14"/>
  <c r="N21" i="14" s="1"/>
  <c r="P21" i="14"/>
  <c r="H21" i="14"/>
  <c r="W20" i="14"/>
  <c r="N20" i="14" s="1"/>
  <c r="O20" i="14" s="1"/>
  <c r="H20" i="14"/>
  <c r="AG19" i="14"/>
  <c r="W19" i="14"/>
  <c r="N19" i="14" s="1"/>
  <c r="P19" i="14"/>
  <c r="H19" i="14"/>
  <c r="W18" i="14"/>
  <c r="N18" i="14"/>
  <c r="AF18" i="14" s="1"/>
  <c r="P18" i="14"/>
  <c r="H18" i="14"/>
  <c r="AE17" i="14"/>
  <c r="AE2" i="14" s="1"/>
  <c r="AD17" i="14"/>
  <c r="AA17" i="14"/>
  <c r="Z17" i="14"/>
  <c r="W17" i="14"/>
  <c r="M17" i="14"/>
  <c r="W16" i="14"/>
  <c r="H16" i="14"/>
  <c r="W15" i="14"/>
  <c r="H15" i="14"/>
  <c r="W14" i="14"/>
  <c r="H14" i="14"/>
  <c r="W13" i="14"/>
  <c r="H13" i="14"/>
  <c r="H12" i="14"/>
  <c r="W11" i="14"/>
  <c r="N11" i="14" s="1"/>
  <c r="O11" i="14"/>
  <c r="H11" i="14"/>
  <c r="W10" i="14"/>
  <c r="N10" i="14" s="1"/>
  <c r="P10" i="14"/>
  <c r="H10" i="14"/>
  <c r="W9" i="14"/>
  <c r="N9" i="14" s="1"/>
  <c r="O9" i="14" s="1"/>
  <c r="H9" i="14"/>
  <c r="W8" i="14"/>
  <c r="N8" i="14" s="1"/>
  <c r="AG8" i="14" s="1"/>
  <c r="P8" i="14"/>
  <c r="H8" i="14"/>
  <c r="W7" i="14"/>
  <c r="N7" i="14" s="1"/>
  <c r="O7" i="14" s="1"/>
  <c r="H7" i="14"/>
  <c r="W6" i="14"/>
  <c r="N6" i="14" s="1"/>
  <c r="P6" i="14"/>
  <c r="H6" i="14"/>
  <c r="AF5" i="14"/>
  <c r="W5" i="14"/>
  <c r="N5" i="14"/>
  <c r="O5" i="14" s="1"/>
  <c r="H5" i="14"/>
  <c r="I2" i="14"/>
  <c r="E1" i="14"/>
  <c r="AE173" i="13"/>
  <c r="AD173" i="13"/>
  <c r="AA173" i="13"/>
  <c r="Z173" i="13"/>
  <c r="M173" i="13"/>
  <c r="W172" i="13"/>
  <c r="H172" i="13"/>
  <c r="W171" i="13"/>
  <c r="H171" i="13"/>
  <c r="AG170" i="13"/>
  <c r="AF170" i="13"/>
  <c r="W170" i="13"/>
  <c r="H170" i="13"/>
  <c r="AG169" i="13"/>
  <c r="AF169" i="13"/>
  <c r="W169" i="13"/>
  <c r="H169" i="13"/>
  <c r="AG168" i="13"/>
  <c r="AF168" i="13"/>
  <c r="H168" i="13"/>
  <c r="AG167" i="13"/>
  <c r="AF167" i="13"/>
  <c r="H167" i="13"/>
  <c r="AG166" i="13"/>
  <c r="AF166" i="13"/>
  <c r="H166" i="13"/>
  <c r="W165" i="13"/>
  <c r="P165" i="13"/>
  <c r="N165" i="13"/>
  <c r="O165" i="13" s="1"/>
  <c r="H165" i="13"/>
  <c r="W164" i="13"/>
  <c r="P164" i="13"/>
  <c r="N164" i="13"/>
  <c r="O164" i="13" s="1"/>
  <c r="H164" i="13"/>
  <c r="W163" i="13"/>
  <c r="N163" i="13" s="1"/>
  <c r="O163" i="13" s="1"/>
  <c r="H163" i="13"/>
  <c r="W162" i="13"/>
  <c r="N162" i="13" s="1"/>
  <c r="AG162" i="13" s="1"/>
  <c r="P162" i="13"/>
  <c r="H162" i="13"/>
  <c r="W161" i="13"/>
  <c r="O161" i="13"/>
  <c r="Q161" i="13" s="1"/>
  <c r="N161" i="13"/>
  <c r="AG161" i="13" s="1"/>
  <c r="P161" i="13"/>
  <c r="H161" i="13"/>
  <c r="AE160" i="13"/>
  <c r="AD160" i="13"/>
  <c r="AA160" i="13"/>
  <c r="Z160" i="13"/>
  <c r="M160" i="13"/>
  <c r="P160" i="13" s="1"/>
  <c r="W159" i="13"/>
  <c r="H159" i="13"/>
  <c r="W158" i="13"/>
  <c r="H158" i="13"/>
  <c r="W157" i="13"/>
  <c r="H157" i="13"/>
  <c r="W156" i="13"/>
  <c r="H156" i="13"/>
  <c r="W155" i="13"/>
  <c r="H155" i="13"/>
  <c r="AG154" i="13"/>
  <c r="AF154" i="13"/>
  <c r="W154" i="13"/>
  <c r="H154" i="13"/>
  <c r="AG153" i="13"/>
  <c r="AF153" i="13"/>
  <c r="W153" i="13"/>
  <c r="H153" i="13"/>
  <c r="AG152" i="13"/>
  <c r="AF152" i="13"/>
  <c r="H152" i="13"/>
  <c r="AG151" i="13"/>
  <c r="AF151" i="13"/>
  <c r="W151" i="13"/>
  <c r="H151" i="13"/>
  <c r="W150" i="13"/>
  <c r="P150" i="13"/>
  <c r="N150" i="13"/>
  <c r="H150" i="13"/>
  <c r="W149" i="13"/>
  <c r="N149" i="13" s="1"/>
  <c r="O149" i="13" s="1"/>
  <c r="P149" i="13"/>
  <c r="H149" i="13"/>
  <c r="W148" i="13"/>
  <c r="N148" i="13" s="1"/>
  <c r="N160" i="13" s="1"/>
  <c r="P148" i="13"/>
  <c r="H148" i="13"/>
  <c r="AE147" i="13"/>
  <c r="AD147" i="13"/>
  <c r="AA147" i="13"/>
  <c r="Z147" i="13"/>
  <c r="W147" i="13"/>
  <c r="M147" i="13"/>
  <c r="P147" i="13" s="1"/>
  <c r="W146" i="13"/>
  <c r="H146" i="13"/>
  <c r="AG145" i="13"/>
  <c r="AF145" i="13"/>
  <c r="W145" i="13"/>
  <c r="H145" i="13"/>
  <c r="AG144" i="13"/>
  <c r="AF144" i="13"/>
  <c r="W144" i="13"/>
  <c r="H144" i="13"/>
  <c r="W143" i="13"/>
  <c r="N143" i="13" s="1"/>
  <c r="O143" i="13" s="1"/>
  <c r="H143" i="13"/>
  <c r="AG142" i="13"/>
  <c r="W142" i="13"/>
  <c r="N142" i="13" s="1"/>
  <c r="P142" i="13"/>
  <c r="H142" i="13"/>
  <c r="W141" i="13"/>
  <c r="N141" i="13" s="1"/>
  <c r="O141" i="13" s="1"/>
  <c r="H141" i="13"/>
  <c r="W140" i="13"/>
  <c r="N140" i="13" s="1"/>
  <c r="P140" i="13"/>
  <c r="H140" i="13"/>
  <c r="W139" i="13"/>
  <c r="N139" i="13" s="1"/>
  <c r="O139" i="13" s="1"/>
  <c r="H139" i="13"/>
  <c r="AG138" i="13"/>
  <c r="W138" i="13"/>
  <c r="N138" i="13" s="1"/>
  <c r="P138" i="13"/>
  <c r="H138" i="13"/>
  <c r="W137" i="13"/>
  <c r="N137" i="13" s="1"/>
  <c r="O137" i="13" s="1"/>
  <c r="H137" i="13"/>
  <c r="W136" i="13"/>
  <c r="N136" i="13" s="1"/>
  <c r="P136" i="13"/>
  <c r="H136" i="13"/>
  <c r="W135" i="13"/>
  <c r="N135" i="13" s="1"/>
  <c r="P135" i="13"/>
  <c r="H135" i="13"/>
  <c r="AE134" i="13"/>
  <c r="AD134" i="13"/>
  <c r="AA134" i="13"/>
  <c r="Z134" i="13"/>
  <c r="M134" i="13"/>
  <c r="P134" i="13" s="1"/>
  <c r="W133" i="13"/>
  <c r="H133" i="13"/>
  <c r="W132" i="13"/>
  <c r="H132" i="13"/>
  <c r="W131" i="13"/>
  <c r="H131" i="13"/>
  <c r="W130" i="13"/>
  <c r="H130" i="13"/>
  <c r="H129" i="13"/>
  <c r="W128" i="13"/>
  <c r="P128" i="13"/>
  <c r="N128" i="13"/>
  <c r="H128" i="13"/>
  <c r="W127" i="13"/>
  <c r="N127" i="13" s="1"/>
  <c r="O127" i="13" s="1"/>
  <c r="P127" i="13"/>
  <c r="H127" i="13"/>
  <c r="W126" i="13"/>
  <c r="N126" i="13" s="1"/>
  <c r="P126" i="13"/>
  <c r="H126" i="13"/>
  <c r="W125" i="13"/>
  <c r="P125" i="13"/>
  <c r="N125" i="13"/>
  <c r="O125" i="13" s="1"/>
  <c r="H125" i="13"/>
  <c r="W124" i="13"/>
  <c r="N124" i="13" s="1"/>
  <c r="P124" i="13"/>
  <c r="H124" i="13"/>
  <c r="W123" i="13"/>
  <c r="N123" i="13" s="1"/>
  <c r="O123" i="13" s="1"/>
  <c r="P123" i="13"/>
  <c r="H123" i="13"/>
  <c r="W122" i="13"/>
  <c r="N122" i="13" s="1"/>
  <c r="P122" i="13"/>
  <c r="H122" i="13"/>
  <c r="AE121" i="13"/>
  <c r="AD121" i="13"/>
  <c r="AA121" i="13"/>
  <c r="Z121" i="13"/>
  <c r="W121" i="13"/>
  <c r="M121" i="13"/>
  <c r="W120" i="13"/>
  <c r="H120" i="13"/>
  <c r="W119" i="13"/>
  <c r="H119" i="13"/>
  <c r="W118" i="13"/>
  <c r="H118" i="13"/>
  <c r="AG117" i="13"/>
  <c r="AF117" i="13"/>
  <c r="W117" i="13"/>
  <c r="H117" i="13"/>
  <c r="AG116" i="13"/>
  <c r="AF116" i="13"/>
  <c r="W116" i="13"/>
  <c r="H116" i="13"/>
  <c r="AG115" i="13"/>
  <c r="AF115" i="13"/>
  <c r="W115" i="13"/>
  <c r="H115" i="13"/>
  <c r="AG114" i="13"/>
  <c r="AF114" i="13"/>
  <c r="H114" i="13"/>
  <c r="AG113" i="13"/>
  <c r="W113" i="13"/>
  <c r="N113" i="13" s="1"/>
  <c r="P113" i="13"/>
  <c r="H113" i="13"/>
  <c r="W112" i="13"/>
  <c r="N112" i="13" s="1"/>
  <c r="O112" i="13" s="1"/>
  <c r="H112" i="13"/>
  <c r="AG111" i="13"/>
  <c r="W111" i="13"/>
  <c r="N111" i="13" s="1"/>
  <c r="P111" i="13"/>
  <c r="H111" i="13"/>
  <c r="W110" i="13"/>
  <c r="N110" i="13" s="1"/>
  <c r="O110" i="13"/>
  <c r="H110" i="13"/>
  <c r="W109" i="13"/>
  <c r="N109" i="13" s="1"/>
  <c r="H109" i="13"/>
  <c r="AE108" i="13"/>
  <c r="AD108" i="13"/>
  <c r="AA108" i="13"/>
  <c r="Z108" i="13"/>
  <c r="W108" i="13"/>
  <c r="M108" i="13"/>
  <c r="W107" i="13"/>
  <c r="H107" i="13"/>
  <c r="W106" i="13"/>
  <c r="H106" i="13"/>
  <c r="W105" i="13"/>
  <c r="H105" i="13"/>
  <c r="W104" i="13"/>
  <c r="P104" i="13"/>
  <c r="N104" i="13"/>
  <c r="H104" i="13"/>
  <c r="W103" i="13"/>
  <c r="N103" i="13" s="1"/>
  <c r="P103" i="13"/>
  <c r="H103" i="13"/>
  <c r="W102" i="13"/>
  <c r="P102" i="13"/>
  <c r="N102" i="13"/>
  <c r="H102" i="13"/>
  <c r="W101" i="13"/>
  <c r="N101" i="13" s="1"/>
  <c r="AF101" i="13" s="1"/>
  <c r="P101" i="13"/>
  <c r="H101" i="13"/>
  <c r="W100" i="13"/>
  <c r="N100" i="13" s="1"/>
  <c r="P100" i="13"/>
  <c r="H100" i="13"/>
  <c r="W99" i="13"/>
  <c r="N99" i="13" s="1"/>
  <c r="P99" i="13"/>
  <c r="H99" i="13"/>
  <c r="W98" i="13"/>
  <c r="P98" i="13"/>
  <c r="N98" i="13"/>
  <c r="H98" i="13"/>
  <c r="W97" i="13"/>
  <c r="N97" i="13" s="1"/>
  <c r="AF97" i="13" s="1"/>
  <c r="P97" i="13"/>
  <c r="H97" i="13"/>
  <c r="W96" i="13"/>
  <c r="N96" i="13" s="1"/>
  <c r="P96" i="13"/>
  <c r="H96" i="13"/>
  <c r="AE95" i="13"/>
  <c r="AD95" i="13"/>
  <c r="AA95" i="13"/>
  <c r="Z95" i="13"/>
  <c r="M95" i="13"/>
  <c r="P95" i="13" s="1"/>
  <c r="AG94" i="13"/>
  <c r="AF94" i="13"/>
  <c r="W94" i="13"/>
  <c r="H94" i="13"/>
  <c r="AG93" i="13"/>
  <c r="AF93" i="13"/>
  <c r="W93" i="13"/>
  <c r="H93" i="13"/>
  <c r="AG92" i="13"/>
  <c r="AF92" i="13"/>
  <c r="W92" i="13"/>
  <c r="H92" i="13"/>
  <c r="W91" i="13"/>
  <c r="N91" i="13" s="1"/>
  <c r="AF91" i="13" s="1"/>
  <c r="P91" i="13"/>
  <c r="H91" i="13"/>
  <c r="W90" i="13"/>
  <c r="N90" i="13" s="1"/>
  <c r="P90" i="13"/>
  <c r="H90" i="13"/>
  <c r="W89" i="13"/>
  <c r="N89" i="13" s="1"/>
  <c r="P89" i="13"/>
  <c r="H89" i="13"/>
  <c r="W88" i="13"/>
  <c r="N88" i="13" s="1"/>
  <c r="P88" i="13"/>
  <c r="H88" i="13"/>
  <c r="W87" i="13"/>
  <c r="N87" i="13" s="1"/>
  <c r="AF87" i="13" s="1"/>
  <c r="P87" i="13"/>
  <c r="H87" i="13"/>
  <c r="W86" i="13"/>
  <c r="N86" i="13" s="1"/>
  <c r="P86" i="13"/>
  <c r="H86" i="13"/>
  <c r="W85" i="13"/>
  <c r="N85" i="13" s="1"/>
  <c r="P85" i="13"/>
  <c r="H85" i="13"/>
  <c r="W84" i="13"/>
  <c r="N84" i="13" s="1"/>
  <c r="P84" i="13"/>
  <c r="H84" i="13"/>
  <c r="W83" i="13"/>
  <c r="N83" i="13" s="1"/>
  <c r="P83" i="13"/>
  <c r="H83" i="13"/>
  <c r="AE82" i="13"/>
  <c r="AD82" i="13"/>
  <c r="AA82" i="13"/>
  <c r="Z82" i="13"/>
  <c r="M82" i="13"/>
  <c r="P82" i="13" s="1"/>
  <c r="W81" i="13"/>
  <c r="AG80" i="13"/>
  <c r="AF80" i="13"/>
  <c r="W80" i="13"/>
  <c r="H80" i="13"/>
  <c r="AG79" i="13"/>
  <c r="AF79" i="13"/>
  <c r="W79" i="13"/>
  <c r="H79" i="13"/>
  <c r="AG78" i="13"/>
  <c r="AF78" i="13"/>
  <c r="H78" i="13"/>
  <c r="W77" i="13"/>
  <c r="N77" i="13" s="1"/>
  <c r="P77" i="13"/>
  <c r="H77" i="13"/>
  <c r="W76" i="13"/>
  <c r="N76" i="13" s="1"/>
  <c r="O76" i="13" s="1"/>
  <c r="P76" i="13"/>
  <c r="H76" i="13"/>
  <c r="W75" i="13"/>
  <c r="N75" i="13" s="1"/>
  <c r="P75" i="13"/>
  <c r="H75" i="13"/>
  <c r="W74" i="13"/>
  <c r="N74" i="13" s="1"/>
  <c r="O74" i="13" s="1"/>
  <c r="P74" i="13"/>
  <c r="H74" i="13"/>
  <c r="W73" i="13"/>
  <c r="N73" i="13" s="1"/>
  <c r="P73" i="13"/>
  <c r="H73" i="13"/>
  <c r="W72" i="13"/>
  <c r="N72" i="13" s="1"/>
  <c r="O72" i="13" s="1"/>
  <c r="P72" i="13"/>
  <c r="H72" i="13"/>
  <c r="W71" i="13"/>
  <c r="N71" i="13" s="1"/>
  <c r="P71" i="13"/>
  <c r="H71" i="13"/>
  <c r="W70" i="13"/>
  <c r="N70" i="13" s="1"/>
  <c r="P70" i="13"/>
  <c r="H70" i="13"/>
  <c r="AE69" i="13"/>
  <c r="AD69" i="13"/>
  <c r="AA69" i="13"/>
  <c r="Z69" i="13"/>
  <c r="W69" i="13"/>
  <c r="M69" i="13"/>
  <c r="P69" i="13" s="1"/>
  <c r="W68" i="13"/>
  <c r="H68" i="13"/>
  <c r="AG67" i="13"/>
  <c r="AF67" i="13"/>
  <c r="W67" i="13"/>
  <c r="H67" i="13"/>
  <c r="AG66" i="13"/>
  <c r="AF66" i="13"/>
  <c r="W66" i="13"/>
  <c r="H66" i="13"/>
  <c r="AG65" i="13"/>
  <c r="AF65" i="13"/>
  <c r="W65" i="13"/>
  <c r="H65" i="13"/>
  <c r="AG64" i="13"/>
  <c r="AF64" i="13"/>
  <c r="H64" i="13"/>
  <c r="AG63" i="13"/>
  <c r="AF63" i="13"/>
  <c r="H63" i="13"/>
  <c r="AG62" i="13"/>
  <c r="AF62" i="13"/>
  <c r="H62" i="13"/>
  <c r="W61" i="13"/>
  <c r="N61" i="13" s="1"/>
  <c r="P61" i="13"/>
  <c r="H61" i="13"/>
  <c r="W60" i="13"/>
  <c r="N60" i="13" s="1"/>
  <c r="P60" i="13"/>
  <c r="H60" i="13"/>
  <c r="W59" i="13"/>
  <c r="P59" i="13"/>
  <c r="N59" i="13"/>
  <c r="H59" i="13"/>
  <c r="W58" i="13"/>
  <c r="N58" i="13" s="1"/>
  <c r="P58" i="13"/>
  <c r="H58" i="13"/>
  <c r="W57" i="13"/>
  <c r="N57" i="13" s="1"/>
  <c r="O57" i="13" s="1"/>
  <c r="H57" i="13"/>
  <c r="AE56" i="13"/>
  <c r="AD56" i="13"/>
  <c r="AA56" i="13"/>
  <c r="Z56" i="13"/>
  <c r="W56" i="13"/>
  <c r="M56" i="13"/>
  <c r="P56" i="13" s="1"/>
  <c r="W55" i="13"/>
  <c r="H55" i="13"/>
  <c r="W54" i="13"/>
  <c r="H54" i="13"/>
  <c r="W53" i="13"/>
  <c r="H53" i="13"/>
  <c r="AG52" i="13"/>
  <c r="AF52" i="13"/>
  <c r="W52" i="13"/>
  <c r="H52" i="13"/>
  <c r="AG51" i="13"/>
  <c r="AF51" i="13"/>
  <c r="H51" i="13"/>
  <c r="W50" i="13"/>
  <c r="N50" i="13" s="1"/>
  <c r="P50" i="13"/>
  <c r="H50" i="13"/>
  <c r="W49" i="13"/>
  <c r="N49" i="13" s="1"/>
  <c r="P49" i="13"/>
  <c r="H49" i="13"/>
  <c r="W48" i="13"/>
  <c r="N48" i="13" s="1"/>
  <c r="P48" i="13"/>
  <c r="H48" i="13"/>
  <c r="W47" i="13"/>
  <c r="N47" i="13" s="1"/>
  <c r="P47" i="13"/>
  <c r="H47" i="13"/>
  <c r="W46" i="13"/>
  <c r="N46" i="13" s="1"/>
  <c r="P46" i="13"/>
  <c r="H46" i="13"/>
  <c r="W45" i="13"/>
  <c r="N45" i="13" s="1"/>
  <c r="P45" i="13"/>
  <c r="H45" i="13"/>
  <c r="W44" i="13"/>
  <c r="N44" i="13" s="1"/>
  <c r="P44" i="13"/>
  <c r="H44" i="13"/>
  <c r="AE43" i="13"/>
  <c r="AD43" i="13"/>
  <c r="AA43" i="13"/>
  <c r="Z43" i="13"/>
  <c r="M43" i="13"/>
  <c r="W42" i="13"/>
  <c r="H42" i="13"/>
  <c r="W41" i="13"/>
  <c r="W40" i="13"/>
  <c r="H40" i="13"/>
  <c r="H39" i="13"/>
  <c r="AG38" i="13"/>
  <c r="AF38" i="13"/>
  <c r="H38" i="13"/>
  <c r="W37" i="13"/>
  <c r="P37" i="13"/>
  <c r="N37" i="13"/>
  <c r="O37" i="13" s="1"/>
  <c r="Q37" i="13" s="1"/>
  <c r="AF37" i="13"/>
  <c r="H37" i="13"/>
  <c r="W36" i="13"/>
  <c r="N36" i="13" s="1"/>
  <c r="O36" i="13"/>
  <c r="P36" i="13"/>
  <c r="H36" i="13"/>
  <c r="W35" i="13"/>
  <c r="P35" i="13"/>
  <c r="N35" i="13"/>
  <c r="O35" i="13" s="1"/>
  <c r="R35" i="13" s="1"/>
  <c r="H35" i="13"/>
  <c r="W34" i="13"/>
  <c r="N34" i="13" s="1"/>
  <c r="P34" i="13"/>
  <c r="H34" i="13"/>
  <c r="W33" i="13"/>
  <c r="N33" i="13" s="1"/>
  <c r="P33" i="13"/>
  <c r="H33" i="13"/>
  <c r="W32" i="13"/>
  <c r="N32" i="13" s="1"/>
  <c r="O32" i="13" s="1"/>
  <c r="P32" i="13"/>
  <c r="H32" i="13"/>
  <c r="W31" i="13"/>
  <c r="N31" i="13" s="1"/>
  <c r="H31" i="13"/>
  <c r="AE30" i="13"/>
  <c r="AD30" i="13"/>
  <c r="AA30" i="13"/>
  <c r="Z30" i="13"/>
  <c r="M30" i="13"/>
  <c r="P30" i="13" s="1"/>
  <c r="AF29" i="13"/>
  <c r="W29" i="13"/>
  <c r="H29" i="13"/>
  <c r="AF28" i="13"/>
  <c r="W28" i="13"/>
  <c r="H28" i="13"/>
  <c r="AF27" i="13"/>
  <c r="W27" i="13"/>
  <c r="H27" i="13"/>
  <c r="AF26" i="13"/>
  <c r="W26" i="13"/>
  <c r="AF25" i="13"/>
  <c r="W25" i="13"/>
  <c r="AF24" i="13"/>
  <c r="H24" i="13"/>
  <c r="H23" i="13"/>
  <c r="W22" i="13"/>
  <c r="N22" i="13" s="1"/>
  <c r="O22" i="13" s="1"/>
  <c r="P22" i="13"/>
  <c r="H22" i="13"/>
  <c r="W21" i="13"/>
  <c r="N21" i="13" s="1"/>
  <c r="P21" i="13"/>
  <c r="H21" i="13"/>
  <c r="W20" i="13"/>
  <c r="N20" i="13" s="1"/>
  <c r="O20" i="13" s="1"/>
  <c r="P20" i="13"/>
  <c r="H20" i="13"/>
  <c r="W19" i="13"/>
  <c r="N19" i="13" s="1"/>
  <c r="P19" i="13"/>
  <c r="H19" i="13"/>
  <c r="W18" i="13"/>
  <c r="N18" i="13" s="1"/>
  <c r="AF18" i="13" s="1"/>
  <c r="P18" i="13"/>
  <c r="H18" i="13"/>
  <c r="AE17" i="13"/>
  <c r="AD17" i="13"/>
  <c r="AD2" i="13" s="1"/>
  <c r="AA17" i="13"/>
  <c r="Z17" i="13"/>
  <c r="Z2" i="13" s="1"/>
  <c r="W17" i="13"/>
  <c r="M17" i="13"/>
  <c r="W16" i="13"/>
  <c r="H16" i="13"/>
  <c r="W15" i="13"/>
  <c r="H15" i="13"/>
  <c r="W14" i="13"/>
  <c r="H14" i="13"/>
  <c r="W13" i="13"/>
  <c r="H13" i="13"/>
  <c r="W12" i="13"/>
  <c r="N12" i="13"/>
  <c r="O12" i="13" s="1"/>
  <c r="Q12" i="13" s="1"/>
  <c r="P12" i="13"/>
  <c r="H12" i="13"/>
  <c r="W11" i="13"/>
  <c r="N11" i="13" s="1"/>
  <c r="P11" i="13"/>
  <c r="H11" i="13"/>
  <c r="W10" i="13"/>
  <c r="N10" i="13" s="1"/>
  <c r="P10" i="13"/>
  <c r="H10" i="13"/>
  <c r="W9" i="13"/>
  <c r="N9" i="13" s="1"/>
  <c r="P9" i="13"/>
  <c r="H9" i="13"/>
  <c r="W8" i="13"/>
  <c r="N8" i="13" s="1"/>
  <c r="P8" i="13"/>
  <c r="H8" i="13"/>
  <c r="W7" i="13"/>
  <c r="N7" i="13" s="1"/>
  <c r="P7" i="13"/>
  <c r="H7" i="13"/>
  <c r="W6" i="13"/>
  <c r="N6" i="13"/>
  <c r="P6" i="13"/>
  <c r="H6" i="13"/>
  <c r="W5" i="13"/>
  <c r="N5" i="13" s="1"/>
  <c r="AG5" i="13" s="1"/>
  <c r="P17" i="13"/>
  <c r="H5" i="13"/>
  <c r="I2" i="13"/>
  <c r="E1" i="13"/>
  <c r="AF137" i="15" l="1"/>
  <c r="AG137" i="15"/>
  <c r="AF19" i="15"/>
  <c r="AG19" i="15"/>
  <c r="O33" i="13"/>
  <c r="Q33" i="13" s="1"/>
  <c r="AG33" i="13"/>
  <c r="AF33" i="13"/>
  <c r="AF141" i="15"/>
  <c r="AG141" i="15"/>
  <c r="N43" i="16"/>
  <c r="AF43" i="16" s="1"/>
  <c r="AF97" i="17"/>
  <c r="AG97" i="17"/>
  <c r="AF101" i="17"/>
  <c r="AG101" i="17"/>
  <c r="AG109" i="17"/>
  <c r="O109" i="17"/>
  <c r="O128" i="15"/>
  <c r="R128" i="15" s="1"/>
  <c r="AG128" i="15"/>
  <c r="AF128" i="15"/>
  <c r="O73" i="16"/>
  <c r="AG73" i="16"/>
  <c r="O91" i="17"/>
  <c r="R91" i="17" s="1"/>
  <c r="AG91" i="17"/>
  <c r="AF91" i="17"/>
  <c r="AG109" i="13"/>
  <c r="O109" i="13"/>
  <c r="AF148" i="14"/>
  <c r="O148" i="14"/>
  <c r="Q148" i="14" s="1"/>
  <c r="O113" i="17"/>
  <c r="AF113" i="17"/>
  <c r="AG113" i="17"/>
  <c r="AF21" i="13"/>
  <c r="AG21" i="13"/>
  <c r="AF74" i="15"/>
  <c r="AG74" i="15"/>
  <c r="O142" i="17"/>
  <c r="AG142" i="17"/>
  <c r="AF21" i="15"/>
  <c r="AG21" i="15"/>
  <c r="AF60" i="15"/>
  <c r="AG60" i="15"/>
  <c r="AF84" i="16"/>
  <c r="AG84" i="16"/>
  <c r="O85" i="17"/>
  <c r="AF85" i="17"/>
  <c r="AG85" i="17"/>
  <c r="AG31" i="13"/>
  <c r="O31" i="13"/>
  <c r="O77" i="16"/>
  <c r="R77" i="16" s="1"/>
  <c r="AG77" i="16"/>
  <c r="O71" i="16"/>
  <c r="AG71" i="16"/>
  <c r="O89" i="17"/>
  <c r="Q89" i="17" s="1"/>
  <c r="AG89" i="17"/>
  <c r="AF89" i="17"/>
  <c r="O99" i="17"/>
  <c r="AG99" i="17"/>
  <c r="AF99" i="17"/>
  <c r="N30" i="15"/>
  <c r="AF30" i="15" s="1"/>
  <c r="AF18" i="15"/>
  <c r="O162" i="15"/>
  <c r="AG162" i="15"/>
  <c r="AF162" i="15"/>
  <c r="AF35" i="15"/>
  <c r="AG35" i="15"/>
  <c r="O124" i="16"/>
  <c r="R124" i="16" s="1"/>
  <c r="AG124" i="16"/>
  <c r="AF19" i="13"/>
  <c r="AG19" i="13"/>
  <c r="AF86" i="14"/>
  <c r="AG86" i="14"/>
  <c r="O86" i="14"/>
  <c r="AF72" i="15"/>
  <c r="AG72" i="15"/>
  <c r="AG83" i="15"/>
  <c r="AF83" i="15"/>
  <c r="O83" i="15"/>
  <c r="O101" i="14"/>
  <c r="Q101" i="14" s="1"/>
  <c r="O122" i="15"/>
  <c r="O83" i="17"/>
  <c r="AA2" i="13"/>
  <c r="Q35" i="13"/>
  <c r="AG37" i="13"/>
  <c r="AF161" i="13"/>
  <c r="AF164" i="13"/>
  <c r="AG90" i="14"/>
  <c r="AG37" i="15"/>
  <c r="AG58" i="15"/>
  <c r="AG139" i="15"/>
  <c r="Q111" i="17"/>
  <c r="Z2" i="14"/>
  <c r="AG85" i="14"/>
  <c r="O96" i="14"/>
  <c r="AG101" i="14"/>
  <c r="AF122" i="15"/>
  <c r="G1" i="16"/>
  <c r="G2" i="16" s="1"/>
  <c r="O24" i="17"/>
  <c r="Q24" i="17" s="1"/>
  <c r="AG35" i="13"/>
  <c r="AG111" i="17"/>
  <c r="AG164" i="17"/>
  <c r="O18" i="14"/>
  <c r="Q18" i="14" s="1"/>
  <c r="AF96" i="14"/>
  <c r="AG99" i="14"/>
  <c r="AF126" i="15"/>
  <c r="AF87" i="17"/>
  <c r="AG127" i="17"/>
  <c r="AF165" i="13"/>
  <c r="I1" i="14"/>
  <c r="O100" i="14"/>
  <c r="AG85" i="15"/>
  <c r="AF124" i="15"/>
  <c r="AG19" i="16"/>
  <c r="AG125" i="17"/>
  <c r="AE2" i="13"/>
  <c r="AG33" i="15"/>
  <c r="AF57" i="15"/>
  <c r="AG76" i="15"/>
  <c r="N121" i="16"/>
  <c r="AF103" i="17"/>
  <c r="AG165" i="17"/>
  <c r="AG150" i="16"/>
  <c r="AG87" i="17"/>
  <c r="AF35" i="13"/>
  <c r="O90" i="14"/>
  <c r="AA2" i="14"/>
  <c r="AG97" i="14"/>
  <c r="AG100" i="16"/>
  <c r="AF109" i="16"/>
  <c r="AG112" i="16"/>
  <c r="AF111" i="17"/>
  <c r="AG123" i="17"/>
  <c r="R22" i="13"/>
  <c r="Q22" i="13"/>
  <c r="AG6" i="13"/>
  <c r="AF6" i="13"/>
  <c r="O6" i="13"/>
  <c r="O7" i="13"/>
  <c r="AG7" i="13"/>
  <c r="AG8" i="13"/>
  <c r="AF8" i="13"/>
  <c r="O8" i="13"/>
  <c r="O9" i="13"/>
  <c r="AG9" i="13"/>
  <c r="AG10" i="13"/>
  <c r="AF10" i="13"/>
  <c r="O10" i="13"/>
  <c r="O11" i="13"/>
  <c r="AG11" i="13"/>
  <c r="R20" i="13"/>
  <c r="Q20" i="13"/>
  <c r="AG34" i="13"/>
  <c r="AF34" i="13"/>
  <c r="R36" i="13"/>
  <c r="Q36" i="13"/>
  <c r="O45" i="13"/>
  <c r="AG45" i="13"/>
  <c r="AG46" i="13"/>
  <c r="AF46" i="13"/>
  <c r="O46" i="13"/>
  <c r="O47" i="13"/>
  <c r="AG47" i="13"/>
  <c r="AG48" i="13"/>
  <c r="AF48" i="13"/>
  <c r="O48" i="13"/>
  <c r="O49" i="13"/>
  <c r="AG49" i="13"/>
  <c r="AG50" i="13"/>
  <c r="AF50" i="13"/>
  <c r="O50" i="13"/>
  <c r="AG58" i="13"/>
  <c r="AF58" i="13"/>
  <c r="O58" i="13"/>
  <c r="O59" i="13"/>
  <c r="AG59" i="13"/>
  <c r="AF59" i="13"/>
  <c r="O60" i="13"/>
  <c r="AG60" i="13"/>
  <c r="AG126" i="13"/>
  <c r="AF126" i="13"/>
  <c r="O126" i="13"/>
  <c r="P7" i="14"/>
  <c r="P11" i="14"/>
  <c r="AG22" i="14"/>
  <c r="AF22" i="14"/>
  <c r="O22" i="14"/>
  <c r="AG31" i="14"/>
  <c r="AF31" i="14"/>
  <c r="N43" i="14"/>
  <c r="O31" i="14"/>
  <c r="AF35" i="14"/>
  <c r="O35" i="14"/>
  <c r="AG35" i="14"/>
  <c r="AG48" i="14"/>
  <c r="AF48" i="14"/>
  <c r="O48" i="14"/>
  <c r="AF60" i="14"/>
  <c r="AF76" i="14"/>
  <c r="AG73" i="15"/>
  <c r="AF73" i="15"/>
  <c r="O73" i="15"/>
  <c r="AF7" i="13"/>
  <c r="AF9" i="13"/>
  <c r="AF11" i="13"/>
  <c r="R12" i="13"/>
  <c r="AG20" i="13"/>
  <c r="AF20" i="13"/>
  <c r="R32" i="13"/>
  <c r="R33" i="13"/>
  <c r="AG36" i="13"/>
  <c r="AF36" i="13"/>
  <c r="AF45" i="13"/>
  <c r="AF47" i="13"/>
  <c r="AF49" i="13"/>
  <c r="R72" i="13"/>
  <c r="Q72" i="13"/>
  <c r="R76" i="13"/>
  <c r="Q76" i="13"/>
  <c r="AF123" i="13"/>
  <c r="O135" i="13"/>
  <c r="AG135" i="13"/>
  <c r="N147" i="13"/>
  <c r="AF135" i="13"/>
  <c r="AF6" i="14"/>
  <c r="O6" i="14"/>
  <c r="AG6" i="14"/>
  <c r="AF10" i="14"/>
  <c r="O10" i="14"/>
  <c r="AG10" i="14"/>
  <c r="AF45" i="14"/>
  <c r="AG59" i="14"/>
  <c r="AF59" i="14"/>
  <c r="O59" i="14"/>
  <c r="AG75" i="14"/>
  <c r="AF75" i="14"/>
  <c r="O75" i="14"/>
  <c r="R91" i="14"/>
  <c r="Q91" i="14"/>
  <c r="N121" i="14"/>
  <c r="O109" i="14"/>
  <c r="AF109" i="14"/>
  <c r="AG109" i="14"/>
  <c r="G1" i="15"/>
  <c r="G2" i="15" s="1"/>
  <c r="G1" i="13"/>
  <c r="G2" i="13" s="1"/>
  <c r="N17" i="13"/>
  <c r="AF5" i="13"/>
  <c r="O5" i="13"/>
  <c r="AG22" i="13"/>
  <c r="AF22" i="13"/>
  <c r="P31" i="13"/>
  <c r="N56" i="13"/>
  <c r="O44" i="13"/>
  <c r="AG44" i="13"/>
  <c r="AF44" i="13"/>
  <c r="N69" i="13"/>
  <c r="AF57" i="13"/>
  <c r="AG57" i="13"/>
  <c r="AG84" i="13"/>
  <c r="AF84" i="13"/>
  <c r="O84" i="13"/>
  <c r="R137" i="13"/>
  <c r="P137" i="13"/>
  <c r="R141" i="13"/>
  <c r="P141" i="13"/>
  <c r="AF149" i="13"/>
  <c r="R7" i="14"/>
  <c r="Q7" i="14"/>
  <c r="P31" i="14"/>
  <c r="AF72" i="14"/>
  <c r="AF102" i="14"/>
  <c r="O102" i="14"/>
  <c r="AG102" i="14"/>
  <c r="AG140" i="14"/>
  <c r="AF140" i="14"/>
  <c r="O140" i="14"/>
  <c r="N30" i="13"/>
  <c r="O18" i="13"/>
  <c r="AG18" i="13"/>
  <c r="AG32" i="13"/>
  <c r="AF32" i="13"/>
  <c r="O34" i="13"/>
  <c r="R37" i="13"/>
  <c r="P43" i="13"/>
  <c r="I1" i="13"/>
  <c r="AF60" i="13"/>
  <c r="O96" i="13"/>
  <c r="AG96" i="13"/>
  <c r="N108" i="13"/>
  <c r="AF96" i="13"/>
  <c r="AF127" i="13"/>
  <c r="N134" i="13"/>
  <c r="AF136" i="13"/>
  <c r="O136" i="13"/>
  <c r="AG136" i="13"/>
  <c r="AF140" i="13"/>
  <c r="O140" i="13"/>
  <c r="AG140" i="13"/>
  <c r="Q5" i="14"/>
  <c r="N30" i="14"/>
  <c r="R32" i="14"/>
  <c r="P32" i="14"/>
  <c r="R36" i="14"/>
  <c r="P36" i="14"/>
  <c r="AF49" i="14"/>
  <c r="N56" i="14"/>
  <c r="AG71" i="14"/>
  <c r="AF71" i="14"/>
  <c r="O71" i="14"/>
  <c r="AF84" i="14"/>
  <c r="AG84" i="14"/>
  <c r="O84" i="14"/>
  <c r="P99" i="14"/>
  <c r="AG150" i="14"/>
  <c r="AF150" i="14"/>
  <c r="O150" i="14"/>
  <c r="N43" i="13"/>
  <c r="P57" i="13"/>
  <c r="N82" i="13"/>
  <c r="AF70" i="13"/>
  <c r="O70" i="13"/>
  <c r="AG70" i="13"/>
  <c r="AG73" i="13"/>
  <c r="AF73" i="13"/>
  <c r="O73" i="13"/>
  <c r="AF74" i="13"/>
  <c r="AG77" i="13"/>
  <c r="AF77" i="13"/>
  <c r="O77" i="13"/>
  <c r="AF83" i="13"/>
  <c r="N95" i="13"/>
  <c r="O83" i="13"/>
  <c r="AG83" i="13"/>
  <c r="O85" i="13"/>
  <c r="AG85" i="13"/>
  <c r="AG86" i="13"/>
  <c r="AF86" i="13"/>
  <c r="O86" i="13"/>
  <c r="O89" i="13"/>
  <c r="AG89" i="13"/>
  <c r="AG90" i="13"/>
  <c r="AF90" i="13"/>
  <c r="O90" i="13"/>
  <c r="O99" i="13"/>
  <c r="AG99" i="13"/>
  <c r="AG100" i="13"/>
  <c r="AF100" i="13"/>
  <c r="O100" i="13"/>
  <c r="O103" i="13"/>
  <c r="AG103" i="13"/>
  <c r="AG104" i="13"/>
  <c r="AF104" i="13"/>
  <c r="O104" i="13"/>
  <c r="R109" i="13"/>
  <c r="P109" i="13"/>
  <c r="P121" i="13"/>
  <c r="R123" i="13"/>
  <c r="Q123" i="13"/>
  <c r="R127" i="13"/>
  <c r="Q127" i="13"/>
  <c r="AG139" i="13"/>
  <c r="AF139" i="13"/>
  <c r="AG143" i="13"/>
  <c r="AF143" i="13"/>
  <c r="R149" i="13"/>
  <c r="Q149" i="13"/>
  <c r="AG160" i="13"/>
  <c r="AH148" i="13" s="1"/>
  <c r="AF160" i="13"/>
  <c r="R164" i="13"/>
  <c r="Q164" i="13"/>
  <c r="R165" i="13"/>
  <c r="Q165" i="13"/>
  <c r="G1" i="14"/>
  <c r="G2" i="14" s="1"/>
  <c r="N17" i="14"/>
  <c r="AG9" i="14"/>
  <c r="AF9" i="14"/>
  <c r="AF21" i="14"/>
  <c r="O21" i="14"/>
  <c r="P22" i="14"/>
  <c r="AG34" i="14"/>
  <c r="AF34" i="14"/>
  <c r="R45" i="14"/>
  <c r="Q45" i="14"/>
  <c r="R49" i="14"/>
  <c r="Q49" i="14"/>
  <c r="O57" i="14"/>
  <c r="N69" i="14"/>
  <c r="AG57" i="14"/>
  <c r="AF57" i="14"/>
  <c r="R60" i="14"/>
  <c r="Q60" i="14"/>
  <c r="R72" i="14"/>
  <c r="Q72" i="14"/>
  <c r="R76" i="14"/>
  <c r="Q76" i="14"/>
  <c r="P82" i="14"/>
  <c r="N95" i="14"/>
  <c r="AF83" i="14"/>
  <c r="O83" i="14"/>
  <c r="AG83" i="14"/>
  <c r="AG89" i="14"/>
  <c r="AF89" i="14"/>
  <c r="O89" i="14"/>
  <c r="P108" i="14"/>
  <c r="AF98" i="14"/>
  <c r="O98" i="14"/>
  <c r="AG98" i="14"/>
  <c r="AF112" i="14"/>
  <c r="AF137" i="14"/>
  <c r="AG8" i="15"/>
  <c r="AF8" i="15"/>
  <c r="O8" i="15"/>
  <c r="P5" i="13"/>
  <c r="O19" i="13"/>
  <c r="O21" i="13"/>
  <c r="AF31" i="13"/>
  <c r="AG61" i="13"/>
  <c r="AF61" i="13"/>
  <c r="O61" i="13"/>
  <c r="R74" i="13"/>
  <c r="Q74" i="13"/>
  <c r="AF85" i="13"/>
  <c r="AF89" i="13"/>
  <c r="AF99" i="13"/>
  <c r="AF103" i="13"/>
  <c r="P108" i="13"/>
  <c r="AG110" i="13"/>
  <c r="AF110" i="13"/>
  <c r="AF111" i="13"/>
  <c r="O111" i="13"/>
  <c r="AG112" i="13"/>
  <c r="AF112" i="13"/>
  <c r="AF113" i="13"/>
  <c r="O113" i="13"/>
  <c r="N121" i="13"/>
  <c r="AG124" i="13"/>
  <c r="AF124" i="13"/>
  <c r="O124" i="13"/>
  <c r="AF125" i="13"/>
  <c r="AG128" i="13"/>
  <c r="AF128" i="13"/>
  <c r="O128" i="13"/>
  <c r="AF138" i="13"/>
  <c r="O138" i="13"/>
  <c r="R139" i="13"/>
  <c r="P139" i="13"/>
  <c r="AF142" i="13"/>
  <c r="O142" i="13"/>
  <c r="R143" i="13"/>
  <c r="P143" i="13"/>
  <c r="AG150" i="13"/>
  <c r="AF150" i="13"/>
  <c r="O150" i="13"/>
  <c r="AG163" i="13"/>
  <c r="AF163" i="13"/>
  <c r="R5" i="14"/>
  <c r="AF8" i="14"/>
  <c r="O8" i="14"/>
  <c r="R9" i="14"/>
  <c r="P9" i="14"/>
  <c r="R11" i="14"/>
  <c r="Q11" i="14"/>
  <c r="AG20" i="14"/>
  <c r="AF20" i="14"/>
  <c r="AG21" i="14"/>
  <c r="AF33" i="14"/>
  <c r="O33" i="14"/>
  <c r="R34" i="14"/>
  <c r="P34" i="14"/>
  <c r="AF37" i="14"/>
  <c r="O37" i="14"/>
  <c r="AG46" i="14"/>
  <c r="AF46" i="14"/>
  <c r="O46" i="14"/>
  <c r="AF47" i="14"/>
  <c r="AG50" i="14"/>
  <c r="AF50" i="14"/>
  <c r="O50" i="14"/>
  <c r="AF58" i="14"/>
  <c r="AG61" i="14"/>
  <c r="AF61" i="14"/>
  <c r="O61" i="14"/>
  <c r="N82" i="14"/>
  <c r="AF70" i="14"/>
  <c r="O70" i="14"/>
  <c r="AG70" i="14"/>
  <c r="AG73" i="14"/>
  <c r="AF73" i="14"/>
  <c r="O73" i="14"/>
  <c r="AF74" i="14"/>
  <c r="AG77" i="14"/>
  <c r="AF77" i="14"/>
  <c r="O77" i="14"/>
  <c r="P86" i="14"/>
  <c r="Q86" i="14"/>
  <c r="AG87" i="14"/>
  <c r="P126" i="14"/>
  <c r="AG136" i="14"/>
  <c r="AF136" i="14"/>
  <c r="O136" i="14"/>
  <c r="AF161" i="14"/>
  <c r="N173" i="14"/>
  <c r="O161" i="14"/>
  <c r="R36" i="15"/>
  <c r="Q36" i="15"/>
  <c r="AG71" i="13"/>
  <c r="AF71" i="13"/>
  <c r="O71" i="13"/>
  <c r="AF72" i="13"/>
  <c r="AG75" i="13"/>
  <c r="AF75" i="13"/>
  <c r="O75" i="13"/>
  <c r="AF76" i="13"/>
  <c r="O87" i="13"/>
  <c r="AG87" i="13"/>
  <c r="AG88" i="13"/>
  <c r="AF88" i="13"/>
  <c r="O88" i="13"/>
  <c r="O91" i="13"/>
  <c r="AG91" i="13"/>
  <c r="O97" i="13"/>
  <c r="AG97" i="13"/>
  <c r="AG98" i="13"/>
  <c r="AF98" i="13"/>
  <c r="O98" i="13"/>
  <c r="O101" i="13"/>
  <c r="AG101" i="13"/>
  <c r="AG102" i="13"/>
  <c r="AF102" i="13"/>
  <c r="O102" i="13"/>
  <c r="R110" i="13"/>
  <c r="P110" i="13"/>
  <c r="R112" i="13"/>
  <c r="P112" i="13"/>
  <c r="O122" i="13"/>
  <c r="AG122" i="13"/>
  <c r="AF122" i="13"/>
  <c r="R125" i="13"/>
  <c r="Q125" i="13"/>
  <c r="AG137" i="13"/>
  <c r="AF137" i="13"/>
  <c r="AG141" i="13"/>
  <c r="AF141" i="13"/>
  <c r="O148" i="13"/>
  <c r="AG148" i="13"/>
  <c r="AF148" i="13"/>
  <c r="AF162" i="13"/>
  <c r="N173" i="13"/>
  <c r="O162" i="13"/>
  <c r="O173" i="13" s="1"/>
  <c r="P163" i="13"/>
  <c r="AG7" i="14"/>
  <c r="AF7" i="14"/>
  <c r="AG11" i="14"/>
  <c r="AF11" i="14"/>
  <c r="AF19" i="14"/>
  <c r="O19" i="14"/>
  <c r="R20" i="14"/>
  <c r="P20" i="14"/>
  <c r="AG32" i="14"/>
  <c r="AF32" i="14"/>
  <c r="AG36" i="14"/>
  <c r="AF36" i="14"/>
  <c r="P43" i="14"/>
  <c r="AD2" i="14"/>
  <c r="O44" i="14"/>
  <c r="AG44" i="14"/>
  <c r="AF44" i="14"/>
  <c r="R47" i="14"/>
  <c r="Q47" i="14"/>
  <c r="R58" i="14"/>
  <c r="Q58" i="14"/>
  <c r="R74" i="14"/>
  <c r="Q74" i="14"/>
  <c r="AF87" i="14"/>
  <c r="Q87" i="14"/>
  <c r="P103" i="14"/>
  <c r="AF125" i="14"/>
  <c r="O125" i="14"/>
  <c r="AG125" i="14"/>
  <c r="AF141" i="14"/>
  <c r="AF164" i="14"/>
  <c r="O164" i="14"/>
  <c r="AG164" i="14"/>
  <c r="AG6" i="15"/>
  <c r="AF6" i="15"/>
  <c r="O6" i="15"/>
  <c r="AG10" i="15"/>
  <c r="AF10" i="15"/>
  <c r="O10" i="15"/>
  <c r="AG32" i="15"/>
  <c r="AF32" i="15"/>
  <c r="O32" i="15"/>
  <c r="AG72" i="13"/>
  <c r="AG74" i="13"/>
  <c r="AG76" i="13"/>
  <c r="AG123" i="13"/>
  <c r="AG125" i="13"/>
  <c r="AG127" i="13"/>
  <c r="AG149" i="13"/>
  <c r="R161" i="13"/>
  <c r="AG164" i="13"/>
  <c r="AG165" i="13"/>
  <c r="AG5" i="14"/>
  <c r="P17" i="14"/>
  <c r="R18" i="14"/>
  <c r="AG18" i="14"/>
  <c r="AG45" i="14"/>
  <c r="AG47" i="14"/>
  <c r="AG49" i="14"/>
  <c r="AG58" i="14"/>
  <c r="AG60" i="14"/>
  <c r="AG72" i="14"/>
  <c r="AG74" i="14"/>
  <c r="AG76" i="14"/>
  <c r="AG91" i="14"/>
  <c r="R96" i="14"/>
  <c r="R97" i="14"/>
  <c r="R101" i="14"/>
  <c r="N108" i="14"/>
  <c r="O110" i="14"/>
  <c r="AG110" i="14"/>
  <c r="AF110" i="14"/>
  <c r="O112" i="14"/>
  <c r="AG112" i="14"/>
  <c r="P121" i="14"/>
  <c r="AG124" i="14"/>
  <c r="AF124" i="14"/>
  <c r="AG128" i="14"/>
  <c r="AF128" i="14"/>
  <c r="R137" i="14"/>
  <c r="Q137" i="14"/>
  <c r="R141" i="14"/>
  <c r="Q141" i="14"/>
  <c r="AF149" i="14"/>
  <c r="O149" i="14"/>
  <c r="P150" i="14"/>
  <c r="R22" i="15"/>
  <c r="Q22" i="15"/>
  <c r="P43" i="15"/>
  <c r="P31" i="15"/>
  <c r="AG31" i="15"/>
  <c r="AF31" i="15"/>
  <c r="N43" i="15"/>
  <c r="R34" i="15"/>
  <c r="R47" i="15"/>
  <c r="Q47" i="15"/>
  <c r="AG59" i="15"/>
  <c r="AF59" i="15"/>
  <c r="O59" i="15"/>
  <c r="AG75" i="15"/>
  <c r="AF75" i="15"/>
  <c r="O75" i="15"/>
  <c r="AF109" i="13"/>
  <c r="P173" i="13"/>
  <c r="P30" i="14"/>
  <c r="P96" i="14"/>
  <c r="AG113" i="14"/>
  <c r="AF113" i="14"/>
  <c r="O113" i="14"/>
  <c r="P134" i="14"/>
  <c r="N134" i="14"/>
  <c r="O122" i="14"/>
  <c r="AG122" i="14"/>
  <c r="AF123" i="14"/>
  <c r="O123" i="14"/>
  <c r="R124" i="14"/>
  <c r="P124" i="14"/>
  <c r="R126" i="14"/>
  <c r="Q126" i="14"/>
  <c r="AF127" i="14"/>
  <c r="O127" i="14"/>
  <c r="R128" i="14"/>
  <c r="P128" i="14"/>
  <c r="N147" i="14"/>
  <c r="AF135" i="14"/>
  <c r="O135" i="14"/>
  <c r="AG135" i="14"/>
  <c r="AG138" i="14"/>
  <c r="AF138" i="14"/>
  <c r="O138" i="14"/>
  <c r="AF139" i="14"/>
  <c r="AG142" i="14"/>
  <c r="AF142" i="14"/>
  <c r="O142" i="14"/>
  <c r="P147" i="14"/>
  <c r="N160" i="14"/>
  <c r="AG162" i="14"/>
  <c r="AF162" i="14"/>
  <c r="O162" i="14"/>
  <c r="AF163" i="14"/>
  <c r="AG7" i="15"/>
  <c r="AF7" i="15"/>
  <c r="AG9" i="15"/>
  <c r="R9" i="15"/>
  <c r="AF9" i="15"/>
  <c r="AF11" i="15"/>
  <c r="R20" i="15"/>
  <c r="AG22" i="15"/>
  <c r="AF22" i="15"/>
  <c r="AG30" i="15"/>
  <c r="AH18" i="15" s="1"/>
  <c r="Q34" i="15"/>
  <c r="AG36" i="15"/>
  <c r="AF36" i="15"/>
  <c r="N56" i="15"/>
  <c r="O44" i="15"/>
  <c r="AG44" i="15"/>
  <c r="AF44" i="15"/>
  <c r="R57" i="15"/>
  <c r="Q57" i="15"/>
  <c r="AG61" i="15"/>
  <c r="AF61" i="15"/>
  <c r="O61" i="15"/>
  <c r="AG70" i="15"/>
  <c r="N82" i="15"/>
  <c r="AF70" i="15"/>
  <c r="O70" i="15"/>
  <c r="AG77" i="15"/>
  <c r="AF77" i="15"/>
  <c r="O77" i="15"/>
  <c r="P5" i="14"/>
  <c r="O85" i="14"/>
  <c r="O88" i="14"/>
  <c r="AG88" i="14"/>
  <c r="Q96" i="14"/>
  <c r="O99" i="14"/>
  <c r="R100" i="14"/>
  <c r="AG100" i="14"/>
  <c r="O103" i="14"/>
  <c r="Q104" i="14"/>
  <c r="AG104" i="14"/>
  <c r="AG111" i="14"/>
  <c r="O111" i="14"/>
  <c r="AF111" i="14"/>
  <c r="AF122" i="14"/>
  <c r="AG123" i="14"/>
  <c r="AG126" i="14"/>
  <c r="AF126" i="14"/>
  <c r="AG127" i="14"/>
  <c r="R139" i="14"/>
  <c r="Q139" i="14"/>
  <c r="P160" i="14"/>
  <c r="R148" i="14"/>
  <c r="R163" i="14"/>
  <c r="Q163" i="14"/>
  <c r="AF165" i="14"/>
  <c r="O165" i="14"/>
  <c r="P173" i="14"/>
  <c r="N17" i="15"/>
  <c r="AF5" i="15"/>
  <c r="O5" i="15"/>
  <c r="R7" i="15"/>
  <c r="Q7" i="15"/>
  <c r="Q9" i="15"/>
  <c r="R11" i="15"/>
  <c r="Q11" i="15"/>
  <c r="AG20" i="15"/>
  <c r="AF20" i="15"/>
  <c r="O31" i="15"/>
  <c r="AG34" i="15"/>
  <c r="AF34" i="15"/>
  <c r="R45" i="15"/>
  <c r="Q45" i="15"/>
  <c r="R49" i="15"/>
  <c r="Q49" i="15"/>
  <c r="AG71" i="15"/>
  <c r="AF71" i="15"/>
  <c r="O71" i="15"/>
  <c r="AF45" i="15"/>
  <c r="AF47" i="15"/>
  <c r="AF49" i="15"/>
  <c r="AF88" i="15"/>
  <c r="AG88" i="15"/>
  <c r="AF98" i="15"/>
  <c r="AG98" i="15"/>
  <c r="AF102" i="15"/>
  <c r="AG102" i="15"/>
  <c r="AF109" i="15"/>
  <c r="N121" i="15"/>
  <c r="O109" i="15"/>
  <c r="AG109" i="15"/>
  <c r="AG125" i="15"/>
  <c r="AF125" i="15"/>
  <c r="O125" i="15"/>
  <c r="O138" i="15"/>
  <c r="AG138" i="15"/>
  <c r="AF138" i="15"/>
  <c r="N173" i="15"/>
  <c r="O161" i="15"/>
  <c r="AG161" i="15"/>
  <c r="AF161" i="15"/>
  <c r="AG7" i="16"/>
  <c r="AF7" i="16"/>
  <c r="O7" i="16"/>
  <c r="AG137" i="14"/>
  <c r="AG139" i="14"/>
  <c r="AG141" i="14"/>
  <c r="AG148" i="14"/>
  <c r="AG163" i="14"/>
  <c r="AG11" i="15"/>
  <c r="AG18" i="15"/>
  <c r="O46" i="15"/>
  <c r="AG47" i="15"/>
  <c r="O48" i="15"/>
  <c r="AG49" i="15"/>
  <c r="O50" i="15"/>
  <c r="AG57" i="15"/>
  <c r="P69" i="15"/>
  <c r="N69" i="15"/>
  <c r="P70" i="15"/>
  <c r="R85" i="15"/>
  <c r="AG86" i="15"/>
  <c r="P88" i="15"/>
  <c r="AF91" i="15"/>
  <c r="O91" i="15"/>
  <c r="N95" i="15"/>
  <c r="AG96" i="15"/>
  <c r="O96" i="15"/>
  <c r="AF97" i="15"/>
  <c r="O97" i="15"/>
  <c r="P98" i="15"/>
  <c r="AF101" i="15"/>
  <c r="O101" i="15"/>
  <c r="P102" i="15"/>
  <c r="P108" i="15"/>
  <c r="AF110" i="15"/>
  <c r="O113" i="15"/>
  <c r="AG113" i="15"/>
  <c r="AF113" i="15"/>
  <c r="AG123" i="15"/>
  <c r="AF123" i="15"/>
  <c r="O123" i="15"/>
  <c r="O140" i="15"/>
  <c r="AG140" i="15"/>
  <c r="AF140" i="15"/>
  <c r="O148" i="15"/>
  <c r="AG148" i="15"/>
  <c r="AF148" i="15"/>
  <c r="N160" i="15"/>
  <c r="O165" i="15"/>
  <c r="AG165" i="15"/>
  <c r="AF165" i="15"/>
  <c r="N17" i="16"/>
  <c r="O5" i="16"/>
  <c r="AG5" i="16"/>
  <c r="AF5" i="16"/>
  <c r="AF10" i="16"/>
  <c r="O10" i="16"/>
  <c r="AG10" i="16"/>
  <c r="I1" i="15"/>
  <c r="P5" i="15"/>
  <c r="O18" i="15"/>
  <c r="O19" i="15"/>
  <c r="O21" i="15"/>
  <c r="P30" i="15"/>
  <c r="O33" i="15"/>
  <c r="O35" i="15"/>
  <c r="O37" i="15"/>
  <c r="AF46" i="15"/>
  <c r="AF48" i="15"/>
  <c r="AF50" i="15"/>
  <c r="O58" i="15"/>
  <c r="O60" i="15"/>
  <c r="O72" i="15"/>
  <c r="O74" i="15"/>
  <c r="O76" i="15"/>
  <c r="Q85" i="15"/>
  <c r="O86" i="15"/>
  <c r="AG87" i="15"/>
  <c r="AF90" i="15"/>
  <c r="AG90" i="15"/>
  <c r="AG91" i="15"/>
  <c r="AF96" i="15"/>
  <c r="AG97" i="15"/>
  <c r="AF100" i="15"/>
  <c r="AG100" i="15"/>
  <c r="AG101" i="15"/>
  <c r="AF104" i="15"/>
  <c r="AG104" i="15"/>
  <c r="AG110" i="15"/>
  <c r="R126" i="15"/>
  <c r="Q126" i="15"/>
  <c r="O135" i="15"/>
  <c r="AG135" i="15"/>
  <c r="AF135" i="15"/>
  <c r="N147" i="15"/>
  <c r="O142" i="15"/>
  <c r="AG142" i="15"/>
  <c r="AF142" i="15"/>
  <c r="R162" i="15"/>
  <c r="Q162" i="15"/>
  <c r="AF8" i="16"/>
  <c r="O8" i="16"/>
  <c r="AG8" i="16"/>
  <c r="AG11" i="16"/>
  <c r="AF11" i="16"/>
  <c r="O11" i="16"/>
  <c r="N30" i="16"/>
  <c r="O18" i="16"/>
  <c r="AG18" i="16"/>
  <c r="AF18" i="16"/>
  <c r="P122" i="14"/>
  <c r="P148" i="14"/>
  <c r="Q84" i="15"/>
  <c r="AG84" i="15"/>
  <c r="O87" i="15"/>
  <c r="O88" i="15"/>
  <c r="AF89" i="15"/>
  <c r="O89" i="15"/>
  <c r="P90" i="15"/>
  <c r="Q90" i="15"/>
  <c r="P95" i="15"/>
  <c r="O98" i="15"/>
  <c r="AF99" i="15"/>
  <c r="O99" i="15"/>
  <c r="P100" i="15"/>
  <c r="R100" i="15"/>
  <c r="O102" i="15"/>
  <c r="AF103" i="15"/>
  <c r="O103" i="15"/>
  <c r="P104" i="15"/>
  <c r="R104" i="15"/>
  <c r="N108" i="15"/>
  <c r="O111" i="15"/>
  <c r="AG111" i="15"/>
  <c r="AF111" i="15"/>
  <c r="AF112" i="15"/>
  <c r="R124" i="15"/>
  <c r="Q124" i="15"/>
  <c r="AG127" i="15"/>
  <c r="AF127" i="15"/>
  <c r="O127" i="15"/>
  <c r="O136" i="15"/>
  <c r="AG136" i="15"/>
  <c r="AF136" i="15"/>
  <c r="P147" i="15"/>
  <c r="O149" i="15"/>
  <c r="AG149" i="15"/>
  <c r="AF149" i="15"/>
  <c r="AG163" i="15"/>
  <c r="AF163" i="15"/>
  <c r="O163" i="15"/>
  <c r="O164" i="15"/>
  <c r="AG164" i="15"/>
  <c r="AF164" i="15"/>
  <c r="AF6" i="16"/>
  <c r="O6" i="16"/>
  <c r="AG6" i="16"/>
  <c r="AG9" i="16"/>
  <c r="AF9" i="16"/>
  <c r="O9" i="16"/>
  <c r="P135" i="15"/>
  <c r="P148" i="15"/>
  <c r="AG45" i="16"/>
  <c r="AF45" i="16"/>
  <c r="O45" i="16"/>
  <c r="AG61" i="16"/>
  <c r="AF61" i="16"/>
  <c r="O61" i="16"/>
  <c r="AG90" i="16"/>
  <c r="AF90" i="16"/>
  <c r="O90" i="16"/>
  <c r="AG121" i="16"/>
  <c r="AH109" i="16" s="1"/>
  <c r="AF121" i="16"/>
  <c r="O110" i="15"/>
  <c r="O112" i="15"/>
  <c r="P122" i="15"/>
  <c r="N134" i="15"/>
  <c r="O137" i="15"/>
  <c r="O139" i="15"/>
  <c r="O141" i="15"/>
  <c r="O150" i="15"/>
  <c r="P7" i="16"/>
  <c r="P9" i="16"/>
  <c r="P11" i="16"/>
  <c r="N56" i="16"/>
  <c r="AG44" i="16"/>
  <c r="AF44" i="16"/>
  <c r="O44" i="16"/>
  <c r="AG47" i="16"/>
  <c r="AF47" i="16"/>
  <c r="O47" i="16"/>
  <c r="AG49" i="16"/>
  <c r="AF49" i="16"/>
  <c r="O49" i="16"/>
  <c r="N95" i="16"/>
  <c r="AG83" i="16"/>
  <c r="AF83" i="16"/>
  <c r="O83" i="16"/>
  <c r="AG88" i="16"/>
  <c r="AF88" i="16"/>
  <c r="O88" i="16"/>
  <c r="R104" i="16"/>
  <c r="Q104" i="16"/>
  <c r="N147" i="16"/>
  <c r="AG135" i="16"/>
  <c r="AF135" i="16"/>
  <c r="O135" i="16"/>
  <c r="P30" i="16"/>
  <c r="O19" i="16"/>
  <c r="AF20" i="16"/>
  <c r="AG20" i="16"/>
  <c r="AG33" i="16"/>
  <c r="AF33" i="16"/>
  <c r="O33" i="16"/>
  <c r="AF46" i="16"/>
  <c r="O46" i="16"/>
  <c r="AG46" i="16"/>
  <c r="AG70" i="16"/>
  <c r="N82" i="16"/>
  <c r="AF70" i="16"/>
  <c r="O70" i="16"/>
  <c r="AF85" i="16"/>
  <c r="O85" i="16"/>
  <c r="AG85" i="16"/>
  <c r="AF89" i="16"/>
  <c r="O89" i="16"/>
  <c r="AG89" i="16"/>
  <c r="AG111" i="16"/>
  <c r="AF111" i="16"/>
  <c r="O111" i="16"/>
  <c r="O128" i="16"/>
  <c r="AG128" i="16"/>
  <c r="AF128" i="16"/>
  <c r="O20" i="16"/>
  <c r="AG35" i="16"/>
  <c r="AF35" i="16"/>
  <c r="O35" i="16"/>
  <c r="AF50" i="16"/>
  <c r="O50" i="16"/>
  <c r="AG50" i="16"/>
  <c r="AG59" i="16"/>
  <c r="AF59" i="16"/>
  <c r="O59" i="16"/>
  <c r="AF87" i="16"/>
  <c r="O87" i="16"/>
  <c r="AG87" i="16"/>
  <c r="R98" i="16"/>
  <c r="Q98" i="16"/>
  <c r="R102" i="16"/>
  <c r="Q102" i="16"/>
  <c r="AG113" i="16"/>
  <c r="AF113" i="16"/>
  <c r="O113" i="16"/>
  <c r="O21" i="16"/>
  <c r="AG22" i="16"/>
  <c r="AF31" i="16"/>
  <c r="AG32" i="16"/>
  <c r="AG34" i="16"/>
  <c r="AG36" i="16"/>
  <c r="AG48" i="16"/>
  <c r="AF57" i="16"/>
  <c r="AG58" i="16"/>
  <c r="AG60" i="16"/>
  <c r="AG72" i="16"/>
  <c r="AG74" i="16"/>
  <c r="AG76" i="16"/>
  <c r="O84" i="16"/>
  <c r="O86" i="16"/>
  <c r="AG96" i="16"/>
  <c r="AF98" i="16"/>
  <c r="AF100" i="16"/>
  <c r="AF102" i="16"/>
  <c r="AF104" i="16"/>
  <c r="AG108" i="16"/>
  <c r="AH96" i="16" s="1"/>
  <c r="AG110" i="16"/>
  <c r="AG122" i="16"/>
  <c r="AF124" i="16"/>
  <c r="AF126" i="16"/>
  <c r="AG136" i="16"/>
  <c r="AF136" i="16"/>
  <c r="O136" i="16"/>
  <c r="AF137" i="16"/>
  <c r="AF139" i="16"/>
  <c r="AF141" i="16"/>
  <c r="P147" i="16"/>
  <c r="AG149" i="16"/>
  <c r="AF149" i="16"/>
  <c r="O149" i="16"/>
  <c r="O6" i="17"/>
  <c r="AG6" i="17"/>
  <c r="AF6" i="17"/>
  <c r="R12" i="17"/>
  <c r="Q12" i="17"/>
  <c r="AF21" i="16"/>
  <c r="AG31" i="16"/>
  <c r="AG57" i="16"/>
  <c r="P69" i="16"/>
  <c r="N69" i="16"/>
  <c r="AF71" i="16"/>
  <c r="AF73" i="16"/>
  <c r="AF75" i="16"/>
  <c r="AF77" i="16"/>
  <c r="O96" i="16"/>
  <c r="O97" i="16"/>
  <c r="AG98" i="16"/>
  <c r="O99" i="16"/>
  <c r="O101" i="16"/>
  <c r="AG102" i="16"/>
  <c r="O103" i="16"/>
  <c r="AG104" i="16"/>
  <c r="AG109" i="16"/>
  <c r="O122" i="16"/>
  <c r="O123" i="16"/>
  <c r="O125" i="16"/>
  <c r="R126" i="16"/>
  <c r="O127" i="16"/>
  <c r="P135" i="16"/>
  <c r="R137" i="16"/>
  <c r="Q137" i="16"/>
  <c r="R139" i="16"/>
  <c r="Q139" i="16"/>
  <c r="R141" i="16"/>
  <c r="Q141" i="16"/>
  <c r="N173" i="16"/>
  <c r="O161" i="16"/>
  <c r="AG161" i="16"/>
  <c r="AF161" i="16"/>
  <c r="AG164" i="16"/>
  <c r="AF164" i="16"/>
  <c r="O164" i="16"/>
  <c r="O10" i="17"/>
  <c r="AG10" i="17"/>
  <c r="AF10" i="17"/>
  <c r="O22" i="16"/>
  <c r="O31" i="16"/>
  <c r="O32" i="16"/>
  <c r="O34" i="16"/>
  <c r="O36" i="16"/>
  <c r="P43" i="16"/>
  <c r="O48" i="16"/>
  <c r="O58" i="16"/>
  <c r="O60" i="16"/>
  <c r="R71" i="16"/>
  <c r="O72" i="16"/>
  <c r="R73" i="16"/>
  <c r="O74" i="16"/>
  <c r="R75" i="16"/>
  <c r="O76" i="16"/>
  <c r="P96" i="16"/>
  <c r="AF97" i="16"/>
  <c r="AF99" i="16"/>
  <c r="AF101" i="16"/>
  <c r="AF103" i="16"/>
  <c r="O109" i="16"/>
  <c r="O110" i="16"/>
  <c r="O112" i="16"/>
  <c r="P121" i="16"/>
  <c r="P122" i="16"/>
  <c r="AF123" i="16"/>
  <c r="AF125" i="16"/>
  <c r="P127" i="16"/>
  <c r="AF127" i="16"/>
  <c r="N134" i="16"/>
  <c r="AG138" i="16"/>
  <c r="AF138" i="16"/>
  <c r="O138" i="16"/>
  <c r="AG140" i="16"/>
  <c r="AF140" i="16"/>
  <c r="O140" i="16"/>
  <c r="AG142" i="16"/>
  <c r="AF142" i="16"/>
  <c r="O142" i="16"/>
  <c r="AG148" i="16"/>
  <c r="AF148" i="16"/>
  <c r="N160" i="16"/>
  <c r="O148" i="16"/>
  <c r="P160" i="16"/>
  <c r="AG165" i="16"/>
  <c r="AF165" i="16"/>
  <c r="O165" i="16"/>
  <c r="G1" i="17"/>
  <c r="G2" i="17" s="1"/>
  <c r="O5" i="17"/>
  <c r="AG5" i="17"/>
  <c r="N17" i="17"/>
  <c r="AF5" i="17"/>
  <c r="O8" i="17"/>
  <c r="AG8" i="17"/>
  <c r="AF8" i="17"/>
  <c r="AF96" i="16"/>
  <c r="R162" i="16"/>
  <c r="Q162" i="16"/>
  <c r="AF162" i="16"/>
  <c r="O18" i="17"/>
  <c r="O19" i="17"/>
  <c r="AF19" i="17"/>
  <c r="AG21" i="17"/>
  <c r="O22" i="17"/>
  <c r="AG22" i="17"/>
  <c r="P30" i="17"/>
  <c r="O31" i="17"/>
  <c r="R32" i="17"/>
  <c r="P32" i="17"/>
  <c r="AG47" i="17"/>
  <c r="AF47" i="17"/>
  <c r="AG137" i="16"/>
  <c r="AG139" i="16"/>
  <c r="AG141" i="16"/>
  <c r="P148" i="16"/>
  <c r="AG162" i="16"/>
  <c r="O163" i="16"/>
  <c r="O7" i="17"/>
  <c r="O9" i="17"/>
  <c r="O11" i="17"/>
  <c r="AF18" i="17"/>
  <c r="O20" i="17"/>
  <c r="AG20" i="17"/>
  <c r="P43" i="17"/>
  <c r="P31" i="17"/>
  <c r="AG34" i="17"/>
  <c r="AF34" i="17"/>
  <c r="AF46" i="17"/>
  <c r="O46" i="17"/>
  <c r="P47" i="17"/>
  <c r="R49" i="17"/>
  <c r="O150" i="16"/>
  <c r="AF163" i="16"/>
  <c r="AF7" i="17"/>
  <c r="AF9" i="17"/>
  <c r="AF11" i="17"/>
  <c r="R23" i="17"/>
  <c r="AF33" i="17"/>
  <c r="O33" i="17"/>
  <c r="P34" i="17"/>
  <c r="AG45" i="17"/>
  <c r="AF45" i="17"/>
  <c r="AG46" i="17"/>
  <c r="AG49" i="17"/>
  <c r="AF49" i="17"/>
  <c r="O21" i="17"/>
  <c r="R24" i="17"/>
  <c r="N30" i="17"/>
  <c r="AG31" i="17"/>
  <c r="N43" i="17"/>
  <c r="AG32" i="17"/>
  <c r="AF32" i="17"/>
  <c r="P56" i="17"/>
  <c r="P44" i="17"/>
  <c r="AG44" i="17"/>
  <c r="N56" i="17"/>
  <c r="AF44" i="17"/>
  <c r="R45" i="17"/>
  <c r="P45" i="17"/>
  <c r="R47" i="17"/>
  <c r="Q47" i="17"/>
  <c r="AF48" i="17"/>
  <c r="O48" i="17"/>
  <c r="Q49" i="17"/>
  <c r="P49" i="17"/>
  <c r="N69" i="17"/>
  <c r="AG57" i="17"/>
  <c r="AF57" i="17"/>
  <c r="O57" i="17"/>
  <c r="AG72" i="17"/>
  <c r="AF72" i="17"/>
  <c r="O72" i="17"/>
  <c r="O73" i="17"/>
  <c r="AG73" i="17"/>
  <c r="AG86" i="17"/>
  <c r="AF86" i="17"/>
  <c r="AG98" i="17"/>
  <c r="AF98" i="17"/>
  <c r="AG100" i="17"/>
  <c r="AF100" i="17"/>
  <c r="AG102" i="17"/>
  <c r="AF102" i="17"/>
  <c r="AG150" i="17"/>
  <c r="AF150" i="17"/>
  <c r="O150" i="17"/>
  <c r="O59" i="17"/>
  <c r="AG59" i="17"/>
  <c r="AG60" i="17"/>
  <c r="AF60" i="17"/>
  <c r="O60" i="17"/>
  <c r="O61" i="17"/>
  <c r="AG61" i="17"/>
  <c r="O71" i="17"/>
  <c r="AG71" i="17"/>
  <c r="AF73" i="17"/>
  <c r="R84" i="17"/>
  <c r="R85" i="17"/>
  <c r="AG88" i="17"/>
  <c r="AF88" i="17"/>
  <c r="R90" i="17"/>
  <c r="Q90" i="17"/>
  <c r="N95" i="17"/>
  <c r="R103" i="17"/>
  <c r="Q103" i="17"/>
  <c r="AF59" i="17"/>
  <c r="AF61" i="17"/>
  <c r="P69" i="17"/>
  <c r="AF71" i="17"/>
  <c r="R87" i="17"/>
  <c r="AG90" i="17"/>
  <c r="AF90" i="17"/>
  <c r="Q91" i="17"/>
  <c r="N108" i="17"/>
  <c r="O96" i="17"/>
  <c r="AG96" i="17"/>
  <c r="R99" i="17"/>
  <c r="AF110" i="17"/>
  <c r="AG110" i="17"/>
  <c r="O110" i="17"/>
  <c r="O121" i="17" s="1"/>
  <c r="N121" i="17"/>
  <c r="R112" i="17"/>
  <c r="Q112" i="17"/>
  <c r="AF58" i="17"/>
  <c r="O58" i="17"/>
  <c r="AG58" i="17"/>
  <c r="O70" i="17"/>
  <c r="N82" i="17"/>
  <c r="AG70" i="17"/>
  <c r="AF70" i="17"/>
  <c r="AG74" i="17"/>
  <c r="AF74" i="17"/>
  <c r="O74" i="17"/>
  <c r="O75" i="17"/>
  <c r="AG75" i="17"/>
  <c r="AG76" i="17"/>
  <c r="AF76" i="17"/>
  <c r="O76" i="17"/>
  <c r="O77" i="17"/>
  <c r="AG77" i="17"/>
  <c r="AG78" i="17"/>
  <c r="AF78" i="17"/>
  <c r="O78" i="17"/>
  <c r="R83" i="17"/>
  <c r="AG84" i="17"/>
  <c r="AF84" i="17"/>
  <c r="Q85" i="17"/>
  <c r="O86" i="17"/>
  <c r="Q88" i="17"/>
  <c r="R89" i="17"/>
  <c r="P95" i="17"/>
  <c r="AF96" i="17"/>
  <c r="O98" i="17"/>
  <c r="Q99" i="17"/>
  <c r="O100" i="17"/>
  <c r="O102" i="17"/>
  <c r="Q104" i="17"/>
  <c r="P104" i="17"/>
  <c r="AF112" i="17"/>
  <c r="AG112" i="17"/>
  <c r="P121" i="17"/>
  <c r="R126" i="17"/>
  <c r="Q126" i="17"/>
  <c r="Q129" i="17"/>
  <c r="R129" i="17"/>
  <c r="N147" i="17"/>
  <c r="AF135" i="17"/>
  <c r="O135" i="17"/>
  <c r="AG135" i="17"/>
  <c r="R141" i="17"/>
  <c r="Q141" i="17"/>
  <c r="N160" i="17"/>
  <c r="O148" i="17"/>
  <c r="AG148" i="17"/>
  <c r="AF148" i="17"/>
  <c r="P72" i="17"/>
  <c r="P74" i="17"/>
  <c r="AF83" i="17"/>
  <c r="O97" i="17"/>
  <c r="O101" i="17"/>
  <c r="P108" i="17"/>
  <c r="R109" i="17"/>
  <c r="Q109" i="17"/>
  <c r="N134" i="17"/>
  <c r="AF122" i="17"/>
  <c r="O122" i="17"/>
  <c r="AG122" i="17"/>
  <c r="P134" i="17"/>
  <c r="AF149" i="17"/>
  <c r="O149" i="17"/>
  <c r="AG149" i="17"/>
  <c r="AG104" i="17"/>
  <c r="AF104" i="17"/>
  <c r="R124" i="17"/>
  <c r="Q124" i="17"/>
  <c r="Q127" i="17"/>
  <c r="R128" i="17"/>
  <c r="Q128" i="17"/>
  <c r="R137" i="17"/>
  <c r="Q137" i="17"/>
  <c r="R139" i="17"/>
  <c r="Q139" i="17"/>
  <c r="R143" i="17"/>
  <c r="Q143" i="17"/>
  <c r="P147" i="17"/>
  <c r="P160" i="17"/>
  <c r="R163" i="17"/>
  <c r="Q163" i="17"/>
  <c r="P173" i="17"/>
  <c r="AF109" i="17"/>
  <c r="AF124" i="17"/>
  <c r="AF126" i="17"/>
  <c r="AF128" i="17"/>
  <c r="AF137" i="17"/>
  <c r="AF139" i="17"/>
  <c r="AF141" i="17"/>
  <c r="AF143" i="17"/>
  <c r="AG161" i="17"/>
  <c r="AF163" i="17"/>
  <c r="AG124" i="17"/>
  <c r="AG126" i="17"/>
  <c r="AG128" i="17"/>
  <c r="O136" i="17"/>
  <c r="AG137" i="17"/>
  <c r="O138" i="17"/>
  <c r="AG139" i="17"/>
  <c r="O140" i="17"/>
  <c r="AG141" i="17"/>
  <c r="AG143" i="17"/>
  <c r="O144" i="17"/>
  <c r="O161" i="17"/>
  <c r="O162" i="17"/>
  <c r="AG163" i="17"/>
  <c r="N173" i="17"/>
  <c r="AF123" i="17"/>
  <c r="AF125" i="17"/>
  <c r="AF127" i="17"/>
  <c r="AF136" i="17"/>
  <c r="AF138" i="17"/>
  <c r="AF140" i="17"/>
  <c r="AF142" i="17"/>
  <c r="AF144" i="17"/>
  <c r="AF162" i="17"/>
  <c r="O164" i="17"/>
  <c r="O165" i="17"/>
  <c r="Q123" i="17"/>
  <c r="Q125" i="17"/>
  <c r="R127" i="17"/>
  <c r="Q142" i="17"/>
  <c r="P148" i="17"/>
  <c r="O69" i="16" l="1"/>
  <c r="AG43" i="16"/>
  <c r="AH31" i="16" s="1"/>
  <c r="Q43" i="16"/>
  <c r="R113" i="17"/>
  <c r="Q113" i="17"/>
  <c r="O134" i="15"/>
  <c r="Q128" i="15"/>
  <c r="R122" i="15"/>
  <c r="Q122" i="15"/>
  <c r="Q90" i="14"/>
  <c r="R90" i="14"/>
  <c r="R173" i="13"/>
  <c r="S161" i="13" s="1"/>
  <c r="Q173" i="13"/>
  <c r="Q121" i="17"/>
  <c r="R121" i="17"/>
  <c r="S109" i="17" s="1"/>
  <c r="AG173" i="17"/>
  <c r="AH161" i="17" s="1"/>
  <c r="AF173" i="17"/>
  <c r="Q161" i="17"/>
  <c r="O173" i="17"/>
  <c r="R161" i="17"/>
  <c r="Q140" i="17"/>
  <c r="R140" i="17"/>
  <c r="Q136" i="17"/>
  <c r="R136" i="17"/>
  <c r="AG147" i="17"/>
  <c r="AH135" i="17" s="1"/>
  <c r="AF147" i="17"/>
  <c r="R98" i="17"/>
  <c r="Q98" i="17"/>
  <c r="Q76" i="17"/>
  <c r="R76" i="17"/>
  <c r="R75" i="17"/>
  <c r="Q75" i="17"/>
  <c r="Q84" i="17"/>
  <c r="AG95" i="17"/>
  <c r="AH83" i="17" s="1"/>
  <c r="AF95" i="17"/>
  <c r="Q83" i="17"/>
  <c r="R71" i="17"/>
  <c r="Q71" i="17"/>
  <c r="R88" i="17"/>
  <c r="R73" i="17"/>
  <c r="Q73" i="17"/>
  <c r="O69" i="17"/>
  <c r="R69" i="17" s="1"/>
  <c r="S57" i="17" s="1"/>
  <c r="R57" i="17"/>
  <c r="Q57" i="17"/>
  <c r="AF43" i="17"/>
  <c r="Q43" i="17"/>
  <c r="AG43" i="17"/>
  <c r="AH31" i="17" s="1"/>
  <c r="R21" i="17"/>
  <c r="Q21" i="17"/>
  <c r="R33" i="17"/>
  <c r="Q33" i="17"/>
  <c r="R150" i="16"/>
  <c r="Q150" i="16"/>
  <c r="Q45" i="17"/>
  <c r="Q7" i="17"/>
  <c r="R7" i="17"/>
  <c r="R19" i="17"/>
  <c r="Q19" i="17"/>
  <c r="Q44" i="17"/>
  <c r="AF17" i="17"/>
  <c r="AG17" i="17"/>
  <c r="AH5" i="17" s="1"/>
  <c r="R165" i="16"/>
  <c r="Q165" i="16"/>
  <c r="R148" i="16"/>
  <c r="O160" i="16"/>
  <c r="Q148" i="16"/>
  <c r="Q142" i="16"/>
  <c r="R142" i="16"/>
  <c r="R74" i="16"/>
  <c r="Q74" i="16"/>
  <c r="O43" i="16"/>
  <c r="R31" i="16"/>
  <c r="Q31" i="16"/>
  <c r="R164" i="16"/>
  <c r="Q164" i="16"/>
  <c r="O134" i="16"/>
  <c r="Q122" i="16"/>
  <c r="R122" i="16"/>
  <c r="R6" i="17"/>
  <c r="Q6" i="17"/>
  <c r="Q136" i="16"/>
  <c r="R136" i="16"/>
  <c r="R84" i="16"/>
  <c r="Q84" i="16"/>
  <c r="Q126" i="16"/>
  <c r="Q71" i="16"/>
  <c r="R128" i="16"/>
  <c r="Q128" i="16"/>
  <c r="AF108" i="16"/>
  <c r="O82" i="16"/>
  <c r="R82" i="16" s="1"/>
  <c r="S70" i="16" s="1"/>
  <c r="R70" i="16"/>
  <c r="Q70" i="16"/>
  <c r="R33" i="16"/>
  <c r="Q33" i="16"/>
  <c r="O147" i="16"/>
  <c r="R135" i="16"/>
  <c r="Q135" i="16"/>
  <c r="Q124" i="16"/>
  <c r="Q100" i="16"/>
  <c r="Q73" i="16"/>
  <c r="R47" i="16"/>
  <c r="Q47" i="16"/>
  <c r="Q110" i="15"/>
  <c r="R110" i="15"/>
  <c r="R163" i="15"/>
  <c r="Q163" i="15"/>
  <c r="Q111" i="15"/>
  <c r="R111" i="15"/>
  <c r="R103" i="15"/>
  <c r="Q103" i="15"/>
  <c r="R89" i="15"/>
  <c r="Q89" i="15"/>
  <c r="AG30" i="16"/>
  <c r="AH18" i="16" s="1"/>
  <c r="AF30" i="16"/>
  <c r="AG147" i="15"/>
  <c r="AH135" i="15" s="1"/>
  <c r="AF147" i="15"/>
  <c r="R86" i="15"/>
  <c r="Q86" i="15"/>
  <c r="R74" i="15"/>
  <c r="Q74" i="15"/>
  <c r="R58" i="15"/>
  <c r="Q58" i="15"/>
  <c r="R37" i="15"/>
  <c r="Q37" i="15"/>
  <c r="R10" i="16"/>
  <c r="Q10" i="16"/>
  <c r="R5" i="16"/>
  <c r="O17" i="16"/>
  <c r="Q5" i="16"/>
  <c r="R165" i="15"/>
  <c r="Q165" i="15"/>
  <c r="R148" i="15"/>
  <c r="O160" i="15"/>
  <c r="Q148" i="15"/>
  <c r="Q100" i="15"/>
  <c r="R97" i="15"/>
  <c r="Q97" i="15"/>
  <c r="AF95" i="15"/>
  <c r="AG95" i="15"/>
  <c r="AH83" i="15" s="1"/>
  <c r="R90" i="15"/>
  <c r="Q50" i="15"/>
  <c r="R50" i="15"/>
  <c r="Q46" i="15"/>
  <c r="R46" i="15"/>
  <c r="AF121" i="15"/>
  <c r="AG121" i="15"/>
  <c r="AH109" i="15" s="1"/>
  <c r="R84" i="15"/>
  <c r="R88" i="14"/>
  <c r="Q88" i="14"/>
  <c r="R77" i="15"/>
  <c r="Q77" i="15"/>
  <c r="O69" i="15"/>
  <c r="R69" i="15" s="1"/>
  <c r="S57" i="15" s="1"/>
  <c r="AG56" i="15"/>
  <c r="AH44" i="15" s="1"/>
  <c r="Q56" i="15"/>
  <c r="AF56" i="15"/>
  <c r="Q162" i="14"/>
  <c r="R162" i="14"/>
  <c r="R122" i="14"/>
  <c r="O134" i="14"/>
  <c r="Q122" i="14"/>
  <c r="R87" i="14"/>
  <c r="R59" i="15"/>
  <c r="Q59" i="15"/>
  <c r="AF173" i="13"/>
  <c r="AG173" i="13"/>
  <c r="AH161" i="13" s="1"/>
  <c r="R148" i="13"/>
  <c r="O160" i="13"/>
  <c r="Q148" i="13"/>
  <c r="Q161" i="14"/>
  <c r="O173" i="14"/>
  <c r="R161" i="14"/>
  <c r="Q150" i="13"/>
  <c r="R150" i="13"/>
  <c r="Q128" i="13"/>
  <c r="R128" i="13"/>
  <c r="Q124" i="13"/>
  <c r="R124" i="13"/>
  <c r="R113" i="13"/>
  <c r="Q113" i="13"/>
  <c r="R111" i="13"/>
  <c r="Q111" i="13"/>
  <c r="R21" i="13"/>
  <c r="Q21" i="13"/>
  <c r="R89" i="14"/>
  <c r="Q89" i="14"/>
  <c r="R86" i="14"/>
  <c r="AF95" i="14"/>
  <c r="AG95" i="14"/>
  <c r="AH83" i="14" s="1"/>
  <c r="O69" i="14"/>
  <c r="R69" i="14" s="1"/>
  <c r="S57" i="14" s="1"/>
  <c r="R57" i="14"/>
  <c r="Q57" i="14"/>
  <c r="Q163" i="13"/>
  <c r="Q112" i="13"/>
  <c r="Q90" i="13"/>
  <c r="R90" i="13"/>
  <c r="R89" i="13"/>
  <c r="Q89" i="13"/>
  <c r="AG95" i="13"/>
  <c r="AH83" i="13" s="1"/>
  <c r="AF95" i="13"/>
  <c r="Q82" i="13"/>
  <c r="AG82" i="13"/>
  <c r="AH70" i="13" s="1"/>
  <c r="AF82" i="13"/>
  <c r="AG134" i="13"/>
  <c r="AH122" i="13" s="1"/>
  <c r="AF134" i="13"/>
  <c r="O108" i="13"/>
  <c r="R96" i="13"/>
  <c r="Q96" i="13"/>
  <c r="Q128" i="14"/>
  <c r="Q5" i="13"/>
  <c r="R5" i="13"/>
  <c r="O17" i="13"/>
  <c r="R104" i="14"/>
  <c r="Q34" i="14"/>
  <c r="R6" i="14"/>
  <c r="Q6" i="14"/>
  <c r="O17" i="14"/>
  <c r="R31" i="13"/>
  <c r="R73" i="15"/>
  <c r="Q73" i="15"/>
  <c r="AG43" i="14"/>
  <c r="AH31" i="14" s="1"/>
  <c r="AF43" i="14"/>
  <c r="Q43" i="14"/>
  <c r="Q141" i="13"/>
  <c r="Q137" i="13"/>
  <c r="Q6" i="13"/>
  <c r="R6" i="13"/>
  <c r="Q162" i="17"/>
  <c r="R162" i="17"/>
  <c r="R165" i="17"/>
  <c r="Q165" i="17"/>
  <c r="Q144" i="17"/>
  <c r="R144" i="17"/>
  <c r="R142" i="17"/>
  <c r="AG134" i="17"/>
  <c r="AH122" i="17" s="1"/>
  <c r="AF134" i="17"/>
  <c r="R148" i="17"/>
  <c r="O160" i="17"/>
  <c r="Q148" i="17"/>
  <c r="R125" i="17"/>
  <c r="R102" i="17"/>
  <c r="Q102" i="17"/>
  <c r="Q74" i="17"/>
  <c r="R74" i="17"/>
  <c r="R58" i="17"/>
  <c r="Q58" i="17"/>
  <c r="O108" i="17"/>
  <c r="R96" i="17"/>
  <c r="Q96" i="17"/>
  <c r="R61" i="17"/>
  <c r="Q61" i="17"/>
  <c r="Q72" i="17"/>
  <c r="R72" i="17"/>
  <c r="AG56" i="17"/>
  <c r="AH44" i="17" s="1"/>
  <c r="Q56" i="17"/>
  <c r="AF56" i="17"/>
  <c r="R22" i="17"/>
  <c r="Q22" i="17"/>
  <c r="O30" i="17"/>
  <c r="R18" i="17"/>
  <c r="Q18" i="17"/>
  <c r="R44" i="17"/>
  <c r="AG160" i="16"/>
  <c r="AH148" i="16" s="1"/>
  <c r="AF160" i="16"/>
  <c r="R112" i="16"/>
  <c r="Q112" i="16"/>
  <c r="R60" i="16"/>
  <c r="Q60" i="16"/>
  <c r="R36" i="16"/>
  <c r="Q36" i="16"/>
  <c r="R22" i="16"/>
  <c r="Q22" i="16"/>
  <c r="R161" i="16"/>
  <c r="Q161" i="16"/>
  <c r="O173" i="16"/>
  <c r="Q125" i="16"/>
  <c r="R125" i="16"/>
  <c r="Q101" i="16"/>
  <c r="R101" i="16"/>
  <c r="Q97" i="16"/>
  <c r="R97" i="16"/>
  <c r="R149" i="16"/>
  <c r="Q149" i="16"/>
  <c r="R69" i="16"/>
  <c r="S57" i="16" s="1"/>
  <c r="Q20" i="16"/>
  <c r="R20" i="16"/>
  <c r="R111" i="16"/>
  <c r="Q111" i="16"/>
  <c r="R46" i="16"/>
  <c r="Q46" i="16"/>
  <c r="R19" i="16"/>
  <c r="Q19" i="16"/>
  <c r="R100" i="16"/>
  <c r="AG95" i="16"/>
  <c r="AH83" i="16" s="1"/>
  <c r="AF95" i="16"/>
  <c r="R49" i="16"/>
  <c r="Q49" i="16"/>
  <c r="Q141" i="15"/>
  <c r="R141" i="15"/>
  <c r="AG134" i="15"/>
  <c r="AH122" i="15" s="1"/>
  <c r="AF134" i="15"/>
  <c r="R45" i="16"/>
  <c r="Q45" i="16"/>
  <c r="R149" i="15"/>
  <c r="Q149" i="15"/>
  <c r="R136" i="15"/>
  <c r="Q136" i="15"/>
  <c r="AG108" i="15"/>
  <c r="AH96" i="15" s="1"/>
  <c r="AF108" i="15"/>
  <c r="R99" i="15"/>
  <c r="Q99" i="15"/>
  <c r="R11" i="16"/>
  <c r="Q11" i="16"/>
  <c r="R8" i="16"/>
  <c r="Q8" i="16"/>
  <c r="R72" i="15"/>
  <c r="Q72" i="15"/>
  <c r="R35" i="15"/>
  <c r="Q35" i="15"/>
  <c r="R21" i="15"/>
  <c r="Q21" i="15"/>
  <c r="AG17" i="16"/>
  <c r="AH5" i="16" s="1"/>
  <c r="AF17" i="16"/>
  <c r="AG160" i="15"/>
  <c r="AH148" i="15" s="1"/>
  <c r="AF160" i="15"/>
  <c r="R91" i="15"/>
  <c r="Q91" i="15"/>
  <c r="AF69" i="15"/>
  <c r="AG69" i="15"/>
  <c r="AH57" i="15" s="1"/>
  <c r="Q69" i="15"/>
  <c r="R7" i="16"/>
  <c r="Q7" i="16"/>
  <c r="R71" i="15"/>
  <c r="Q71" i="15"/>
  <c r="AG17" i="15"/>
  <c r="AH5" i="15" s="1"/>
  <c r="AF17" i="15"/>
  <c r="R99" i="14"/>
  <c r="Q99" i="14"/>
  <c r="R85" i="14"/>
  <c r="Q85" i="14"/>
  <c r="Q82" i="15"/>
  <c r="AF82" i="15"/>
  <c r="AG82" i="15"/>
  <c r="AH70" i="15" s="1"/>
  <c r="Q20" i="15"/>
  <c r="Q142" i="14"/>
  <c r="R142" i="14"/>
  <c r="Q138" i="14"/>
  <c r="R138" i="14"/>
  <c r="Q135" i="14"/>
  <c r="O147" i="14"/>
  <c r="R135" i="14"/>
  <c r="R123" i="14"/>
  <c r="Q123" i="14"/>
  <c r="AG134" i="14"/>
  <c r="AH122" i="14" s="1"/>
  <c r="AF134" i="14"/>
  <c r="R75" i="15"/>
  <c r="Q75" i="15"/>
  <c r="R149" i="14"/>
  <c r="O160" i="14"/>
  <c r="Q149" i="14"/>
  <c r="Q6" i="15"/>
  <c r="R6" i="15"/>
  <c r="R164" i="14"/>
  <c r="Q164" i="14"/>
  <c r="R125" i="14"/>
  <c r="Q125" i="14"/>
  <c r="R122" i="13"/>
  <c r="O134" i="13"/>
  <c r="Q122" i="13"/>
  <c r="R91" i="13"/>
  <c r="Q91" i="13"/>
  <c r="AG173" i="14"/>
  <c r="AH161" i="14" s="1"/>
  <c r="AF173" i="14"/>
  <c r="Q82" i="14"/>
  <c r="AG82" i="14"/>
  <c r="AH70" i="14" s="1"/>
  <c r="AF82" i="14"/>
  <c r="R37" i="14"/>
  <c r="Q37" i="14"/>
  <c r="R33" i="14"/>
  <c r="Q33" i="14"/>
  <c r="R142" i="13"/>
  <c r="Q142" i="13"/>
  <c r="R138" i="13"/>
  <c r="Q138" i="13"/>
  <c r="Q61" i="13"/>
  <c r="R61" i="13"/>
  <c r="R19" i="13"/>
  <c r="Q19" i="13"/>
  <c r="R98" i="14"/>
  <c r="Q98" i="14"/>
  <c r="Q20" i="14"/>
  <c r="R163" i="13"/>
  <c r="Q86" i="13"/>
  <c r="R86" i="13"/>
  <c r="R85" i="13"/>
  <c r="Q85" i="13"/>
  <c r="AG56" i="14"/>
  <c r="AH44" i="14" s="1"/>
  <c r="Q56" i="14"/>
  <c r="AF56" i="14"/>
  <c r="R34" i="13"/>
  <c r="Q34" i="13"/>
  <c r="O30" i="13"/>
  <c r="R18" i="13"/>
  <c r="Q18" i="13"/>
  <c r="Q140" i="14"/>
  <c r="R140" i="14"/>
  <c r="Q9" i="14"/>
  <c r="Q109" i="14"/>
  <c r="O121" i="14"/>
  <c r="R109" i="14"/>
  <c r="R10" i="14"/>
  <c r="Q10" i="14"/>
  <c r="O147" i="13"/>
  <c r="R135" i="13"/>
  <c r="Q135" i="13"/>
  <c r="Q48" i="14"/>
  <c r="R48" i="14"/>
  <c r="R35" i="14"/>
  <c r="Q35" i="14"/>
  <c r="R59" i="13"/>
  <c r="Q59" i="13"/>
  <c r="Q50" i="13"/>
  <c r="R50" i="13"/>
  <c r="R49" i="13"/>
  <c r="Q49" i="13"/>
  <c r="R11" i="13"/>
  <c r="Q11" i="13"/>
  <c r="R57" i="13"/>
  <c r="R164" i="17"/>
  <c r="Q164" i="17"/>
  <c r="Q138" i="17"/>
  <c r="R138" i="17"/>
  <c r="R123" i="17"/>
  <c r="R101" i="17"/>
  <c r="Q101" i="17"/>
  <c r="AG160" i="17"/>
  <c r="AH148" i="17" s="1"/>
  <c r="AF160" i="17"/>
  <c r="Q135" i="17"/>
  <c r="O147" i="17"/>
  <c r="R135" i="17"/>
  <c r="R100" i="17"/>
  <c r="Q100" i="17"/>
  <c r="R86" i="17"/>
  <c r="Q86" i="17"/>
  <c r="AF82" i="17"/>
  <c r="Q82" i="17"/>
  <c r="AG82" i="17"/>
  <c r="AH70" i="17" s="1"/>
  <c r="AG121" i="17"/>
  <c r="AH109" i="17" s="1"/>
  <c r="AF121" i="17"/>
  <c r="R104" i="17"/>
  <c r="AF108" i="17"/>
  <c r="AG108" i="17"/>
  <c r="AH96" i="17" s="1"/>
  <c r="Q60" i="17"/>
  <c r="R60" i="17"/>
  <c r="R59" i="17"/>
  <c r="Q59" i="17"/>
  <c r="R48" i="17"/>
  <c r="Q48" i="17"/>
  <c r="AF30" i="17"/>
  <c r="AG30" i="17"/>
  <c r="AH18" i="17" s="1"/>
  <c r="R46" i="17"/>
  <c r="Q46" i="17"/>
  <c r="Q11" i="17"/>
  <c r="R11" i="17"/>
  <c r="Q163" i="16"/>
  <c r="R163" i="16"/>
  <c r="Q34" i="17"/>
  <c r="O43" i="17"/>
  <c r="R43" i="17" s="1"/>
  <c r="S31" i="17" s="1"/>
  <c r="R31" i="17"/>
  <c r="Q31" i="17"/>
  <c r="O56" i="17"/>
  <c r="R56" i="17" s="1"/>
  <c r="S44" i="17" s="1"/>
  <c r="R8" i="17"/>
  <c r="Q8" i="17"/>
  <c r="O17" i="17"/>
  <c r="R5" i="17"/>
  <c r="Q5" i="17"/>
  <c r="Q138" i="16"/>
  <c r="R138" i="16"/>
  <c r="AF134" i="16"/>
  <c r="AG134" i="16"/>
  <c r="AH122" i="16" s="1"/>
  <c r="R110" i="16"/>
  <c r="Q110" i="16"/>
  <c r="R76" i="16"/>
  <c r="Q76" i="16"/>
  <c r="R72" i="16"/>
  <c r="Q72" i="16"/>
  <c r="R58" i="16"/>
  <c r="Q58" i="16"/>
  <c r="R34" i="16"/>
  <c r="Q34" i="16"/>
  <c r="Q32" i="17"/>
  <c r="AG173" i="16"/>
  <c r="AH161" i="16" s="1"/>
  <c r="AF173" i="16"/>
  <c r="Q96" i="16"/>
  <c r="O108" i="16"/>
  <c r="R96" i="16"/>
  <c r="R113" i="16"/>
  <c r="Q113" i="16"/>
  <c r="Q75" i="16"/>
  <c r="R35" i="16"/>
  <c r="Q35" i="16"/>
  <c r="R85" i="16"/>
  <c r="Q85" i="16"/>
  <c r="AF82" i="16"/>
  <c r="Q82" i="16"/>
  <c r="AG82" i="16"/>
  <c r="AH70" i="16" s="1"/>
  <c r="R83" i="16"/>
  <c r="Q83" i="16"/>
  <c r="O95" i="16"/>
  <c r="Q77" i="16"/>
  <c r="Q57" i="16"/>
  <c r="AG56" i="16"/>
  <c r="AH44" i="16" s="1"/>
  <c r="Q56" i="16"/>
  <c r="AF56" i="16"/>
  <c r="Q139" i="15"/>
  <c r="R139" i="15"/>
  <c r="R61" i="16"/>
  <c r="Q61" i="16"/>
  <c r="R9" i="16"/>
  <c r="Q9" i="16"/>
  <c r="R6" i="16"/>
  <c r="Q6" i="16"/>
  <c r="R127" i="15"/>
  <c r="Q127" i="15"/>
  <c r="R102" i="15"/>
  <c r="Q102" i="15"/>
  <c r="R88" i="15"/>
  <c r="Q88" i="15"/>
  <c r="Q83" i="15"/>
  <c r="R33" i="15"/>
  <c r="Q33" i="15"/>
  <c r="R19" i="15"/>
  <c r="Q19" i="15"/>
  <c r="R123" i="15"/>
  <c r="Q123" i="15"/>
  <c r="Q104" i="15"/>
  <c r="R101" i="15"/>
  <c r="Q101" i="15"/>
  <c r="O108" i="15"/>
  <c r="R96" i="15"/>
  <c r="Q96" i="15"/>
  <c r="R83" i="15"/>
  <c r="Q48" i="15"/>
  <c r="R48" i="15"/>
  <c r="O173" i="15"/>
  <c r="R161" i="15"/>
  <c r="Q161" i="15"/>
  <c r="R138" i="15"/>
  <c r="Q138" i="15"/>
  <c r="R31" i="15"/>
  <c r="O43" i="15"/>
  <c r="R43" i="15" s="1"/>
  <c r="S31" i="15" s="1"/>
  <c r="Q31" i="15"/>
  <c r="Q111" i="14"/>
  <c r="R111" i="14"/>
  <c r="R103" i="14"/>
  <c r="Q103" i="14"/>
  <c r="Q110" i="14"/>
  <c r="R110" i="14"/>
  <c r="Q10" i="15"/>
  <c r="R10" i="15"/>
  <c r="R44" i="14"/>
  <c r="O56" i="14"/>
  <c r="R56" i="14" s="1"/>
  <c r="S44" i="14" s="1"/>
  <c r="Q44" i="14"/>
  <c r="Q102" i="13"/>
  <c r="R102" i="13"/>
  <c r="R101" i="13"/>
  <c r="Q101" i="13"/>
  <c r="Q88" i="13"/>
  <c r="R88" i="13"/>
  <c r="R87" i="13"/>
  <c r="Q87" i="13"/>
  <c r="Q75" i="13"/>
  <c r="R75" i="13"/>
  <c r="Q71" i="13"/>
  <c r="R71" i="13"/>
  <c r="Q61" i="14"/>
  <c r="R61" i="14"/>
  <c r="Q50" i="14"/>
  <c r="R50" i="14"/>
  <c r="Q46" i="14"/>
  <c r="R46" i="14"/>
  <c r="R8" i="14"/>
  <c r="Q8" i="14"/>
  <c r="Q8" i="15"/>
  <c r="R8" i="15"/>
  <c r="Q100" i="14"/>
  <c r="O95" i="14"/>
  <c r="Q83" i="14"/>
  <c r="R83" i="14"/>
  <c r="AG17" i="14"/>
  <c r="AH5" i="14" s="1"/>
  <c r="AF17" i="14"/>
  <c r="Q110" i="13"/>
  <c r="Q104" i="13"/>
  <c r="R104" i="13"/>
  <c r="R103" i="13"/>
  <c r="Q103" i="13"/>
  <c r="Q77" i="13"/>
  <c r="R77" i="13"/>
  <c r="Q73" i="13"/>
  <c r="R73" i="13"/>
  <c r="Q70" i="13"/>
  <c r="R70" i="13"/>
  <c r="O82" i="13"/>
  <c r="R82" i="13" s="1"/>
  <c r="S70" i="13" s="1"/>
  <c r="AG43" i="13"/>
  <c r="AH31" i="13" s="1"/>
  <c r="AF43" i="13"/>
  <c r="Q43" i="13"/>
  <c r="R150" i="14"/>
  <c r="Q150" i="14"/>
  <c r="Q71" i="14"/>
  <c r="R71" i="14"/>
  <c r="R136" i="13"/>
  <c r="Q136" i="13"/>
  <c r="O121" i="13"/>
  <c r="AF108" i="13"/>
  <c r="AG108" i="13"/>
  <c r="AH96" i="13" s="1"/>
  <c r="AF30" i="13"/>
  <c r="AG30" i="13"/>
  <c r="AH18" i="13" s="1"/>
  <c r="Q124" i="14"/>
  <c r="R102" i="14"/>
  <c r="Q102" i="14"/>
  <c r="Q84" i="13"/>
  <c r="R84" i="13"/>
  <c r="O56" i="13"/>
  <c r="R56" i="13" s="1"/>
  <c r="S44" i="13" s="1"/>
  <c r="R44" i="13"/>
  <c r="Q44" i="13"/>
  <c r="AG17" i="13"/>
  <c r="AH5" i="13" s="1"/>
  <c r="AF17" i="13"/>
  <c r="AG121" i="14"/>
  <c r="AH109" i="14" s="1"/>
  <c r="AF121" i="14"/>
  <c r="Q59" i="14"/>
  <c r="R59" i="14"/>
  <c r="Q36" i="14"/>
  <c r="Q32" i="14"/>
  <c r="Q31" i="13"/>
  <c r="Q143" i="13"/>
  <c r="Q139" i="13"/>
  <c r="Q126" i="13"/>
  <c r="R126" i="13"/>
  <c r="Q60" i="13"/>
  <c r="R60" i="13"/>
  <c r="Q58" i="13"/>
  <c r="R58" i="13"/>
  <c r="Q48" i="13"/>
  <c r="R48" i="13"/>
  <c r="R47" i="13"/>
  <c r="Q47" i="13"/>
  <c r="Q10" i="13"/>
  <c r="R10" i="13"/>
  <c r="R9" i="13"/>
  <c r="Q9" i="13"/>
  <c r="Q57" i="13"/>
  <c r="Q32" i="13"/>
  <c r="R149" i="17"/>
  <c r="Q149" i="17"/>
  <c r="Q122" i="17"/>
  <c r="O134" i="17"/>
  <c r="R122" i="17"/>
  <c r="R97" i="17"/>
  <c r="Q97" i="17"/>
  <c r="Q78" i="17"/>
  <c r="R78" i="17"/>
  <c r="R77" i="17"/>
  <c r="Q77" i="17"/>
  <c r="O82" i="17"/>
  <c r="R82" i="17" s="1"/>
  <c r="S70" i="17" s="1"/>
  <c r="R70" i="17"/>
  <c r="Q70" i="17"/>
  <c r="R110" i="17"/>
  <c r="Q110" i="17"/>
  <c r="O95" i="17"/>
  <c r="R150" i="17"/>
  <c r="Q150" i="17"/>
  <c r="AG69" i="17"/>
  <c r="AH57" i="17" s="1"/>
  <c r="Q69" i="17"/>
  <c r="AF69" i="17"/>
  <c r="R20" i="17"/>
  <c r="Q20" i="17"/>
  <c r="Q9" i="17"/>
  <c r="R9" i="17"/>
  <c r="R34" i="17"/>
  <c r="Q140" i="16"/>
  <c r="R140" i="16"/>
  <c r="O121" i="16"/>
  <c r="R109" i="16"/>
  <c r="Q109" i="16"/>
  <c r="R48" i="16"/>
  <c r="Q48" i="16"/>
  <c r="R32" i="16"/>
  <c r="Q32" i="16"/>
  <c r="R10" i="17"/>
  <c r="Q10" i="17"/>
  <c r="Q127" i="16"/>
  <c r="R127" i="16"/>
  <c r="Q123" i="16"/>
  <c r="R123" i="16"/>
  <c r="Q103" i="16"/>
  <c r="R103" i="16"/>
  <c r="Q99" i="16"/>
  <c r="R99" i="16"/>
  <c r="AF69" i="16"/>
  <c r="AG69" i="16"/>
  <c r="AH57" i="16" s="1"/>
  <c r="Q69" i="16"/>
  <c r="R86" i="16"/>
  <c r="Q86" i="16"/>
  <c r="R21" i="16"/>
  <c r="Q21" i="16"/>
  <c r="R87" i="16"/>
  <c r="Q87" i="16"/>
  <c r="R59" i="16"/>
  <c r="Q59" i="16"/>
  <c r="R50" i="16"/>
  <c r="Q50" i="16"/>
  <c r="R89" i="16"/>
  <c r="Q89" i="16"/>
  <c r="R134" i="15"/>
  <c r="S122" i="15" s="1"/>
  <c r="Q134" i="15"/>
  <c r="AF147" i="16"/>
  <c r="AG147" i="16"/>
  <c r="AH135" i="16" s="1"/>
  <c r="R88" i="16"/>
  <c r="Q88" i="16"/>
  <c r="R57" i="16"/>
  <c r="R44" i="16"/>
  <c r="Q44" i="16"/>
  <c r="O56" i="16"/>
  <c r="R56" i="16" s="1"/>
  <c r="S44" i="16" s="1"/>
  <c r="Q150" i="15"/>
  <c r="R150" i="15"/>
  <c r="Q137" i="15"/>
  <c r="R137" i="15"/>
  <c r="Q112" i="15"/>
  <c r="R112" i="15"/>
  <c r="R90" i="16"/>
  <c r="Q90" i="16"/>
  <c r="R164" i="15"/>
  <c r="Q164" i="15"/>
  <c r="R98" i="15"/>
  <c r="Q98" i="15"/>
  <c r="R87" i="15"/>
  <c r="Q87" i="15"/>
  <c r="O30" i="16"/>
  <c r="R18" i="16"/>
  <c r="Q18" i="16"/>
  <c r="R142" i="15"/>
  <c r="Q142" i="15"/>
  <c r="R135" i="15"/>
  <c r="O147" i="15"/>
  <c r="Q135" i="15"/>
  <c r="R76" i="15"/>
  <c r="Q76" i="15"/>
  <c r="R60" i="15"/>
  <c r="Q60" i="15"/>
  <c r="O30" i="15"/>
  <c r="R18" i="15"/>
  <c r="Q18" i="15"/>
  <c r="R140" i="15"/>
  <c r="Q140" i="15"/>
  <c r="Q113" i="15"/>
  <c r="R113" i="15"/>
  <c r="O95" i="15"/>
  <c r="AF173" i="15"/>
  <c r="AG173" i="15"/>
  <c r="AH161" i="15" s="1"/>
  <c r="R125" i="15"/>
  <c r="Q125" i="15"/>
  <c r="Q109" i="15"/>
  <c r="R109" i="15"/>
  <c r="O121" i="15"/>
  <c r="Q5" i="15"/>
  <c r="O17" i="15"/>
  <c r="R5" i="15"/>
  <c r="R165" i="14"/>
  <c r="Q165" i="14"/>
  <c r="O82" i="15"/>
  <c r="R82" i="15" s="1"/>
  <c r="S70" i="15" s="1"/>
  <c r="R70" i="15"/>
  <c r="Q70" i="15"/>
  <c r="R61" i="15"/>
  <c r="Q61" i="15"/>
  <c r="R44" i="15"/>
  <c r="Q44" i="15"/>
  <c r="O56" i="15"/>
  <c r="R56" i="15" s="1"/>
  <c r="S44" i="15" s="1"/>
  <c r="AG160" i="14"/>
  <c r="AH148" i="14" s="1"/>
  <c r="AF160" i="14"/>
  <c r="AG147" i="14"/>
  <c r="AH135" i="14" s="1"/>
  <c r="AF147" i="14"/>
  <c r="R127" i="14"/>
  <c r="Q127" i="14"/>
  <c r="Q113" i="14"/>
  <c r="R113" i="14"/>
  <c r="AG43" i="15"/>
  <c r="AH31" i="15" s="1"/>
  <c r="AF43" i="15"/>
  <c r="Q43" i="15"/>
  <c r="R112" i="14"/>
  <c r="Q112" i="14"/>
  <c r="AG108" i="14"/>
  <c r="AH96" i="14" s="1"/>
  <c r="AF108" i="14"/>
  <c r="O108" i="14"/>
  <c r="R32" i="15"/>
  <c r="Q32" i="15"/>
  <c r="R19" i="14"/>
  <c r="Q19" i="14"/>
  <c r="R162" i="13"/>
  <c r="Q162" i="13"/>
  <c r="Q98" i="13"/>
  <c r="R98" i="13"/>
  <c r="R97" i="13"/>
  <c r="Q97" i="13"/>
  <c r="Q136" i="14"/>
  <c r="R136" i="14"/>
  <c r="Q77" i="14"/>
  <c r="R77" i="14"/>
  <c r="Q73" i="14"/>
  <c r="R73" i="14"/>
  <c r="Q70" i="14"/>
  <c r="O82" i="14"/>
  <c r="R82" i="14" s="1"/>
  <c r="S70" i="14" s="1"/>
  <c r="R70" i="14"/>
  <c r="AG121" i="13"/>
  <c r="AH109" i="13" s="1"/>
  <c r="AF121" i="13"/>
  <c r="AG69" i="14"/>
  <c r="AH57" i="14" s="1"/>
  <c r="Q69" i="14"/>
  <c r="AF69" i="14"/>
  <c r="R21" i="14"/>
  <c r="Q21" i="14"/>
  <c r="O30" i="14"/>
  <c r="Q100" i="13"/>
  <c r="R100" i="13"/>
  <c r="R99" i="13"/>
  <c r="Q99" i="13"/>
  <c r="Q83" i="13"/>
  <c r="O95" i="13"/>
  <c r="R83" i="13"/>
  <c r="R84" i="14"/>
  <c r="Q84" i="14"/>
  <c r="AF30" i="14"/>
  <c r="AG30" i="14"/>
  <c r="AH18" i="14" s="1"/>
  <c r="R140" i="13"/>
  <c r="Q140" i="13"/>
  <c r="Q109" i="13"/>
  <c r="AG69" i="13"/>
  <c r="AH57" i="13" s="1"/>
  <c r="Q69" i="13"/>
  <c r="AF69" i="13"/>
  <c r="AG56" i="13"/>
  <c r="AH44" i="13" s="1"/>
  <c r="Q56" i="13"/>
  <c r="AF56" i="13"/>
  <c r="Q75" i="14"/>
  <c r="R75" i="14"/>
  <c r="AG147" i="13"/>
  <c r="AH135" i="13" s="1"/>
  <c r="AF147" i="13"/>
  <c r="O43" i="13"/>
  <c r="R43" i="13" s="1"/>
  <c r="S31" i="13" s="1"/>
  <c r="R31" i="14"/>
  <c r="O43" i="14"/>
  <c r="Q31" i="14"/>
  <c r="R22" i="14"/>
  <c r="Q22" i="14"/>
  <c r="Q46" i="13"/>
  <c r="R46" i="13"/>
  <c r="R45" i="13"/>
  <c r="Q45" i="13"/>
  <c r="Q8" i="13"/>
  <c r="R8" i="13"/>
  <c r="R7" i="13"/>
  <c r="Q7" i="13"/>
  <c r="O69" i="13"/>
  <c r="R69" i="13" s="1"/>
  <c r="S57" i="13" s="1"/>
  <c r="R95" i="13" l="1"/>
  <c r="S83" i="13" s="1"/>
  <c r="Q95" i="13"/>
  <c r="R17" i="15"/>
  <c r="S5" i="15" s="1"/>
  <c r="E2" i="15"/>
  <c r="Q17" i="15"/>
  <c r="R30" i="15"/>
  <c r="S18" i="15" s="1"/>
  <c r="Q30" i="15"/>
  <c r="Q30" i="16"/>
  <c r="R30" i="16"/>
  <c r="S18" i="16" s="1"/>
  <c r="R121" i="16"/>
  <c r="S109" i="16" s="1"/>
  <c r="Q121" i="16"/>
  <c r="R95" i="14"/>
  <c r="S83" i="14" s="1"/>
  <c r="Q95" i="14"/>
  <c r="Q108" i="15"/>
  <c r="R108" i="15"/>
  <c r="S96" i="15" s="1"/>
  <c r="Q134" i="13"/>
  <c r="R134" i="13"/>
  <c r="S122" i="13" s="1"/>
  <c r="R160" i="17"/>
  <c r="S148" i="17" s="1"/>
  <c r="Q160" i="17"/>
  <c r="R17" i="14"/>
  <c r="S5" i="14" s="1"/>
  <c r="Q17" i="14"/>
  <c r="E2" i="14"/>
  <c r="R17" i="13"/>
  <c r="S5" i="13" s="1"/>
  <c r="E2" i="13"/>
  <c r="Q17" i="13"/>
  <c r="R17" i="16"/>
  <c r="S5" i="16" s="1"/>
  <c r="Q17" i="16"/>
  <c r="E2" i="16"/>
  <c r="R134" i="16"/>
  <c r="S122" i="16" s="1"/>
  <c r="Q134" i="16"/>
  <c r="R160" i="16"/>
  <c r="S148" i="16" s="1"/>
  <c r="Q160" i="16"/>
  <c r="Q108" i="14"/>
  <c r="R108" i="14"/>
  <c r="S96" i="14" s="1"/>
  <c r="Q95" i="15"/>
  <c r="R95" i="15"/>
  <c r="S83" i="15" s="1"/>
  <c r="R108" i="16"/>
  <c r="S96" i="16" s="1"/>
  <c r="Q108" i="16"/>
  <c r="Q147" i="13"/>
  <c r="R147" i="13"/>
  <c r="S135" i="13" s="1"/>
  <c r="R121" i="14"/>
  <c r="S109" i="14" s="1"/>
  <c r="Q121" i="14"/>
  <c r="R108" i="13"/>
  <c r="S96" i="13" s="1"/>
  <c r="Q108" i="13"/>
  <c r="Q160" i="13"/>
  <c r="R160" i="13"/>
  <c r="S148" i="13" s="1"/>
  <c r="R134" i="14"/>
  <c r="S122" i="14" s="1"/>
  <c r="Q134" i="14"/>
  <c r="R147" i="16"/>
  <c r="S135" i="16" s="1"/>
  <c r="Q147" i="16"/>
  <c r="R43" i="16"/>
  <c r="S31" i="16" s="1"/>
  <c r="R121" i="15"/>
  <c r="S109" i="15" s="1"/>
  <c r="Q121" i="15"/>
  <c r="Q147" i="15"/>
  <c r="R147" i="15"/>
  <c r="S135" i="15" s="1"/>
  <c r="Q95" i="17"/>
  <c r="R95" i="17"/>
  <c r="S83" i="17" s="1"/>
  <c r="Q121" i="13"/>
  <c r="R121" i="13"/>
  <c r="S109" i="13" s="1"/>
  <c r="R173" i="15"/>
  <c r="S161" i="15" s="1"/>
  <c r="Q173" i="15"/>
  <c r="R17" i="17"/>
  <c r="S5" i="17" s="1"/>
  <c r="E2" i="17"/>
  <c r="Q17" i="17"/>
  <c r="R147" i="17"/>
  <c r="S135" i="17" s="1"/>
  <c r="Q147" i="17"/>
  <c r="R160" i="14"/>
  <c r="S148" i="14" s="1"/>
  <c r="Q160" i="14"/>
  <c r="R173" i="14"/>
  <c r="S161" i="14" s="1"/>
  <c r="Q173" i="14"/>
  <c r="R30" i="14"/>
  <c r="S18" i="14" s="1"/>
  <c r="Q30" i="14"/>
  <c r="R43" i="14"/>
  <c r="S31" i="14" s="1"/>
  <c r="R134" i="17"/>
  <c r="S122" i="17" s="1"/>
  <c r="Q134" i="17"/>
  <c r="R95" i="16"/>
  <c r="S83" i="16" s="1"/>
  <c r="Q95" i="16"/>
  <c r="R30" i="13"/>
  <c r="S18" i="13" s="1"/>
  <c r="Q30" i="13"/>
  <c r="R147" i="14"/>
  <c r="S135" i="14" s="1"/>
  <c r="Q147" i="14"/>
  <c r="R173" i="16"/>
  <c r="S161" i="16" s="1"/>
  <c r="Q173" i="16"/>
  <c r="Q30" i="17"/>
  <c r="R30" i="17"/>
  <c r="S18" i="17" s="1"/>
  <c r="R108" i="17"/>
  <c r="S96" i="17" s="1"/>
  <c r="Q108" i="17"/>
  <c r="Q160" i="15"/>
  <c r="R160" i="15"/>
  <c r="S148" i="15" s="1"/>
  <c r="R173" i="17"/>
  <c r="S161" i="17" s="1"/>
  <c r="Q173" i="17"/>
  <c r="M32" i="10" l="1"/>
  <c r="L32" i="10"/>
  <c r="K32" i="10"/>
  <c r="J32" i="10"/>
  <c r="I32" i="10"/>
  <c r="H32" i="10"/>
  <c r="G32" i="10"/>
  <c r="F32" i="10"/>
  <c r="E32" i="10"/>
  <c r="D32" i="10"/>
  <c r="Q15" i="10"/>
  <c r="P15" i="10"/>
  <c r="O15" i="10"/>
  <c r="N15" i="10"/>
  <c r="M15" i="10"/>
  <c r="L15" i="10"/>
  <c r="K15" i="10"/>
  <c r="J15" i="10"/>
  <c r="I15" i="10"/>
  <c r="H15" i="10"/>
  <c r="G15" i="10"/>
  <c r="F15" i="10"/>
  <c r="E15" i="10"/>
  <c r="D15" i="10"/>
  <c r="L7" i="10"/>
  <c r="J7" i="10"/>
  <c r="H7" i="10"/>
  <c r="F7" i="10"/>
  <c r="L6" i="10"/>
  <c r="J6" i="10"/>
  <c r="H6" i="10"/>
  <c r="F6" i="10"/>
  <c r="M32" i="9"/>
  <c r="L32" i="9"/>
  <c r="K32" i="9"/>
  <c r="J32" i="9"/>
  <c r="I32" i="9"/>
  <c r="H32" i="9"/>
  <c r="G32" i="9"/>
  <c r="F32" i="9"/>
  <c r="E32" i="9"/>
  <c r="D32" i="9"/>
  <c r="J8" i="9" s="1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H8" i="9" s="1"/>
  <c r="L7" i="9"/>
  <c r="J7" i="9"/>
  <c r="H7" i="9"/>
  <c r="F7" i="9"/>
  <c r="L6" i="9"/>
  <c r="J6" i="9"/>
  <c r="H6" i="9"/>
  <c r="F6" i="9"/>
  <c r="M32" i="8"/>
  <c r="L32" i="8"/>
  <c r="K32" i="8"/>
  <c r="J32" i="8"/>
  <c r="I32" i="8"/>
  <c r="H32" i="8"/>
  <c r="G32" i="8"/>
  <c r="F32" i="8"/>
  <c r="E32" i="8"/>
  <c r="D32" i="8"/>
  <c r="Q15" i="8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L7" i="8"/>
  <c r="J7" i="8"/>
  <c r="H7" i="8"/>
  <c r="F7" i="8"/>
  <c r="L6" i="8"/>
  <c r="J6" i="8"/>
  <c r="H6" i="8"/>
  <c r="F6" i="8"/>
  <c r="M32" i="7"/>
  <c r="L32" i="7"/>
  <c r="K32" i="7"/>
  <c r="J32" i="7"/>
  <c r="I32" i="7"/>
  <c r="H32" i="7"/>
  <c r="G32" i="7"/>
  <c r="F32" i="7"/>
  <c r="E32" i="7"/>
  <c r="D32" i="7"/>
  <c r="J8" i="7" s="1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L7" i="7"/>
  <c r="J7" i="7"/>
  <c r="H7" i="7"/>
  <c r="F7" i="7"/>
  <c r="L6" i="7"/>
  <c r="J6" i="7"/>
  <c r="H6" i="7"/>
  <c r="F6" i="7"/>
  <c r="M32" i="6"/>
  <c r="L32" i="6"/>
  <c r="K32" i="6"/>
  <c r="J32" i="6"/>
  <c r="I32" i="6"/>
  <c r="H32" i="6"/>
  <c r="G32" i="6"/>
  <c r="F32" i="6"/>
  <c r="E32" i="6"/>
  <c r="D32" i="6"/>
  <c r="Q15" i="6"/>
  <c r="P15" i="6"/>
  <c r="O15" i="6"/>
  <c r="N15" i="6"/>
  <c r="M15" i="6"/>
  <c r="L15" i="6"/>
  <c r="K15" i="6"/>
  <c r="J15" i="6"/>
  <c r="I15" i="6"/>
  <c r="H15" i="6"/>
  <c r="G15" i="6"/>
  <c r="F15" i="6"/>
  <c r="E15" i="6"/>
  <c r="D15" i="6"/>
  <c r="J8" i="6"/>
  <c r="L7" i="6"/>
  <c r="J7" i="6"/>
  <c r="H7" i="6"/>
  <c r="F7" i="6"/>
  <c r="L6" i="6"/>
  <c r="J6" i="6"/>
  <c r="H6" i="6"/>
  <c r="F6" i="6"/>
  <c r="H8" i="10" l="1"/>
  <c r="J8" i="10"/>
  <c r="H8" i="6"/>
  <c r="L8" i="7"/>
  <c r="J8" i="8"/>
  <c r="L8" i="10"/>
  <c r="L8" i="6"/>
  <c r="F8" i="10"/>
  <c r="L8" i="9"/>
  <c r="F8" i="9"/>
  <c r="L8" i="8"/>
  <c r="F8" i="8"/>
  <c r="H8" i="8"/>
  <c r="F8" i="7"/>
  <c r="H8" i="7"/>
  <c r="F8" i="6"/>
</calcChain>
</file>

<file path=xl/sharedStrings.xml><?xml version="1.0" encoding="utf-8"?>
<sst xmlns="http://schemas.openxmlformats.org/spreadsheetml/2006/main" count="3561" uniqueCount="328">
  <si>
    <t>日期</t>
  </si>
  <si>
    <t>訂單量</t>
  </si>
  <si>
    <t>營業額</t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</si>
  <si>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</si>
  <si>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</si>
  <si>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</si>
  <si>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</si>
  <si>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</si>
  <si>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</si>
  <si>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</si>
  <si>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溫層</t>
    <phoneticPr fontId="1" type="noConversion"/>
  </si>
  <si>
    <t>➁4度C-各編組展開</t>
    <phoneticPr fontId="1" type="noConversion"/>
  </si>
  <si>
    <t>編組</t>
    <phoneticPr fontId="1" type="noConversion"/>
  </si>
  <si>
    <t>4度一組</t>
    <phoneticPr fontId="1" type="noConversion"/>
  </si>
  <si>
    <t xml:space="preserve">
4度二組A
</t>
    <phoneticPr fontId="1" type="noConversion"/>
  </si>
  <si>
    <t xml:space="preserve">
4度二組B
</t>
    <phoneticPr fontId="1" type="noConversion"/>
  </si>
  <si>
    <t xml:space="preserve">
4度二組C1
</t>
    <phoneticPr fontId="1" type="noConversion"/>
  </si>
  <si>
    <t>4度一組B</t>
    <phoneticPr fontId="1" type="noConversion"/>
  </si>
  <si>
    <t xml:space="preserve">
4度三組
</t>
    <phoneticPr fontId="1" type="noConversion"/>
  </si>
  <si>
    <t xml:space="preserve">
4度四組
</t>
    <phoneticPr fontId="1" type="noConversion"/>
  </si>
  <si>
    <t xml:space="preserve">
4度五組
</t>
    <phoneticPr fontId="1" type="noConversion"/>
  </si>
  <si>
    <t xml:space="preserve">
綜合一組
</t>
    <phoneticPr fontId="1" type="noConversion"/>
  </si>
  <si>
    <t xml:space="preserve">
綜合二組
</t>
    <phoneticPr fontId="1" type="noConversion"/>
  </si>
  <si>
    <t xml:space="preserve">
綜合三組
</t>
    <phoneticPr fontId="1" type="noConversion"/>
  </si>
  <si>
    <t xml:space="preserve">
綜合四組
</t>
    <phoneticPr fontId="1" type="noConversion"/>
  </si>
  <si>
    <t xml:space="preserve">
便當組
</t>
    <phoneticPr fontId="1" type="noConversion"/>
  </si>
  <si>
    <t>壽司線</t>
  </si>
  <si>
    <t>人時性</t>
    <phoneticPr fontId="7" type="noConversion"/>
  </si>
  <si>
    <t>排關</t>
    <phoneticPr fontId="1" type="noConversion"/>
  </si>
  <si>
    <t>實績</t>
    <phoneticPr fontId="1" type="noConversion"/>
  </si>
  <si>
    <t>達成率</t>
    <phoneticPr fontId="1" type="noConversion"/>
  </si>
  <si>
    <t>作業
時間</t>
    <phoneticPr fontId="1" type="noConversion"/>
  </si>
  <si>
    <t>開始</t>
    <phoneticPr fontId="1" type="noConversion"/>
  </si>
  <si>
    <t>結束</t>
    <phoneticPr fontId="1" type="noConversion"/>
  </si>
  <si>
    <t>配置人數</t>
    <phoneticPr fontId="1" type="noConversion"/>
  </si>
  <si>
    <t>主要應用設備</t>
    <phoneticPr fontId="1" type="noConversion"/>
  </si>
  <si>
    <t>ET-600</t>
  </si>
  <si>
    <t>八爪機</t>
  </si>
  <si>
    <t>十爪機</t>
  </si>
  <si>
    <t>ET-55</t>
  </si>
  <si>
    <t>伺服包裝機</t>
  </si>
  <si>
    <t>次要應用設備</t>
    <phoneticPr fontId="1" type="noConversion"/>
  </si>
  <si>
    <t>備註</t>
    <phoneticPr fontId="1" type="noConversion"/>
  </si>
  <si>
    <t>熱麵固定線</t>
    <phoneticPr fontId="1" type="noConversion"/>
  </si>
  <si>
    <t>烤飯糰</t>
    <phoneticPr fontId="7" type="noConversion"/>
  </si>
  <si>
    <t>吸收產線</t>
    <phoneticPr fontId="7" type="noConversion"/>
  </si>
  <si>
    <t>大口固定線</t>
    <phoneticPr fontId="1" type="noConversion"/>
  </si>
  <si>
    <t>➂18度C 一配-各編組展開</t>
    <phoneticPr fontId="1" type="noConversion"/>
  </si>
  <si>
    <t>➃18度C 二配-各編組展開</t>
    <phoneticPr fontId="7" type="noConversion"/>
  </si>
  <si>
    <t>連續式
海苔機</t>
  </si>
  <si>
    <t>3300型
飯糰機A</t>
  </si>
  <si>
    <t>3300型
飯糰機B</t>
  </si>
  <si>
    <t>3600型</t>
  </si>
  <si>
    <t>3300型</t>
  </si>
  <si>
    <t>異常停線</t>
    <phoneticPr fontId="7" type="noConversion"/>
  </si>
  <si>
    <t>短暫停線</t>
    <phoneticPr fontId="7" type="noConversion"/>
  </si>
  <si>
    <t>合計次數</t>
    <phoneticPr fontId="7" type="noConversion"/>
  </si>
  <si>
    <t>時間</t>
    <phoneticPr fontId="1" type="noConversion"/>
  </si>
  <si>
    <t>設備次數</t>
    <phoneticPr fontId="1" type="noConversion"/>
  </si>
  <si>
    <t/>
  </si>
  <si>
    <t>3600型
飯糰機A</t>
  </si>
  <si>
    <t>3600型
飯糰機B</t>
  </si>
  <si>
    <t>夾心型
飯糰機</t>
  </si>
  <si>
    <t>夾心型</t>
  </si>
  <si>
    <t>人時性</t>
  </si>
  <si>
    <t>結束</t>
  </si>
  <si>
    <t>產線異常
(5分鐘以上)</t>
    <phoneticPr fontId="18" type="noConversion"/>
  </si>
  <si>
    <t>短暫停線
(5分鐘以下)</t>
    <phoneticPr fontId="18" type="noConversion"/>
  </si>
  <si>
    <t>晉欣廠組合室生產人時性分析</t>
    <phoneticPr fontId="1" type="noConversion"/>
  </si>
  <si>
    <t>項目</t>
    <phoneticPr fontId="1" type="noConversion"/>
  </si>
  <si>
    <t>項目</t>
    <phoneticPr fontId="7" type="noConversion"/>
  </si>
  <si>
    <t>➀</t>
    <phoneticPr fontId="7" type="noConversion"/>
  </si>
  <si>
    <t>➁</t>
    <phoneticPr fontId="7" type="noConversion"/>
  </si>
  <si>
    <t>➂</t>
    <phoneticPr fontId="7" type="noConversion"/>
  </si>
  <si>
    <t>➃</t>
    <phoneticPr fontId="7" type="noConversion"/>
  </si>
  <si>
    <t>人時性</t>
    <phoneticPr fontId="1" type="noConversion"/>
  </si>
  <si>
    <t>組合室</t>
    <phoneticPr fontId="1" type="noConversion"/>
  </si>
  <si>
    <t>01月01日  星期四</t>
  </si>
  <si>
    <t>01月02日  星期五</t>
  </si>
  <si>
    <t>01月03日  星期六</t>
  </si>
  <si>
    <t>01月04日  星期日</t>
  </si>
  <si>
    <t>01月05日  星期一</t>
  </si>
  <si>
    <t>總生產量</t>
    <phoneticPr fontId="7" type="noConversion"/>
  </si>
  <si>
    <t>出勤人數</t>
  </si>
  <si>
    <t>產線配置圖</t>
  </si>
  <si>
    <t>生產實績</t>
  </si>
  <si>
    <t>日報登錄</t>
    <phoneticPr fontId="7" type="noConversion"/>
  </si>
  <si>
    <t>人時性</t>
    <phoneticPr fontId="7" type="noConversion"/>
  </si>
  <si>
    <t>平均廠價</t>
  </si>
  <si>
    <t>多次生產數</t>
  </si>
  <si>
    <t>線別</t>
    <phoneticPr fontId="1" type="noConversion"/>
  </si>
  <si>
    <t>品類</t>
  </si>
  <si>
    <t>品名</t>
    <phoneticPr fontId="1" type="noConversion"/>
  </si>
  <si>
    <t>廠價</t>
  </si>
  <si>
    <t>生產量</t>
  </si>
  <si>
    <t>營收</t>
  </si>
  <si>
    <t>多次
生產</t>
    <phoneticPr fontId="7" type="noConversion"/>
  </si>
  <si>
    <t>人數</t>
  </si>
  <si>
    <t>產能/時</t>
  </si>
  <si>
    <t>產能/時</t>
    <phoneticPr fontId="7" type="noConversion"/>
  </si>
  <si>
    <t>人數</t>
    <phoneticPr fontId="7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</si>
  <si>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</si>
  <si>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</si>
  <si>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7" type="noConversion"/>
  </si>
  <si>
    <t>休息時間</t>
    <phoneticPr fontId="7" type="noConversion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</si>
  <si>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</si>
  <si>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</si>
  <si>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7" type="noConversion"/>
  </si>
  <si>
    <t>椒麻香蔥雞涼拌麵</t>
  </si>
  <si>
    <t>台式麻醬涼麵</t>
  </si>
  <si>
    <t>大滿足香辣涼麵</t>
  </si>
  <si>
    <t>大滿足麻醬涼麵</t>
  </si>
  <si>
    <t>虱目魚粥</t>
  </si>
  <si>
    <t>愛恨椒芝麵</t>
  </si>
  <si>
    <t>平均</t>
    <phoneticPr fontId="7" type="noConversion"/>
  </si>
  <si>
    <t>日式蕎麥沾麵</t>
  </si>
  <si>
    <t>蔥蔥玉子拌麵</t>
  </si>
  <si>
    <t>古早味炒炊粉</t>
  </si>
  <si>
    <t>府城鹽水意麵</t>
  </si>
  <si>
    <t>大口金黃薯牛堡飯糰</t>
  </si>
  <si>
    <t>大口日式塔塔醬蝦排飯糰</t>
  </si>
  <si>
    <t>大口義式香草雞腿排飯糰</t>
  </si>
  <si>
    <t>香辣醬粉絲煲</t>
  </si>
  <si>
    <t>麻婆豆腐波浪麵</t>
  </si>
  <si>
    <t>明太子雞叉燒拌麵</t>
  </si>
  <si>
    <t>淡麗清酒蒸蛤蜊烤飯糰</t>
  </si>
  <si>
    <t>糖燻野郎起司炙燒牛烤飯糰</t>
  </si>
  <si>
    <t>香料咖哩炸雞烤飯糰</t>
  </si>
  <si>
    <t>多穀紫米飯</t>
  </si>
  <si>
    <t>優質池上飯</t>
  </si>
  <si>
    <t>和風牛肉咖哩炸飯糰</t>
  </si>
  <si>
    <t>糖燻豬耳絲</t>
  </si>
  <si>
    <t>燻之味-糖燻雞胗</t>
  </si>
  <si>
    <t>韓式蒜味炸雞</t>
  </si>
  <si>
    <t>蕃茄起司手工千層麵(區2)</t>
  </si>
  <si>
    <t>嘉義劉里長雞肉飯</t>
  </si>
  <si>
    <t>新招牌腿排便當</t>
  </si>
  <si>
    <t>香烤藍尾鱈魚五行餐盒</t>
  </si>
  <si>
    <t>海陸雙拼肉肉餐盒</t>
  </si>
  <si>
    <t>蔬活腿排補力餐盒</t>
  </si>
  <si>
    <t>二配起司控培根白醬焗烤飯</t>
  </si>
  <si>
    <t>韓式部隊鍋</t>
  </si>
  <si>
    <t>日式壽喜燒</t>
  </si>
  <si>
    <t>東京豚骨風味拉麵</t>
  </si>
  <si>
    <t>醬油叉燒拉麵</t>
  </si>
  <si>
    <t>柚子雞白湯拉麵</t>
  </si>
  <si>
    <t>二配香辣醬蒜味香腸蛋炒飯</t>
  </si>
  <si>
    <t>二配香拌海鮮醬肉絲蛋炒飯</t>
  </si>
  <si>
    <t>二配金咖哩濃厚辛口咖哩飯</t>
  </si>
  <si>
    <t>蒜泥狠台味三拼</t>
  </si>
  <si>
    <t>壽喜燒牛丼</t>
  </si>
  <si>
    <t>極上炙烤親子丼</t>
  </si>
  <si>
    <t>美式雞丁餐盒</t>
  </si>
  <si>
    <t>經典滷肉飯</t>
  </si>
  <si>
    <t>嫩烤香料雞胸排蔬滿盒</t>
  </si>
  <si>
    <t>壹號醬雞豚雙拼</t>
  </si>
  <si>
    <t>二配乳酪燻腸紅醬焗飯</t>
  </si>
  <si>
    <t>二配失控起司薯餅焗飯</t>
  </si>
  <si>
    <t>蒜蒜燒豚飯</t>
  </si>
  <si>
    <t>香腸腿排雙拼便當</t>
  </si>
  <si>
    <t>二配蒙古風味烤肉飯</t>
  </si>
  <si>
    <t>二配粗飽系雞排炒飯</t>
  </si>
  <si>
    <t>二配鮭魚蛋炒飯</t>
  </si>
  <si>
    <t>健身G肉餐盒</t>
  </si>
  <si>
    <t>烤蛋白餐盒</t>
  </si>
  <si>
    <t>二配里肌豬排可可咖哩歐姆蛋飯</t>
  </si>
  <si>
    <t>二配黃金雞排蘑菇白醬歐姆蛋飯</t>
  </si>
  <si>
    <t>二配哞哞培根奶香海陸焗飯</t>
  </si>
  <si>
    <t>二配鐵板蘑菇肉醬起司焗飯</t>
  </si>
  <si>
    <t>二配西班牙風味海鮮燉飯</t>
  </si>
  <si>
    <t>日式野菜烘蛋燴飯</t>
  </si>
  <si>
    <t>鐵板滑蛋炸豬排丼</t>
  </si>
  <si>
    <t>二配港式香滑嫩蛋牛肉燴飯</t>
  </si>
  <si>
    <t>二配美味蟹煲</t>
  </si>
  <si>
    <t>二配泰式綠咖哩雞</t>
  </si>
  <si>
    <t>二配厚香料咖哩雞排飯</t>
  </si>
  <si>
    <t>二配川味麻婆燒豆腐燴飯</t>
  </si>
  <si>
    <t>二配麻油雞燴飯</t>
  </si>
  <si>
    <t>二配金咖哩果香甘口咖哩飯</t>
  </si>
  <si>
    <t>大口歐風焙煎咖哩漢堡排飯糰</t>
  </si>
  <si>
    <t>大口蒜味香腸燒肉雙拼飯糰</t>
  </si>
  <si>
    <t>大口法式蕈菇起司雞排飯糰</t>
  </si>
  <si>
    <t>大口起司熔岩白醬炸魚飯糰</t>
  </si>
  <si>
    <t>1.當日出勤人數較多</t>
  </si>
  <si>
    <t>2.當日出勤人數較少</t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</si>
  <si>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</si>
  <si>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</si>
  <si>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</si>
  <si>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</si>
  <si>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</si>
  <si>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</si>
  <si>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</si>
  <si>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</si>
  <si>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 xml:space="preserve">晉欣廠四度C日報分析                              </t>
    <phoneticPr fontId="7" type="noConversion"/>
  </si>
  <si>
    <t>總生產量</t>
    <phoneticPr fontId="7" type="noConversion"/>
  </si>
  <si>
    <t>人時性差異分析</t>
    <phoneticPr fontId="7" type="noConversion"/>
  </si>
  <si>
    <t>日報登錄</t>
    <phoneticPr fontId="7" type="noConversion"/>
  </si>
  <si>
    <t>合計
次數</t>
    <phoneticPr fontId="7" type="noConversion"/>
  </si>
  <si>
    <t>合計
時間/分</t>
    <phoneticPr fontId="1" type="noConversion"/>
  </si>
  <si>
    <t>產線異常分析
說明(5分鐘以上)</t>
    <phoneticPr fontId="7" type="noConversion"/>
  </si>
  <si>
    <t>合計
設備次數</t>
    <phoneticPr fontId="1" type="noConversion"/>
  </si>
  <si>
    <t>產能差異分析</t>
    <phoneticPr fontId="7" type="noConversion"/>
  </si>
  <si>
    <t>線別</t>
    <phoneticPr fontId="1" type="noConversion"/>
  </si>
  <si>
    <t>品名</t>
    <phoneticPr fontId="1" type="noConversion"/>
  </si>
  <si>
    <t>多次
生產</t>
    <phoneticPr fontId="7" type="noConversion"/>
  </si>
  <si>
    <t>產能/時</t>
    <phoneticPr fontId="7" type="noConversion"/>
  </si>
  <si>
    <t>人數</t>
    <phoneticPr fontId="7" type="noConversion"/>
  </si>
  <si>
    <t>達成率</t>
    <phoneticPr fontId="7" type="noConversion"/>
  </si>
  <si>
    <t>達成率平均</t>
    <phoneticPr fontId="7" type="noConversion"/>
  </si>
  <si>
    <t>稼動時間/分</t>
    <phoneticPr fontId="7" type="noConversion"/>
  </si>
  <si>
    <t>休息時間</t>
    <phoneticPr fontId="7" type="noConversion"/>
  </si>
  <si>
    <t>產線異常統計
(5分鐘以上)</t>
    <phoneticPr fontId="4"/>
  </si>
  <si>
    <t>分析說明</t>
    <phoneticPr fontId="7" type="noConversion"/>
  </si>
  <si>
    <t>短暫停線統計
(5分鐘以下)</t>
    <phoneticPr fontId="4"/>
  </si>
  <si>
    <t>開始</t>
    <phoneticPr fontId="7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</si>
  <si>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</si>
  <si>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</si>
  <si>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</si>
  <si>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</si>
  <si>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7" type="noConversion"/>
  </si>
  <si>
    <t>平均</t>
    <phoneticPr fontId="7" type="noConversion"/>
  </si>
  <si>
    <t>四度二組A
熱麵
固定線
(ET-55)</t>
    <phoneticPr fontId="7" type="noConversion"/>
  </si>
  <si>
    <t xml:space="preserve">4度二組A
</t>
    <phoneticPr fontId="1" type="noConversion"/>
  </si>
  <si>
    <t>四度二組
(ET-55)</t>
    <phoneticPr fontId="1" type="noConversion"/>
  </si>
  <si>
    <t>四度二組
(烤飯糰/八爪機)</t>
    <phoneticPr fontId="7" type="noConversion"/>
  </si>
  <si>
    <t>四度二組
(烤飯糰/十爪機)</t>
    <phoneticPr fontId="1" type="noConversion"/>
  </si>
  <si>
    <t xml:space="preserve">
4度二組C2
</t>
    <phoneticPr fontId="1" type="noConversion"/>
  </si>
  <si>
    <t>四度三組
(ET-55)</t>
    <phoneticPr fontId="7" type="noConversion"/>
  </si>
  <si>
    <t>四度四組
(ET-55)</t>
    <phoneticPr fontId="7" type="noConversion"/>
  </si>
  <si>
    <t>四度五組
(ET-55)</t>
    <phoneticPr fontId="1" type="noConversion"/>
  </si>
  <si>
    <t>綜合一組
(ET-55)</t>
    <phoneticPr fontId="1" type="noConversion"/>
  </si>
  <si>
    <t>綜合二組
(ET-55)</t>
    <phoneticPr fontId="7" type="noConversion"/>
  </si>
  <si>
    <t>綜合三組
(ET-55)</t>
    <phoneticPr fontId="1" type="noConversion"/>
  </si>
  <si>
    <t>綜合四組</t>
    <phoneticPr fontId="1" type="noConversion"/>
  </si>
  <si>
    <t>二配鮭魚蛋炒飯</t>
    <phoneticPr fontId="1" type="noConversion"/>
  </si>
  <si>
    <t>便當組
大口
固定線
(伺服包裝機)</t>
    <phoneticPr fontId="7" type="noConversion"/>
  </si>
  <si>
    <t>3.當日出勤熟手較少</t>
    <phoneticPr fontId="7" type="noConversion"/>
  </si>
  <si>
    <t>12.商品結構，產能較低</t>
    <phoneticPr fontId="1" type="noConversion"/>
  </si>
  <si>
    <t>13.區域出貨，分段生產</t>
    <phoneticPr fontId="1" type="noConversion"/>
  </si>
  <si>
    <t>01月01日  星期四</t>
    <phoneticPr fontId="7" type="noConversion"/>
  </si>
  <si>
    <t>01月02日  星期五</t>
    <phoneticPr fontId="7" type="noConversion"/>
  </si>
  <si>
    <t>01月03日  星期六</t>
    <phoneticPr fontId="7" type="noConversion"/>
  </si>
  <si>
    <t>01月04日  星期日</t>
    <phoneticPr fontId="7" type="noConversion"/>
  </si>
  <si>
    <t>01月05日  星期一</t>
    <phoneticPr fontId="7" type="noConversion"/>
  </si>
  <si>
    <t>二配濃蕃茄火腿蛋包飯</t>
  </si>
  <si>
    <t>二配香炒沙茶豬肉飯</t>
  </si>
  <si>
    <t>季節調理麵</t>
  </si>
  <si>
    <t>小菜微波</t>
  </si>
  <si>
    <t>熱食義麵</t>
  </si>
  <si>
    <t>壽司手卷</t>
  </si>
  <si>
    <t>飯糰</t>
  </si>
  <si>
    <t>微波主食</t>
  </si>
  <si>
    <t>便當</t>
  </si>
  <si>
    <t>0</t>
  </si>
  <si>
    <t>換線/分</t>
    <rPh sb="0" eb="2">
      <t>キリカエ</t>
    </rPh>
    <phoneticPr fontId="4"/>
  </si>
  <si>
    <t>海饌雙手卷</t>
    <phoneticPr fontId="1" type="noConversion"/>
  </si>
  <si>
    <t>兩粒飯糰(鮪魚.焦糖鮭魚)</t>
  </si>
  <si>
    <t>壽司線</t>
    <phoneticPr fontId="1" type="noConversion"/>
  </si>
  <si>
    <t>捲壽司機</t>
    <phoneticPr fontId="1" type="noConversion"/>
  </si>
  <si>
    <t>雙鬆細卷</t>
    <phoneticPr fontId="7" type="noConversion"/>
  </si>
  <si>
    <t>經典鮪魚沙拉細卷</t>
    <phoneticPr fontId="7" type="noConversion"/>
  </si>
  <si>
    <t>連續式
海苔機</t>
    <phoneticPr fontId="7" type="noConversion"/>
  </si>
  <si>
    <t>3300型
飯糰機A</t>
    <phoneticPr fontId="7" type="noConversion"/>
  </si>
  <si>
    <t>鮭魚奶油醬油飯糰</t>
  </si>
  <si>
    <t>平均</t>
  </si>
  <si>
    <t xml:space="preserve"> 3300型B
飯糰機</t>
    <phoneticPr fontId="1" type="noConversion"/>
  </si>
  <si>
    <t>壹號醬炙烤牛飯糰</t>
  </si>
  <si>
    <t>雞肉飯飯糰</t>
  </si>
  <si>
    <t>碳烤燒肉飯飯糰(區)</t>
  </si>
  <si>
    <t>3600型(A)
飯糰機</t>
    <phoneticPr fontId="7" type="noConversion"/>
  </si>
  <si>
    <t>3600型
飯糰機A</t>
    <phoneticPr fontId="7" type="noConversion"/>
  </si>
  <si>
    <t>3600型(B)
飯糰機</t>
    <phoneticPr fontId="7" type="noConversion"/>
  </si>
  <si>
    <t>鮪魚飯糰</t>
  </si>
  <si>
    <t>3600型
飯糰機B</t>
    <phoneticPr fontId="7" type="noConversion"/>
  </si>
  <si>
    <t>二配 夾心型
飯糰機</t>
  </si>
  <si>
    <t>二配 3300型A
飯糰機</t>
    <phoneticPr fontId="1" type="noConversion"/>
  </si>
  <si>
    <t>二配雞肉飯飯糰</t>
  </si>
  <si>
    <t>二配壹號醬炙烤牛飯糰</t>
  </si>
  <si>
    <t>二配鹽蔥燒肉飯糰</t>
  </si>
  <si>
    <t>二配 3300型B
飯糰機</t>
    <phoneticPr fontId="1" type="noConversion"/>
  </si>
  <si>
    <t>二配大飯糰韓式蒜烤豬五花</t>
    <phoneticPr fontId="1" type="noConversion"/>
  </si>
  <si>
    <t>3300型
飯糰機B</t>
    <phoneticPr fontId="7" type="noConversion"/>
  </si>
  <si>
    <t>二配 3600型A
飯糰機</t>
    <phoneticPr fontId="1" type="noConversion"/>
  </si>
  <si>
    <t>二配熟成紅鮭飯糰</t>
  </si>
  <si>
    <t>二配北海道秋鮭親子飯糰</t>
  </si>
  <si>
    <t>二配鮪魚飯糰</t>
  </si>
  <si>
    <t>二配 3600型B
飯糰機</t>
    <phoneticPr fontId="1" type="noConversion"/>
  </si>
  <si>
    <t xml:space="preserve">晉欣廠18度C日報分析                              </t>
    <phoneticPr fontId="7" type="noConversion"/>
  </si>
  <si>
    <t>出勤人數</t>
    <phoneticPr fontId="7" type="noConversion"/>
  </si>
  <si>
    <t>生產實績</t>
    <phoneticPr fontId="7" type="noConversion"/>
  </si>
  <si>
    <t>多次生產數</t>
    <phoneticPr fontId="7" type="noConversion"/>
  </si>
  <si>
    <t>品類</t>
    <phoneticPr fontId="7" type="noConversion"/>
  </si>
  <si>
    <t>生產量</t>
    <phoneticPr fontId="7" type="noConversion"/>
  </si>
  <si>
    <t>營收</t>
    <phoneticPr fontId="1" type="noConversion"/>
  </si>
  <si>
    <t>結束</t>
    <phoneticPr fontId="7" type="noConversion"/>
  </si>
  <si>
    <t>壽司線</t>
    <phoneticPr fontId="7" type="noConversion"/>
  </si>
  <si>
    <t>麻油雞飯糰</t>
    <phoneticPr fontId="1" type="noConversion"/>
  </si>
  <si>
    <t>雙饗雙手卷(捲)</t>
    <phoneticPr fontId="7" type="noConversion"/>
  </si>
  <si>
    <t>海饌雙手卷(捲)</t>
    <phoneticPr fontId="7" type="noConversion"/>
  </si>
  <si>
    <t>明太子玉子脆卷</t>
    <phoneticPr fontId="7" type="noConversion"/>
  </si>
  <si>
    <t>長野稻荷壽司</t>
    <phoneticPr fontId="1" type="noConversion"/>
  </si>
  <si>
    <t>核桃腰果稻荷壽司組</t>
    <phoneticPr fontId="1" type="noConversion"/>
  </si>
  <si>
    <t>雙饗雙手卷</t>
    <phoneticPr fontId="1" type="noConversion"/>
  </si>
  <si>
    <t>蔬食鮪魚飯糰</t>
  </si>
  <si>
    <t>明太子龍蝦風味沙拉飯糰</t>
  </si>
  <si>
    <t>鹽蔥燒肉飯糰</t>
  </si>
  <si>
    <t>照燒雞肉飯糰</t>
  </si>
  <si>
    <t>油蔥雞汁飯糰(區)</t>
  </si>
  <si>
    <t>熟成紅鮭飯糰</t>
  </si>
  <si>
    <t>北海道秋鮭親子飯糰</t>
  </si>
  <si>
    <t>博多明太子奶油飯糰</t>
  </si>
  <si>
    <t>贅沢鮭魚肚飯糰</t>
  </si>
  <si>
    <t>經典肉鬆飯糰</t>
  </si>
  <si>
    <t>二配蔬食鮪魚飯糰</t>
  </si>
  <si>
    <t>二配油蔥G絲飯糰</t>
  </si>
  <si>
    <t>二配大飯糰韓式蒜烤豬五花</t>
  </si>
  <si>
    <t>二配大飯糰滷肉飯加蛋</t>
  </si>
  <si>
    <t>二配三杯醬爆菇菇飯糰</t>
  </si>
  <si>
    <t>二配明太子龍蝦風味沙拉飯糰</t>
  </si>
  <si>
    <t>二配芝麻香鬆飯糰</t>
  </si>
  <si>
    <t>二配經典肉鬆飯糰</t>
  </si>
  <si>
    <t>01月01日  星期四</t>
    <phoneticPr fontId="7" type="noConversion"/>
  </si>
  <si>
    <t>01月02日  星期五</t>
    <phoneticPr fontId="7" type="noConversion"/>
  </si>
  <si>
    <t>二配明太子乳酪起司沙拉飯糰</t>
  </si>
  <si>
    <t>01月03日  星期六</t>
    <phoneticPr fontId="7" type="noConversion"/>
  </si>
  <si>
    <t>01月04日  星期日</t>
    <phoneticPr fontId="7" type="noConversion"/>
  </si>
  <si>
    <t>明太子乳酪起司沙拉飯糰</t>
  </si>
  <si>
    <t>01月05日  星期一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</si>
</sst>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0_);[Red]\(0\)"/>
    <numFmt numFmtId="182" formatCode="&quot;¥&quot;#,##0;[Red]&quot;¥&quot;\-#,##0"/>
    <numFmt numFmtId="183" formatCode="0_ "/>
    <numFmt numFmtId="184" formatCode="0.0_ "/>
    <numFmt numFmtId="185" formatCode="h:mm;@"/>
  </numFmts>
  <fonts count="4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theme="1"/>
      <name val="Meiryo UI"/>
      <family val="2"/>
      <charset val="128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color theme="5"/>
      <name val="微軟正黑體"/>
      <family val="2"/>
      <charset val="136"/>
    </font>
    <font>
      <sz val="16"/>
      <color theme="5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0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sz val="14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b/>
      <sz val="16"/>
      <color theme="0"/>
      <name val="微軟正黑體"/>
      <family val="2"/>
      <charset val="136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sz val="1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8"/>
      <color theme="1"/>
      <name val="微軟正黑體"/>
      <family val="2"/>
      <charset val="136"/>
    </font>
  </fonts>
  <fills count="2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6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0" fontId="24" fillId="0" borderId="0">
      <alignment vertical="center"/>
    </xf>
    <xf numFmtId="0" fontId="25" fillId="0" borderId="0"/>
    <xf numFmtId="0" fontId="25" fillId="0" borderId="0"/>
    <xf numFmtId="0" fontId="25" fillId="0" borderId="0"/>
    <xf numFmtId="0" fontId="24" fillId="0" borderId="0">
      <alignment vertical="center"/>
    </xf>
    <xf numFmtId="0" fontId="25" fillId="0" borderId="0"/>
    <xf numFmtId="0" fontId="25" fillId="0" borderId="0"/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24" fillId="0" borderId="0">
      <alignment vertical="center"/>
    </xf>
    <xf numFmtId="0" fontId="25" fillId="0" borderId="0"/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6" fillId="0" borderId="0">
      <alignment vertical="center"/>
    </xf>
    <xf numFmtId="0" fontId="26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5" fillId="0" borderId="0"/>
    <xf numFmtId="0" fontId="25" fillId="0" borderId="0"/>
    <xf numFmtId="0" fontId="28" fillId="0" borderId="0"/>
    <xf numFmtId="0" fontId="2" fillId="0" borderId="0">
      <alignment vertical="center"/>
    </xf>
    <xf numFmtId="0" fontId="26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5" fillId="0" borderId="0"/>
    <xf numFmtId="0" fontId="2" fillId="0" borderId="0">
      <alignment vertical="center"/>
    </xf>
    <xf numFmtId="0" fontId="2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4" fillId="0" borderId="0"/>
    <xf numFmtId="0" fontId="24" fillId="0" borderId="0">
      <alignment vertical="center"/>
    </xf>
    <xf numFmtId="0" fontId="25" fillId="0" borderId="0"/>
    <xf numFmtId="0" fontId="24" fillId="0" borderId="0">
      <alignment vertical="center"/>
    </xf>
    <xf numFmtId="0" fontId="24" fillId="0" borderId="0">
      <alignment vertical="center"/>
    </xf>
    <xf numFmtId="0" fontId="25" fillId="0" borderId="0"/>
    <xf numFmtId="0" fontId="24" fillId="0" borderId="0">
      <alignment vertical="center"/>
    </xf>
    <xf numFmtId="0" fontId="24" fillId="0" borderId="0">
      <alignment vertical="center"/>
    </xf>
    <xf numFmtId="0" fontId="2" fillId="0" borderId="0">
      <alignment vertical="center"/>
    </xf>
    <xf numFmtId="0" fontId="25" fillId="0" borderId="0"/>
    <xf numFmtId="0" fontId="24" fillId="0" borderId="0">
      <alignment vertical="center"/>
    </xf>
    <xf numFmtId="0" fontId="25" fillId="0" borderId="0"/>
    <xf numFmtId="43" fontId="6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4" fillId="0" borderId="0" applyFont="0" applyFill="0" applyBorder="0" applyAlignment="0" applyProtection="0">
      <alignment vertical="center"/>
    </xf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7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6" fillId="0" borderId="0" applyFont="0" applyFill="0" applyBorder="0" applyAlignment="0" applyProtection="0">
      <alignment vertical="center"/>
    </xf>
    <xf numFmtId="38" fontId="31" fillId="0" borderId="0" applyFont="0" applyFill="0" applyBorder="0" applyAlignment="0" applyProtection="0"/>
    <xf numFmtId="44" fontId="28" fillId="0" borderId="0" applyFont="0" applyFill="0" applyBorder="0" applyAlignment="0" applyProtection="0">
      <alignment vertical="center"/>
    </xf>
    <xf numFmtId="182" fontId="32" fillId="0" borderId="0" applyFon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1" fillId="0" borderId="0"/>
    <xf numFmtId="0" fontId="32" fillId="0" borderId="0"/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</cellStyleXfs>
  <cellXfs count="715">
    <xf numFmtId="0" fontId="0" fillId="0" borderId="0" xfId="0">
      <alignment vertical="center"/>
    </xf>
    <xf numFmtId="0" fontId="3" fillId="0" borderId="0" xfId="1" applyFont="1">
      <alignment vertical="center"/>
    </xf>
    <xf numFmtId="0" fontId="4" fillId="0" borderId="0" xfId="1" applyFont="1">
      <alignment vertical="center"/>
    </xf>
    <xf numFmtId="176" fontId="5" fillId="0" borderId="0" xfId="3" applyNumberFormat="1" applyFont="1" applyBorder="1" applyAlignment="1">
      <alignment vertical="center"/>
    </xf>
    <xf numFmtId="0" fontId="10" fillId="0" borderId="6" xfId="4" applyFont="1" applyBorder="1" applyAlignment="1">
      <alignment horizontal="center" vertical="center" wrapText="1"/>
    </xf>
    <xf numFmtId="0" fontId="10" fillId="0" borderId="7" xfId="4" applyFont="1" applyBorder="1" applyAlignment="1">
      <alignment horizontal="center" vertical="center"/>
    </xf>
    <xf numFmtId="0" fontId="13" fillId="0" borderId="0" xfId="1" applyFont="1">
      <alignment vertical="center"/>
    </xf>
    <xf numFmtId="0" fontId="5" fillId="0" borderId="0" xfId="1" applyFont="1">
      <alignment vertical="center"/>
    </xf>
    <xf numFmtId="0" fontId="14" fillId="0" borderId="0" xfId="1" applyFont="1">
      <alignment vertical="center"/>
    </xf>
    <xf numFmtId="0" fontId="15" fillId="0" borderId="0" xfId="1" applyFont="1">
      <alignment vertical="center"/>
    </xf>
    <xf numFmtId="0" fontId="4" fillId="0" borderId="2" xfId="1" applyFont="1" applyBorder="1" applyAlignment="1">
      <alignment horizontal="center" vertical="center"/>
    </xf>
    <xf numFmtId="0" fontId="4" fillId="0" borderId="18" xfId="1" applyFont="1" applyBorder="1" applyAlignment="1">
      <alignment horizontal="center" vertical="center"/>
    </xf>
    <xf numFmtId="0" fontId="16" fillId="0" borderId="2" xfId="1" applyFont="1" applyBorder="1" applyAlignment="1">
      <alignment horizontal="center" vertical="center" wrapText="1"/>
    </xf>
    <xf numFmtId="0" fontId="16" fillId="0" borderId="18" xfId="1" applyFont="1" applyBorder="1" applyAlignment="1">
      <alignment horizontal="center" vertical="center" wrapText="1"/>
    </xf>
    <xf numFmtId="0" fontId="4" fillId="0" borderId="2" xfId="1" applyFont="1" applyBorder="1" applyAlignment="1">
      <alignment horizontal="center" vertical="center" wrapText="1"/>
    </xf>
    <xf numFmtId="178" fontId="17" fillId="0" borderId="2" xfId="1" applyNumberFormat="1" applyFont="1" applyBorder="1" applyAlignment="1">
      <alignment horizontal="center" vertical="center"/>
    </xf>
    <xf numFmtId="178" fontId="17" fillId="0" borderId="18" xfId="1" applyNumberFormat="1" applyFont="1" applyBorder="1" applyAlignment="1">
      <alignment horizontal="center" vertical="center"/>
    </xf>
    <xf numFmtId="180" fontId="17" fillId="0" borderId="2" xfId="6" applyNumberFormat="1" applyFont="1" applyBorder="1" applyAlignment="1">
      <alignment horizontal="center" vertical="center"/>
    </xf>
    <xf numFmtId="180" fontId="17" fillId="0" borderId="18" xfId="6" applyNumberFormat="1" applyFont="1" applyBorder="1" applyAlignment="1">
      <alignment horizontal="center" vertical="center"/>
    </xf>
    <xf numFmtId="0" fontId="4" fillId="0" borderId="3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4" fillId="0" borderId="22" xfId="1" applyFont="1" applyBorder="1" applyAlignment="1">
      <alignment horizontal="center" vertical="center"/>
    </xf>
    <xf numFmtId="0" fontId="4" fillId="0" borderId="3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0" fontId="4" fillId="0" borderId="33" xfId="1" applyFont="1" applyBorder="1" applyAlignment="1">
      <alignment horizontal="center" vertical="center" wrapText="1"/>
    </xf>
    <xf numFmtId="0" fontId="4" fillId="0" borderId="18" xfId="1" applyFont="1" applyBorder="1" applyAlignment="1">
      <alignment horizontal="center" vertical="center" wrapText="1"/>
    </xf>
    <xf numFmtId="0" fontId="4" fillId="0" borderId="3" xfId="1" applyFont="1" applyBorder="1" applyAlignment="1">
      <alignment horizontal="center" vertical="center"/>
    </xf>
    <xf numFmtId="180" fontId="4" fillId="0" borderId="2" xfId="6" applyNumberFormat="1" applyFont="1" applyBorder="1" applyAlignment="1">
      <alignment horizontal="center" vertical="center"/>
    </xf>
    <xf numFmtId="180" fontId="4" fillId="0" borderId="3" xfId="6" applyNumberFormat="1" applyFont="1" applyBorder="1" applyAlignment="1">
      <alignment horizontal="center" vertical="center"/>
    </xf>
    <xf numFmtId="49" fontId="4" fillId="0" borderId="33" xfId="6" applyNumberFormat="1" applyFont="1" applyBorder="1" applyAlignment="1">
      <alignment horizontal="center" vertical="center"/>
    </xf>
    <xf numFmtId="180" fontId="4" fillId="0" borderId="18" xfId="6" applyNumberFormat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3" fillId="0" borderId="2" xfId="1" applyFont="1" applyBorder="1" applyAlignment="1">
      <alignment horizontal="center" vertical="center" wrapText="1"/>
    </xf>
    <xf numFmtId="178" fontId="13" fillId="0" borderId="33" xfId="1" applyNumberFormat="1" applyFont="1" applyBorder="1" applyAlignment="1">
      <alignment horizontal="center" vertical="center"/>
    </xf>
    <xf numFmtId="178" fontId="13" fillId="0" borderId="2" xfId="1" applyNumberFormat="1" applyFont="1" applyBorder="1" applyAlignment="1">
      <alignment horizontal="center" vertical="center"/>
    </xf>
    <xf numFmtId="178" fontId="13" fillId="0" borderId="18" xfId="1" applyNumberFormat="1" applyFont="1" applyBorder="1" applyAlignment="1">
      <alignment horizontal="center" vertical="center"/>
    </xf>
    <xf numFmtId="20" fontId="13" fillId="0" borderId="2" xfId="1" applyNumberFormat="1" applyFont="1" applyBorder="1" applyAlignment="1">
      <alignment horizontal="center" vertical="center" wrapText="1"/>
    </xf>
    <xf numFmtId="20" fontId="13" fillId="0" borderId="18" xfId="1" applyNumberFormat="1" applyFont="1" applyBorder="1" applyAlignment="1">
      <alignment horizontal="center" vertical="center" wrapText="1"/>
    </xf>
    <xf numFmtId="20" fontId="13" fillId="0" borderId="33" xfId="1" applyNumberFormat="1" applyFont="1" applyBorder="1" applyAlignment="1">
      <alignment horizontal="center" vertical="center" wrapText="1"/>
    </xf>
    <xf numFmtId="180" fontId="13" fillId="0" borderId="2" xfId="6" applyNumberFormat="1" applyFont="1" applyBorder="1" applyAlignment="1">
      <alignment horizontal="center" vertical="center"/>
    </xf>
    <xf numFmtId="180" fontId="13" fillId="0" borderId="18" xfId="6" applyNumberFormat="1" applyFont="1" applyBorder="1" applyAlignment="1">
      <alignment horizontal="center" vertical="center"/>
    </xf>
    <xf numFmtId="49" fontId="13" fillId="0" borderId="33" xfId="6" applyNumberFormat="1" applyFont="1" applyBorder="1" applyAlignment="1">
      <alignment horizontal="center" vertical="center"/>
    </xf>
    <xf numFmtId="20" fontId="13" fillId="0" borderId="3" xfId="1" applyNumberFormat="1" applyFont="1" applyBorder="1" applyAlignment="1">
      <alignment horizontal="center" vertical="center" wrapText="1"/>
    </xf>
    <xf numFmtId="0" fontId="13" fillId="0" borderId="26" xfId="1" applyFont="1" applyBorder="1">
      <alignment vertical="center"/>
    </xf>
    <xf numFmtId="0" fontId="13" fillId="0" borderId="26" xfId="1" applyFont="1" applyBorder="1" applyAlignment="1">
      <alignment horizontal="center" vertical="center"/>
    </xf>
    <xf numFmtId="0" fontId="13" fillId="0" borderId="27" xfId="1" applyFont="1" applyBorder="1">
      <alignment vertical="center"/>
    </xf>
    <xf numFmtId="0" fontId="13" fillId="0" borderId="35" xfId="1" applyFont="1" applyBorder="1">
      <alignment vertical="center"/>
    </xf>
    <xf numFmtId="178" fontId="13" fillId="0" borderId="3" xfId="1" applyNumberFormat="1" applyFont="1" applyBorder="1" applyAlignment="1">
      <alignment horizontal="center" vertical="center"/>
    </xf>
    <xf numFmtId="178" fontId="17" fillId="0" borderId="3" xfId="1" applyNumberFormat="1" applyFont="1" applyBorder="1" applyAlignment="1">
      <alignment horizontal="center" vertical="center"/>
    </xf>
    <xf numFmtId="178" fontId="17" fillId="0" borderId="33" xfId="1" applyNumberFormat="1" applyFont="1" applyBorder="1" applyAlignment="1">
      <alignment horizontal="center" vertical="center"/>
    </xf>
    <xf numFmtId="180" fontId="17" fillId="0" borderId="3" xfId="6" applyNumberFormat="1" applyFont="1" applyBorder="1" applyAlignment="1">
      <alignment horizontal="center" vertical="center"/>
    </xf>
    <xf numFmtId="180" fontId="17" fillId="0" borderId="33" xfId="6" applyNumberFormat="1" applyFont="1" applyBorder="1" applyAlignment="1">
      <alignment horizontal="center" vertical="center"/>
    </xf>
    <xf numFmtId="1" fontId="13" fillId="0" borderId="2" xfId="1" applyNumberFormat="1" applyFont="1" applyBorder="1" applyAlignment="1">
      <alignment horizontal="center" vertical="center" wrapText="1"/>
    </xf>
    <xf numFmtId="1" fontId="13" fillId="0" borderId="3" xfId="1" applyNumberFormat="1" applyFont="1" applyBorder="1" applyAlignment="1">
      <alignment horizontal="center" vertical="center" wrapText="1"/>
    </xf>
    <xf numFmtId="1" fontId="13" fillId="0" borderId="33" xfId="1" applyNumberFormat="1" applyFont="1" applyBorder="1" applyAlignment="1">
      <alignment horizontal="center" vertical="center" wrapText="1"/>
    </xf>
    <xf numFmtId="1" fontId="13" fillId="0" borderId="18" xfId="1" applyNumberFormat="1" applyFont="1" applyBorder="1" applyAlignment="1">
      <alignment horizontal="center" vertical="center" wrapText="1"/>
    </xf>
    <xf numFmtId="180" fontId="13" fillId="0" borderId="3" xfId="6" applyNumberFormat="1" applyFont="1" applyBorder="1" applyAlignment="1">
      <alignment horizontal="center" vertical="center"/>
    </xf>
    <xf numFmtId="0" fontId="13" fillId="0" borderId="34" xfId="1" applyFont="1" applyBorder="1">
      <alignment vertical="center"/>
    </xf>
    <xf numFmtId="181" fontId="13" fillId="5" borderId="2" xfId="1" applyNumberFormat="1" applyFont="1" applyFill="1" applyBorder="1" applyAlignment="1">
      <alignment horizontal="center" vertical="center" wrapText="1"/>
    </xf>
    <xf numFmtId="181" fontId="13" fillId="5" borderId="18" xfId="1" applyNumberFormat="1" applyFont="1" applyFill="1" applyBorder="1" applyAlignment="1">
      <alignment horizontal="center" vertical="center" wrapText="1"/>
    </xf>
    <xf numFmtId="181" fontId="13" fillId="0" borderId="2" xfId="1" applyNumberFormat="1" applyFont="1" applyBorder="1" applyAlignment="1">
      <alignment horizontal="center" vertical="center" wrapText="1"/>
    </xf>
    <xf numFmtId="181" fontId="13" fillId="0" borderId="18" xfId="1" applyNumberFormat="1" applyFont="1" applyBorder="1" applyAlignment="1">
      <alignment horizontal="center" vertical="center" wrapText="1"/>
    </xf>
    <xf numFmtId="0" fontId="22" fillId="0" borderId="37" xfId="4" applyFont="1" applyBorder="1">
      <alignment vertical="center"/>
    </xf>
    <xf numFmtId="0" fontId="22" fillId="0" borderId="37" xfId="4" applyFont="1" applyBorder="1" applyAlignment="1">
      <alignment horizontal="left" vertical="center"/>
    </xf>
    <xf numFmtId="176" fontId="10" fillId="15" borderId="37" xfId="286" applyNumberFormat="1" applyFont="1" applyFill="1" applyBorder="1" applyAlignment="1">
      <alignment horizontal="center" vertical="center"/>
    </xf>
    <xf numFmtId="0" fontId="38" fillId="0" borderId="37" xfId="4" applyFont="1" applyBorder="1" applyAlignment="1">
      <alignment horizontal="center" vertical="center"/>
    </xf>
    <xf numFmtId="43" fontId="22" fillId="0" borderId="37" xfId="286" applyFont="1" applyBorder="1" applyAlignment="1">
      <alignment horizontal="center" vertical="center"/>
    </xf>
    <xf numFmtId="0" fontId="22" fillId="0" borderId="37" xfId="4" applyFont="1" applyBorder="1" applyAlignment="1">
      <alignment horizontal="center" vertical="center"/>
    </xf>
    <xf numFmtId="1" fontId="22" fillId="0" borderId="37" xfId="4" applyNumberFormat="1" applyFont="1" applyBorder="1" applyAlignment="1">
      <alignment horizontal="center" vertical="center"/>
    </xf>
    <xf numFmtId="0" fontId="18" fillId="0" borderId="38" xfId="4" applyFont="1" applyBorder="1" applyAlignment="1">
      <alignment horizontal="center" vertical="center" wrapText="1"/>
    </xf>
    <xf numFmtId="0" fontId="38" fillId="0" borderId="0" xfId="4" applyFont="1">
      <alignment vertical="center"/>
    </xf>
    <xf numFmtId="178" fontId="22" fillId="0" borderId="37" xfId="4" applyNumberFormat="1" applyFont="1" applyBorder="1" applyAlignment="1">
      <alignment horizontal="center" vertical="center"/>
    </xf>
    <xf numFmtId="178" fontId="40" fillId="0" borderId="37" xfId="4" applyNumberFormat="1" applyFont="1" applyBorder="1" applyAlignment="1">
      <alignment horizontal="center" vertical="center" wrapText="1"/>
    </xf>
    <xf numFmtId="2" fontId="22" fillId="0" borderId="37" xfId="4" applyNumberFormat="1" applyFont="1" applyBorder="1" applyAlignment="1">
      <alignment horizontal="center" vertical="center"/>
    </xf>
    <xf numFmtId="183" fontId="39" fillId="0" borderId="38" xfId="4" applyNumberFormat="1" applyFont="1" applyBorder="1" applyAlignment="1">
      <alignment horizontal="center" vertical="center"/>
    </xf>
    <xf numFmtId="0" fontId="39" fillId="0" borderId="38" xfId="4" applyFont="1" applyBorder="1" applyAlignment="1">
      <alignment horizontal="center" vertical="center"/>
    </xf>
    <xf numFmtId="0" fontId="41" fillId="3" borderId="37" xfId="4" applyFont="1" applyFill="1" applyBorder="1" applyAlignment="1">
      <alignment horizontal="center" vertical="center"/>
    </xf>
    <xf numFmtId="0" fontId="42" fillId="3" borderId="37" xfId="4" applyFont="1" applyFill="1" applyBorder="1" applyAlignment="1">
      <alignment horizontal="center" vertical="center" wrapText="1"/>
    </xf>
    <xf numFmtId="0" fontId="38" fillId="0" borderId="45" xfId="4" applyFont="1" applyBorder="1" applyAlignment="1">
      <alignment horizontal="center"/>
    </xf>
    <xf numFmtId="0" fontId="38" fillId="0" borderId="46" xfId="4" applyFont="1" applyBorder="1" applyAlignment="1">
      <alignment horizontal="center"/>
    </xf>
    <xf numFmtId="0" fontId="38" fillId="0" borderId="42" xfId="160" applyFont="1" applyBorder="1" applyAlignment="1"/>
    <xf numFmtId="0" fontId="38" fillId="0" borderId="45" xfId="160" applyFont="1" applyBorder="1" applyAlignment="1"/>
    <xf numFmtId="178" fontId="38" fillId="0" borderId="45" xfId="160" applyNumberFormat="1" applyFont="1" applyBorder="1" applyAlignment="1">
      <alignment horizontal="right"/>
    </xf>
    <xf numFmtId="1" fontId="38" fillId="0" borderId="37" xfId="4" applyNumberFormat="1" applyFont="1" applyBorder="1" applyAlignment="1">
      <alignment horizontal="center" vertical="center"/>
    </xf>
    <xf numFmtId="43" fontId="38" fillId="0" borderId="37" xfId="286" applyFont="1" applyBorder="1" applyAlignment="1">
      <alignment horizontal="center" vertical="center"/>
    </xf>
    <xf numFmtId="0" fontId="38" fillId="0" borderId="37" xfId="4" applyFont="1" applyBorder="1" applyAlignment="1">
      <alignment horizontal="center" vertical="center" wrapText="1"/>
    </xf>
    <xf numFmtId="1" fontId="38" fillId="4" borderId="37" xfId="4" applyNumberFormat="1" applyFont="1" applyFill="1" applyBorder="1" applyAlignment="1">
      <alignment horizontal="center" vertical="center"/>
    </xf>
    <xf numFmtId="178" fontId="38" fillId="0" borderId="37" xfId="4" applyNumberFormat="1" applyFont="1" applyBorder="1" applyAlignment="1">
      <alignment horizontal="center" vertical="center"/>
    </xf>
    <xf numFmtId="0" fontId="38" fillId="4" borderId="37" xfId="4" applyFont="1" applyFill="1" applyBorder="1" applyAlignment="1">
      <alignment horizontal="center" vertical="center"/>
    </xf>
    <xf numFmtId="183" fontId="38" fillId="0" borderId="37" xfId="4" applyNumberFormat="1" applyFont="1" applyBorder="1" applyAlignment="1">
      <alignment horizontal="center" vertical="center"/>
    </xf>
    <xf numFmtId="184" fontId="38" fillId="0" borderId="37" xfId="4" applyNumberFormat="1" applyFont="1" applyBorder="1" applyAlignment="1">
      <alignment horizontal="center" vertical="center"/>
    </xf>
    <xf numFmtId="180" fontId="38" fillId="0" borderId="37" xfId="341" applyNumberFormat="1" applyFont="1" applyBorder="1" applyAlignment="1">
      <alignment horizontal="center" vertical="center"/>
    </xf>
    <xf numFmtId="185" fontId="38" fillId="0" borderId="37" xfId="4" applyNumberFormat="1" applyFont="1" applyBorder="1" applyAlignment="1">
      <alignment horizontal="center" vertical="center"/>
    </xf>
    <xf numFmtId="183" fontId="38" fillId="0" borderId="31" xfId="4" applyNumberFormat="1" applyFont="1" applyBorder="1" applyAlignment="1">
      <alignment horizontal="center" vertical="center"/>
    </xf>
    <xf numFmtId="0" fontId="38" fillId="0" borderId="31" xfId="4" applyFont="1" applyBorder="1" applyAlignment="1">
      <alignment horizontal="center" vertical="center"/>
    </xf>
    <xf numFmtId="20" fontId="38" fillId="0" borderId="37" xfId="4" applyNumberFormat="1" applyFont="1" applyBorder="1" applyAlignment="1">
      <alignment horizontal="center" vertical="center"/>
    </xf>
    <xf numFmtId="183" fontId="38" fillId="0" borderId="2" xfId="4" applyNumberFormat="1" applyFont="1" applyBorder="1" applyAlignment="1">
      <alignment horizontal="center" vertical="center"/>
    </xf>
    <xf numFmtId="0" fontId="38" fillId="0" borderId="2" xfId="4" applyFont="1" applyBorder="1" applyAlignment="1">
      <alignment horizontal="center" vertical="center"/>
    </xf>
    <xf numFmtId="0" fontId="38" fillId="0" borderId="3" xfId="4" applyFont="1" applyBorder="1" applyAlignment="1">
      <alignment horizontal="center" vertical="center"/>
    </xf>
    <xf numFmtId="0" fontId="38" fillId="17" borderId="1" xfId="160" applyFont="1" applyFill="1" applyBorder="1" applyAlignment="1"/>
    <xf numFmtId="1" fontId="38" fillId="0" borderId="2" xfId="4" applyNumberFormat="1" applyFont="1" applyBorder="1" applyAlignment="1">
      <alignment horizontal="center" vertical="center"/>
    </xf>
    <xf numFmtId="0" fontId="38" fillId="0" borderId="47" xfId="4" applyFont="1" applyBorder="1" applyAlignment="1">
      <alignment horizontal="center" vertical="center"/>
    </xf>
    <xf numFmtId="0" fontId="38" fillId="0" borderId="48" xfId="160" applyFont="1" applyBorder="1" applyAlignment="1"/>
    <xf numFmtId="0" fontId="38" fillId="0" borderId="49" xfId="160" applyFont="1" applyBorder="1" applyAlignment="1"/>
    <xf numFmtId="1" fontId="38" fillId="0" borderId="38" xfId="4" applyNumberFormat="1" applyFont="1" applyBorder="1" applyAlignment="1">
      <alignment horizontal="center" vertical="center"/>
    </xf>
    <xf numFmtId="0" fontId="38" fillId="0" borderId="38" xfId="4" applyFont="1" applyBorder="1" applyAlignment="1">
      <alignment horizontal="center" vertical="center"/>
    </xf>
    <xf numFmtId="0" fontId="38" fillId="4" borderId="38" xfId="4" applyFont="1" applyFill="1" applyBorder="1" applyAlignment="1">
      <alignment horizontal="center" vertical="center"/>
    </xf>
    <xf numFmtId="185" fontId="38" fillId="0" borderId="38" xfId="4" applyNumberFormat="1" applyFont="1" applyBorder="1" applyAlignment="1">
      <alignment horizontal="center" vertical="center"/>
    </xf>
    <xf numFmtId="20" fontId="38" fillId="0" borderId="38" xfId="4" applyNumberFormat="1" applyFont="1" applyBorder="1" applyAlignment="1">
      <alignment horizontal="center" vertical="center"/>
    </xf>
    <xf numFmtId="0" fontId="38" fillId="0" borderId="0" xfId="4" applyFont="1" applyAlignment="1">
      <alignment horizontal="center"/>
    </xf>
    <xf numFmtId="0" fontId="38" fillId="0" borderId="49" xfId="4" applyFont="1" applyBorder="1" applyAlignment="1">
      <alignment horizontal="center" vertical="center"/>
    </xf>
    <xf numFmtId="1" fontId="38" fillId="0" borderId="45" xfId="4" applyNumberFormat="1" applyFont="1" applyBorder="1" applyAlignment="1">
      <alignment horizontal="center" vertical="center"/>
    </xf>
    <xf numFmtId="0" fontId="38" fillId="0" borderId="49" xfId="4" applyFont="1" applyBorder="1" applyAlignment="1">
      <alignment horizontal="center"/>
    </xf>
    <xf numFmtId="178" fontId="38" fillId="13" borderId="38" xfId="4" applyNumberFormat="1" applyFont="1" applyFill="1" applyBorder="1" applyAlignment="1">
      <alignment horizontal="right"/>
    </xf>
    <xf numFmtId="1" fontId="38" fillId="13" borderId="38" xfId="4" applyNumberFormat="1" applyFont="1" applyFill="1" applyBorder="1" applyAlignment="1">
      <alignment horizontal="center" vertical="center"/>
    </xf>
    <xf numFmtId="43" fontId="38" fillId="13" borderId="38" xfId="286" applyFont="1" applyFill="1" applyBorder="1" applyAlignment="1">
      <alignment horizontal="center" vertical="center"/>
    </xf>
    <xf numFmtId="0" fontId="38" fillId="13" borderId="38" xfId="4" applyFont="1" applyFill="1" applyBorder="1" applyAlignment="1">
      <alignment horizontal="center" vertical="center"/>
    </xf>
    <xf numFmtId="178" fontId="38" fillId="13" borderId="38" xfId="4" applyNumberFormat="1" applyFont="1" applyFill="1" applyBorder="1" applyAlignment="1">
      <alignment horizontal="center" vertical="center"/>
    </xf>
    <xf numFmtId="183" fontId="38" fillId="0" borderId="38" xfId="4" applyNumberFormat="1" applyFont="1" applyBorder="1" applyAlignment="1">
      <alignment horizontal="center" vertical="center"/>
    </xf>
    <xf numFmtId="184" fontId="38" fillId="0" borderId="38" xfId="4" applyNumberFormat="1" applyFont="1" applyBorder="1" applyAlignment="1">
      <alignment horizontal="center" vertical="center"/>
    </xf>
    <xf numFmtId="180" fontId="38" fillId="0" borderId="38" xfId="341" applyNumberFormat="1" applyFont="1" applyFill="1" applyBorder="1" applyAlignment="1">
      <alignment horizontal="center" vertical="center"/>
    </xf>
    <xf numFmtId="0" fontId="38" fillId="0" borderId="38" xfId="4" applyFont="1" applyBorder="1" applyAlignment="1">
      <alignment horizontal="center" vertical="center" wrapText="1"/>
    </xf>
    <xf numFmtId="178" fontId="38" fillId="0" borderId="38" xfId="4" applyNumberFormat="1" applyFont="1" applyBorder="1" applyAlignment="1">
      <alignment horizontal="center" vertical="center"/>
    </xf>
    <xf numFmtId="183" fontId="38" fillId="3" borderId="36" xfId="4" applyNumberFormat="1" applyFont="1" applyFill="1" applyBorder="1" applyAlignment="1">
      <alignment horizontal="center" vertical="center"/>
    </xf>
    <xf numFmtId="0" fontId="38" fillId="3" borderId="36" xfId="4" applyFont="1" applyFill="1" applyBorder="1" applyAlignment="1">
      <alignment horizontal="center" vertical="center"/>
    </xf>
    <xf numFmtId="180" fontId="38" fillId="0" borderId="38" xfId="341" applyNumberFormat="1" applyFont="1" applyBorder="1" applyAlignment="1">
      <alignment horizontal="center" vertical="center"/>
    </xf>
    <xf numFmtId="0" fontId="38" fillId="0" borderId="2" xfId="4" applyFont="1" applyBorder="1" applyAlignment="1">
      <alignment horizontal="center"/>
    </xf>
    <xf numFmtId="0" fontId="38" fillId="0" borderId="3" xfId="4" applyFont="1" applyBorder="1" applyAlignment="1">
      <alignment horizontal="center"/>
    </xf>
    <xf numFmtId="178" fontId="38" fillId="0" borderId="1" xfId="160" applyNumberFormat="1" applyFont="1" applyBorder="1" applyAlignment="1">
      <alignment horizontal="right"/>
    </xf>
    <xf numFmtId="43" fontId="38" fillId="0" borderId="2" xfId="286" applyFont="1" applyBorder="1" applyAlignment="1">
      <alignment horizontal="center" vertical="center"/>
    </xf>
    <xf numFmtId="1" fontId="38" fillId="4" borderId="2" xfId="4" applyNumberFormat="1" applyFont="1" applyFill="1" applyBorder="1" applyAlignment="1">
      <alignment horizontal="center" vertical="center"/>
    </xf>
    <xf numFmtId="178" fontId="38" fillId="0" borderId="2" xfId="4" applyNumberFormat="1" applyFont="1" applyBorder="1" applyAlignment="1">
      <alignment horizontal="center" vertical="center"/>
    </xf>
    <xf numFmtId="184" fontId="38" fillId="0" borderId="2" xfId="4" applyNumberFormat="1" applyFont="1" applyBorder="1" applyAlignment="1">
      <alignment horizontal="center" vertical="center"/>
    </xf>
    <xf numFmtId="180" fontId="38" fillId="0" borderId="2" xfId="341" applyNumberFormat="1" applyFont="1" applyBorder="1" applyAlignment="1">
      <alignment horizontal="center" vertical="center"/>
    </xf>
    <xf numFmtId="185" fontId="38" fillId="0" borderId="2" xfId="4" applyNumberFormat="1" applyFont="1" applyBorder="1" applyAlignment="1">
      <alignment horizontal="center" vertical="center"/>
    </xf>
    <xf numFmtId="0" fontId="38" fillId="0" borderId="2" xfId="4" applyFont="1" applyBorder="1" applyAlignment="1">
      <alignment horizontal="center" vertical="center" wrapText="1"/>
    </xf>
    <xf numFmtId="20" fontId="38" fillId="0" borderId="2" xfId="4" applyNumberFormat="1" applyFont="1" applyBorder="1" applyAlignment="1">
      <alignment horizontal="center" vertical="center"/>
    </xf>
    <xf numFmtId="0" fontId="38" fillId="4" borderId="2" xfId="4" applyFont="1" applyFill="1" applyBorder="1" applyAlignment="1">
      <alignment horizontal="center" vertical="center"/>
    </xf>
    <xf numFmtId="0" fontId="16" fillId="0" borderId="2" xfId="1" applyFont="1" applyBorder="1" applyAlignment="1">
      <alignment horizontal="center" vertical="center"/>
    </xf>
    <xf numFmtId="178" fontId="38" fillId="13" borderId="2" xfId="4" applyNumberFormat="1" applyFont="1" applyFill="1" applyBorder="1" applyAlignment="1">
      <alignment horizontal="right"/>
    </xf>
    <xf numFmtId="1" fontId="38" fillId="13" borderId="2" xfId="4" applyNumberFormat="1" applyFont="1" applyFill="1" applyBorder="1" applyAlignment="1">
      <alignment horizontal="center" vertical="center"/>
    </xf>
    <xf numFmtId="43" fontId="38" fillId="13" borderId="2" xfId="286" applyFont="1" applyFill="1" applyBorder="1" applyAlignment="1">
      <alignment horizontal="center" vertical="center"/>
    </xf>
    <xf numFmtId="0" fontId="38" fillId="13" borderId="2" xfId="4" applyFont="1" applyFill="1" applyBorder="1" applyAlignment="1">
      <alignment horizontal="center" vertical="center"/>
    </xf>
    <xf numFmtId="178" fontId="38" fillId="13" borderId="2" xfId="4" applyNumberFormat="1" applyFont="1" applyFill="1" applyBorder="1" applyAlignment="1">
      <alignment horizontal="center" vertical="center"/>
    </xf>
    <xf numFmtId="180" fontId="38" fillId="0" borderId="2" xfId="341" applyNumberFormat="1" applyFont="1" applyFill="1" applyBorder="1" applyAlignment="1">
      <alignment horizontal="center" vertical="center"/>
    </xf>
    <xf numFmtId="183" fontId="38" fillId="3" borderId="2" xfId="4" applyNumberFormat="1" applyFont="1" applyFill="1" applyBorder="1" applyAlignment="1">
      <alignment horizontal="center" vertical="center"/>
    </xf>
    <xf numFmtId="0" fontId="38" fillId="3" borderId="2" xfId="4" applyFont="1" applyFill="1" applyBorder="1" applyAlignment="1">
      <alignment horizontal="center" vertical="center"/>
    </xf>
    <xf numFmtId="0" fontId="38" fillId="0" borderId="31" xfId="4" applyFont="1" applyBorder="1" applyAlignment="1">
      <alignment horizontal="center"/>
    </xf>
    <xf numFmtId="0" fontId="38" fillId="17" borderId="51" xfId="160" applyFont="1" applyFill="1" applyBorder="1" applyAlignment="1"/>
    <xf numFmtId="0" fontId="38" fillId="0" borderId="52" xfId="160" applyFont="1" applyBorder="1" applyAlignment="1"/>
    <xf numFmtId="178" fontId="38" fillId="0" borderId="51" xfId="160" applyNumberFormat="1" applyFont="1" applyBorder="1" applyAlignment="1">
      <alignment horizontal="right"/>
    </xf>
    <xf numFmtId="1" fontId="38" fillId="0" borderId="31" xfId="4" applyNumberFormat="1" applyFont="1" applyBorder="1" applyAlignment="1">
      <alignment horizontal="center" vertical="center"/>
    </xf>
    <xf numFmtId="43" fontId="38" fillId="0" borderId="31" xfId="286" applyFont="1" applyBorder="1" applyAlignment="1">
      <alignment horizontal="center" vertical="center"/>
    </xf>
    <xf numFmtId="1" fontId="38" fillId="4" borderId="31" xfId="4" applyNumberFormat="1" applyFont="1" applyFill="1" applyBorder="1" applyAlignment="1">
      <alignment horizontal="center" vertical="center"/>
    </xf>
    <xf numFmtId="178" fontId="38" fillId="0" borderId="31" xfId="4" applyNumberFormat="1" applyFont="1" applyBorder="1" applyAlignment="1">
      <alignment horizontal="center" vertical="center"/>
    </xf>
    <xf numFmtId="0" fontId="38" fillId="4" borderId="44" xfId="4" applyFont="1" applyFill="1" applyBorder="1" applyAlignment="1">
      <alignment horizontal="center" vertical="center"/>
    </xf>
    <xf numFmtId="1" fontId="38" fillId="0" borderId="44" xfId="4" applyNumberFormat="1" applyFont="1" applyBorder="1" applyAlignment="1">
      <alignment horizontal="center" vertical="center"/>
    </xf>
    <xf numFmtId="178" fontId="38" fillId="0" borderId="44" xfId="4" applyNumberFormat="1" applyFont="1" applyBorder="1" applyAlignment="1">
      <alignment horizontal="center" vertical="center"/>
    </xf>
    <xf numFmtId="183" fontId="38" fillId="0" borderId="44" xfId="4" applyNumberFormat="1" applyFont="1" applyBorder="1" applyAlignment="1">
      <alignment horizontal="center" vertical="center"/>
    </xf>
    <xf numFmtId="184" fontId="38" fillId="0" borderId="44" xfId="4" applyNumberFormat="1" applyFont="1" applyBorder="1" applyAlignment="1">
      <alignment horizontal="center" vertical="center"/>
    </xf>
    <xf numFmtId="180" fontId="38" fillId="0" borderId="44" xfId="341" applyNumberFormat="1" applyFont="1" applyBorder="1" applyAlignment="1">
      <alignment horizontal="center" vertical="center"/>
    </xf>
    <xf numFmtId="185" fontId="38" fillId="0" borderId="31" xfId="4" applyNumberFormat="1" applyFont="1" applyBorder="1" applyAlignment="1">
      <alignment horizontal="center" vertical="center"/>
    </xf>
    <xf numFmtId="0" fontId="38" fillId="0" borderId="31" xfId="4" applyFont="1" applyBorder="1" applyAlignment="1">
      <alignment horizontal="center" vertical="center" wrapText="1"/>
    </xf>
    <xf numFmtId="180" fontId="38" fillId="0" borderId="50" xfId="341" applyNumberFormat="1" applyFont="1" applyBorder="1" applyAlignment="1">
      <alignment horizontal="center" vertical="center"/>
    </xf>
    <xf numFmtId="0" fontId="38" fillId="0" borderId="47" xfId="4" applyFont="1" applyBorder="1" applyAlignment="1">
      <alignment horizontal="center"/>
    </xf>
    <xf numFmtId="0" fontId="38" fillId="17" borderId="42" xfId="160" applyFont="1" applyFill="1" applyBorder="1" applyAlignment="1"/>
    <xf numFmtId="20" fontId="38" fillId="0" borderId="2" xfId="160" applyNumberFormat="1" applyFont="1" applyBorder="1" applyAlignment="1">
      <alignment horizontal="center" vertical="center"/>
    </xf>
    <xf numFmtId="183" fontId="38" fillId="0" borderId="2" xfId="160" applyNumberFormat="1" applyFont="1" applyBorder="1" applyAlignment="1">
      <alignment horizontal="center" vertical="center"/>
    </xf>
    <xf numFmtId="0" fontId="38" fillId="0" borderId="3" xfId="160" applyFont="1" applyBorder="1" applyAlignment="1"/>
    <xf numFmtId="0" fontId="38" fillId="0" borderId="1" xfId="160" applyFont="1" applyBorder="1" applyAlignment="1"/>
    <xf numFmtId="180" fontId="38" fillId="0" borderId="42" xfId="341" applyNumberFormat="1" applyFont="1" applyBorder="1" applyAlignment="1">
      <alignment horizontal="center" vertical="center"/>
    </xf>
    <xf numFmtId="0" fontId="38" fillId="0" borderId="46" xfId="4" applyFont="1" applyBorder="1" applyAlignment="1">
      <alignment horizontal="center" vertical="center"/>
    </xf>
    <xf numFmtId="1" fontId="38" fillId="17" borderId="37" xfId="4" applyNumberFormat="1" applyFont="1" applyFill="1" applyBorder="1" applyAlignment="1">
      <alignment horizontal="center" vertical="center"/>
    </xf>
    <xf numFmtId="0" fontId="38" fillId="0" borderId="53" xfId="4" applyFont="1" applyBorder="1" applyAlignment="1">
      <alignment horizontal="center" vertical="center"/>
    </xf>
    <xf numFmtId="180" fontId="38" fillId="0" borderId="48" xfId="341" applyNumberFormat="1" applyFont="1" applyBorder="1" applyAlignment="1">
      <alignment horizontal="center" vertical="center"/>
    </xf>
    <xf numFmtId="0" fontId="38" fillId="0" borderId="44" xfId="4" applyFont="1" applyBorder="1" applyAlignment="1">
      <alignment horizontal="center"/>
    </xf>
    <xf numFmtId="0" fontId="38" fillId="0" borderId="42" xfId="4" applyFont="1" applyBorder="1" applyAlignment="1">
      <alignment horizontal="center"/>
    </xf>
    <xf numFmtId="1" fontId="38" fillId="4" borderId="7" xfId="197" applyNumberFormat="1" applyFont="1" applyFill="1" applyBorder="1" applyAlignment="1">
      <alignment horizontal="center" vertical="center"/>
    </xf>
    <xf numFmtId="1" fontId="38" fillId="0" borderId="7" xfId="197" applyNumberFormat="1" applyFont="1" applyBorder="1" applyAlignment="1">
      <alignment horizontal="center" vertical="center"/>
    </xf>
    <xf numFmtId="178" fontId="38" fillId="0" borderId="7" xfId="4" applyNumberFormat="1" applyFont="1" applyBorder="1" applyAlignment="1">
      <alignment horizontal="center" vertical="center"/>
    </xf>
    <xf numFmtId="178" fontId="38" fillId="0" borderId="2" xfId="160" applyNumberFormat="1" applyFont="1" applyBorder="1" applyAlignment="1">
      <alignment horizontal="right"/>
    </xf>
    <xf numFmtId="183" fontId="38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178" fontId="38" fillId="0" borderId="46" xfId="160" applyNumberFormat="1" applyFont="1" applyBorder="1" applyAlignment="1">
      <alignment horizontal="right"/>
    </xf>
    <xf numFmtId="1" fontId="4" fillId="0" borderId="2" xfId="136" applyNumberFormat="1" applyFont="1" applyBorder="1" applyAlignment="1">
      <alignment horizontal="center" vertical="center"/>
    </xf>
    <xf numFmtId="0" fontId="4" fillId="0" borderId="31" xfId="136" applyFont="1" applyBorder="1" applyAlignment="1">
      <alignment horizontal="center" vertical="center"/>
    </xf>
    <xf numFmtId="1" fontId="4" fillId="4" borderId="31" xfId="136" applyNumberFormat="1" applyFont="1" applyFill="1" applyBorder="1" applyAlignment="1">
      <alignment horizontal="center" vertical="center"/>
    </xf>
    <xf numFmtId="1" fontId="4" fillId="0" borderId="31" xfId="136" applyNumberFormat="1" applyFont="1" applyBorder="1" applyAlignment="1">
      <alignment horizontal="center" vertical="center"/>
    </xf>
    <xf numFmtId="178" fontId="4" fillId="0" borderId="31" xfId="136" applyNumberFormat="1" applyFont="1" applyBorder="1" applyAlignment="1">
      <alignment horizontal="center" vertical="center"/>
    </xf>
    <xf numFmtId="184" fontId="38" fillId="0" borderId="31" xfId="4" applyNumberFormat="1" applyFont="1" applyBorder="1" applyAlignment="1">
      <alignment horizontal="center" vertical="center"/>
    </xf>
    <xf numFmtId="180" fontId="38" fillId="0" borderId="52" xfId="341" applyNumberFormat="1" applyFont="1" applyBorder="1" applyAlignment="1">
      <alignment horizontal="center" vertical="center"/>
    </xf>
    <xf numFmtId="185" fontId="4" fillId="0" borderId="31" xfId="136" applyNumberFormat="1" applyFont="1" applyBorder="1" applyAlignment="1">
      <alignment horizontal="center" vertical="center"/>
    </xf>
    <xf numFmtId="0" fontId="38" fillId="17" borderId="37" xfId="4" applyFont="1" applyFill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3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17" borderId="3" xfId="136" applyFont="1" applyFill="1" applyBorder="1" applyAlignment="1">
      <alignment horizontal="left"/>
    </xf>
    <xf numFmtId="0" fontId="4" fillId="0" borderId="1" xfId="136" applyFont="1" applyBorder="1" applyAlignment="1">
      <alignment horizontal="left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185" fontId="4" fillId="0" borderId="2" xfId="136" applyNumberFormat="1" applyFont="1" applyBorder="1" applyAlignment="1">
      <alignment horizontal="center" vertical="center"/>
    </xf>
    <xf numFmtId="20" fontId="4" fillId="0" borderId="2" xfId="41" applyNumberFormat="1" applyFont="1" applyBorder="1" applyAlignment="1">
      <alignment horizontal="center" vertical="center"/>
    </xf>
    <xf numFmtId="183" fontId="4" fillId="0" borderId="2" xfId="41" applyNumberFormat="1" applyFont="1" applyBorder="1" applyAlignment="1">
      <alignment horizontal="center" vertical="center"/>
    </xf>
    <xf numFmtId="43" fontId="4" fillId="0" borderId="2" xfId="286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48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right"/>
    </xf>
    <xf numFmtId="0" fontId="38" fillId="0" borderId="48" xfId="4" applyFont="1" applyBorder="1" applyAlignment="1">
      <alignment horizontal="center"/>
    </xf>
    <xf numFmtId="183" fontId="38" fillId="0" borderId="52" xfId="4" applyNumberFormat="1" applyFont="1" applyBorder="1" applyAlignment="1">
      <alignment horizontal="center" vertical="center"/>
    </xf>
    <xf numFmtId="180" fontId="38" fillId="0" borderId="44" xfId="341" applyNumberFormat="1" applyFont="1" applyFill="1" applyBorder="1" applyAlignment="1">
      <alignment horizontal="center" vertical="center"/>
    </xf>
    <xf numFmtId="185" fontId="38" fillId="0" borderId="44" xfId="4" applyNumberFormat="1" applyFont="1" applyBorder="1" applyAlignment="1">
      <alignment horizontal="center" vertical="center"/>
    </xf>
    <xf numFmtId="0" fontId="38" fillId="0" borderId="44" xfId="4" applyFont="1" applyBorder="1" applyAlignment="1">
      <alignment horizontal="center" vertical="center"/>
    </xf>
    <xf numFmtId="20" fontId="38" fillId="0" borderId="44" xfId="4" applyNumberFormat="1" applyFont="1" applyBorder="1" applyAlignment="1">
      <alignment horizontal="center" vertical="center"/>
    </xf>
    <xf numFmtId="183" fontId="38" fillId="0" borderId="42" xfId="4" applyNumberFormat="1" applyFont="1" applyBorder="1" applyAlignment="1">
      <alignment horizontal="center" vertical="center"/>
    </xf>
    <xf numFmtId="0" fontId="38" fillId="0" borderId="50" xfId="4" applyFont="1" applyBorder="1" applyAlignment="1">
      <alignment horizontal="center"/>
    </xf>
    <xf numFmtId="0" fontId="38" fillId="0" borderId="50" xfId="160" applyFont="1" applyBorder="1" applyAlignment="1"/>
    <xf numFmtId="183" fontId="38" fillId="0" borderId="45" xfId="4" applyNumberFormat="1" applyFont="1" applyBorder="1" applyAlignment="1">
      <alignment horizontal="center" vertical="center"/>
    </xf>
    <xf numFmtId="0" fontId="38" fillId="0" borderId="42" xfId="4" applyFont="1" applyBorder="1" applyAlignment="1">
      <alignment horizontal="center" vertical="center"/>
    </xf>
    <xf numFmtId="185" fontId="4" fillId="17" borderId="31" xfId="136" applyNumberFormat="1" applyFont="1" applyFill="1" applyBorder="1" applyAlignment="1">
      <alignment horizontal="center" vertical="center"/>
    </xf>
    <xf numFmtId="1" fontId="38" fillId="4" borderId="38" xfId="4" applyNumberFormat="1" applyFont="1" applyFill="1" applyBorder="1" applyAlignment="1">
      <alignment horizontal="center" vertical="center"/>
    </xf>
    <xf numFmtId="0" fontId="38" fillId="0" borderId="37" xfId="4" applyFont="1" applyBorder="1" applyAlignment="1">
      <alignment horizontal="center"/>
    </xf>
    <xf numFmtId="178" fontId="38" fillId="13" borderId="37" xfId="4" applyNumberFormat="1" applyFont="1" applyFill="1" applyBorder="1" applyAlignment="1">
      <alignment horizontal="right"/>
    </xf>
    <xf numFmtId="1" fontId="38" fillId="13" borderId="44" xfId="4" applyNumberFormat="1" applyFont="1" applyFill="1" applyBorder="1" applyAlignment="1">
      <alignment horizontal="center" vertical="center"/>
    </xf>
    <xf numFmtId="43" fontId="38" fillId="13" borderId="37" xfId="286" applyFont="1" applyFill="1" applyBorder="1" applyAlignment="1">
      <alignment horizontal="center" vertical="center"/>
    </xf>
    <xf numFmtId="178" fontId="38" fillId="13" borderId="37" xfId="4" applyNumberFormat="1" applyFont="1" applyFill="1" applyBorder="1" applyAlignment="1">
      <alignment horizontal="center" vertical="center"/>
    </xf>
    <xf numFmtId="180" fontId="38" fillId="0" borderId="37" xfId="341" applyNumberFormat="1" applyFont="1" applyFill="1" applyBorder="1" applyAlignment="1">
      <alignment horizontal="center" vertical="center"/>
    </xf>
    <xf numFmtId="0" fontId="38" fillId="0" borderId="46" xfId="160" applyFont="1" applyBorder="1" applyAlignment="1"/>
    <xf numFmtId="1" fontId="38" fillId="0" borderId="54" xfId="4" applyNumberFormat="1" applyFont="1" applyBorder="1" applyAlignment="1">
      <alignment horizontal="center" vertical="center"/>
    </xf>
    <xf numFmtId="0" fontId="38" fillId="0" borderId="55" xfId="4" applyFont="1" applyBorder="1" applyAlignment="1">
      <alignment horizontal="center"/>
    </xf>
    <xf numFmtId="0" fontId="38" fillId="0" borderId="55" xfId="160" applyFont="1" applyBorder="1" applyAlignment="1"/>
    <xf numFmtId="0" fontId="38" fillId="0" borderId="56" xfId="160" applyFont="1" applyBorder="1" applyAlignment="1"/>
    <xf numFmtId="1" fontId="38" fillId="4" borderId="2" xfId="197" applyNumberFormat="1" applyFont="1" applyFill="1" applyBorder="1" applyAlignment="1">
      <alignment horizontal="center" vertical="center"/>
    </xf>
    <xf numFmtId="1" fontId="38" fillId="0" borderId="2" xfId="197" applyNumberFormat="1" applyFont="1" applyBorder="1" applyAlignment="1">
      <alignment horizontal="center" vertical="center"/>
    </xf>
    <xf numFmtId="20" fontId="38" fillId="0" borderId="37" xfId="160" applyNumberFormat="1" applyFont="1" applyBorder="1" applyAlignment="1">
      <alignment horizontal="center" vertical="center"/>
    </xf>
    <xf numFmtId="0" fontId="4" fillId="0" borderId="42" xfId="160" applyFont="1" applyBorder="1" applyAlignment="1"/>
    <xf numFmtId="178" fontId="38" fillId="0" borderId="56" xfId="4" applyNumberFormat="1" applyFont="1" applyBorder="1" applyAlignment="1">
      <alignment horizontal="center" vertical="center"/>
    </xf>
    <xf numFmtId="183" fontId="38" fillId="0" borderId="54" xfId="4" applyNumberFormat="1" applyFont="1" applyBorder="1" applyAlignment="1">
      <alignment horizontal="center" vertical="center"/>
    </xf>
    <xf numFmtId="184" fontId="38" fillId="0" borderId="54" xfId="4" applyNumberFormat="1" applyFont="1" applyBorder="1" applyAlignment="1">
      <alignment horizontal="center" vertical="center"/>
    </xf>
    <xf numFmtId="180" fontId="38" fillId="0" borderId="54" xfId="341" applyNumberFormat="1" applyFont="1" applyBorder="1" applyAlignment="1">
      <alignment horizontal="center" vertical="center"/>
    </xf>
    <xf numFmtId="178" fontId="38" fillId="0" borderId="1" xfId="4" applyNumberFormat="1" applyFont="1" applyBorder="1" applyAlignment="1">
      <alignment horizontal="center" vertical="center"/>
    </xf>
    <xf numFmtId="180" fontId="38" fillId="0" borderId="45" xfId="341" applyNumberFormat="1" applyFont="1" applyBorder="1" applyAlignment="1">
      <alignment horizontal="center" vertical="center"/>
    </xf>
    <xf numFmtId="178" fontId="38" fillId="13" borderId="42" xfId="4" applyNumberFormat="1" applyFont="1" applyFill="1" applyBorder="1" applyAlignment="1">
      <alignment horizontal="right"/>
    </xf>
    <xf numFmtId="178" fontId="38" fillId="13" borderId="6" xfId="4" applyNumberFormat="1" applyFont="1" applyFill="1" applyBorder="1" applyAlignment="1">
      <alignment horizontal="center" vertical="center"/>
    </xf>
    <xf numFmtId="0" fontId="4" fillId="0" borderId="46" xfId="160" applyFont="1" applyBorder="1" applyAlignment="1"/>
    <xf numFmtId="180" fontId="38" fillId="0" borderId="46" xfId="341" applyNumberFormat="1" applyFont="1" applyBorder="1" applyAlignment="1">
      <alignment horizontal="center" vertical="center"/>
    </xf>
    <xf numFmtId="0" fontId="38" fillId="0" borderId="57" xfId="4" applyFont="1" applyBorder="1" applyAlignment="1">
      <alignment horizontal="center" vertical="center"/>
    </xf>
    <xf numFmtId="0" fontId="38" fillId="17" borderId="36" xfId="4" applyFont="1" applyFill="1" applyBorder="1" applyAlignment="1">
      <alignment horizontal="center" vertical="center"/>
    </xf>
    <xf numFmtId="20" fontId="38" fillId="0" borderId="54" xfId="4" applyNumberFormat="1" applyFont="1" applyBorder="1" applyAlignment="1">
      <alignment horizontal="center" vertical="center"/>
    </xf>
    <xf numFmtId="0" fontId="38" fillId="0" borderId="36" xfId="4" applyFont="1" applyBorder="1" applyAlignment="1">
      <alignment horizontal="center" vertical="center"/>
    </xf>
    <xf numFmtId="1" fontId="38" fillId="4" borderId="36" xfId="4" applyNumberFormat="1" applyFont="1" applyFill="1" applyBorder="1" applyAlignment="1">
      <alignment horizontal="center" vertical="center"/>
    </xf>
    <xf numFmtId="1" fontId="38" fillId="0" borderId="36" xfId="4" applyNumberFormat="1" applyFont="1" applyBorder="1" applyAlignment="1">
      <alignment horizontal="center" vertical="center"/>
    </xf>
    <xf numFmtId="178" fontId="38" fillId="0" borderId="36" xfId="4" applyNumberFormat="1" applyFont="1" applyBorder="1" applyAlignment="1">
      <alignment horizontal="center" vertical="center"/>
    </xf>
    <xf numFmtId="183" fontId="38" fillId="0" borderId="36" xfId="4" applyNumberFormat="1" applyFont="1" applyBorder="1" applyAlignment="1">
      <alignment horizontal="center" vertical="center"/>
    </xf>
    <xf numFmtId="184" fontId="38" fillId="0" borderId="36" xfId="4" applyNumberFormat="1" applyFont="1" applyBorder="1" applyAlignment="1">
      <alignment horizontal="center" vertical="center"/>
    </xf>
    <xf numFmtId="180" fontId="38" fillId="0" borderId="49" xfId="341" applyNumberFormat="1" applyFont="1" applyBorder="1" applyAlignment="1">
      <alignment horizontal="center" vertical="center"/>
    </xf>
    <xf numFmtId="0" fontId="38" fillId="0" borderId="48" xfId="4" applyFont="1" applyBorder="1" applyAlignment="1">
      <alignment horizontal="center" vertical="center"/>
    </xf>
    <xf numFmtId="0" fontId="38" fillId="0" borderId="1" xfId="4" applyFont="1" applyBorder="1" applyAlignment="1">
      <alignment horizontal="center" vertical="center"/>
    </xf>
    <xf numFmtId="20" fontId="38" fillId="0" borderId="38" xfId="160" applyNumberFormat="1" applyFont="1" applyBorder="1" applyAlignment="1">
      <alignment horizontal="center" vertical="center"/>
    </xf>
    <xf numFmtId="1" fontId="38" fillId="0" borderId="3" xfId="4" applyNumberFormat="1" applyFont="1" applyBorder="1" applyAlignment="1">
      <alignment horizontal="center" vertical="center"/>
    </xf>
    <xf numFmtId="0" fontId="38" fillId="4" borderId="1" xfId="4" applyFont="1" applyFill="1" applyBorder="1" applyAlignment="1">
      <alignment horizontal="center" vertical="center"/>
    </xf>
    <xf numFmtId="0" fontId="38" fillId="0" borderId="38" xfId="4" applyFont="1" applyBorder="1" applyAlignment="1">
      <alignment horizontal="center"/>
    </xf>
    <xf numFmtId="43" fontId="38" fillId="13" borderId="7" xfId="286" applyFont="1" applyFill="1" applyBorder="1" applyAlignment="1">
      <alignment horizontal="center" vertical="center"/>
    </xf>
    <xf numFmtId="1" fontId="38" fillId="13" borderId="7" xfId="4" applyNumberFormat="1" applyFont="1" applyFill="1" applyBorder="1" applyAlignment="1">
      <alignment horizontal="center" vertical="center"/>
    </xf>
    <xf numFmtId="178" fontId="38" fillId="13" borderId="7" xfId="4" applyNumberFormat="1" applyFont="1" applyFill="1" applyBorder="1" applyAlignment="1">
      <alignment horizontal="center" vertical="center"/>
    </xf>
    <xf numFmtId="183" fontId="38" fillId="0" borderId="7" xfId="4" applyNumberFormat="1" applyFont="1" applyBorder="1" applyAlignment="1">
      <alignment horizontal="center" vertical="center"/>
    </xf>
    <xf numFmtId="184" fontId="38" fillId="0" borderId="7" xfId="4" applyNumberFormat="1" applyFont="1" applyBorder="1" applyAlignment="1">
      <alignment horizontal="center" vertical="center"/>
    </xf>
    <xf numFmtId="180" fontId="38" fillId="0" borderId="7" xfId="341" applyNumberFormat="1" applyFont="1" applyFill="1" applyBorder="1" applyAlignment="1">
      <alignment horizontal="center" vertical="center"/>
    </xf>
    <xf numFmtId="0" fontId="38" fillId="17" borderId="3" xfId="4" applyFont="1" applyFill="1" applyBorder="1" applyAlignment="1">
      <alignment horizontal="center"/>
    </xf>
    <xf numFmtId="0" fontId="38" fillId="17" borderId="3" xfId="160" applyFont="1" applyFill="1" applyBorder="1" applyAlignment="1"/>
    <xf numFmtId="178" fontId="38" fillId="17" borderId="1" xfId="160" applyNumberFormat="1" applyFont="1" applyFill="1" applyBorder="1" applyAlignment="1">
      <alignment horizontal="right"/>
    </xf>
    <xf numFmtId="1" fontId="38" fillId="17" borderId="2" xfId="4" applyNumberFormat="1" applyFont="1" applyFill="1" applyBorder="1" applyAlignment="1">
      <alignment horizontal="center" vertical="center"/>
    </xf>
    <xf numFmtId="43" fontId="38" fillId="17" borderId="37" xfId="286" applyFont="1" applyFill="1" applyBorder="1" applyAlignment="1">
      <alignment horizontal="center" vertical="center"/>
    </xf>
    <xf numFmtId="1" fontId="38" fillId="4" borderId="44" xfId="4" applyNumberFormat="1" applyFont="1" applyFill="1" applyBorder="1" applyAlignment="1">
      <alignment horizontal="center" vertical="center"/>
    </xf>
    <xf numFmtId="183" fontId="38" fillId="17" borderId="37" xfId="4" applyNumberFormat="1" applyFont="1" applyFill="1" applyBorder="1" applyAlignment="1">
      <alignment horizontal="center" vertical="center"/>
    </xf>
    <xf numFmtId="184" fontId="38" fillId="17" borderId="37" xfId="4" applyNumberFormat="1" applyFont="1" applyFill="1" applyBorder="1" applyAlignment="1">
      <alignment horizontal="center" vertical="center"/>
    </xf>
    <xf numFmtId="180" fontId="38" fillId="17" borderId="37" xfId="341" applyNumberFormat="1" applyFont="1" applyFill="1" applyBorder="1" applyAlignment="1">
      <alignment horizontal="center" vertical="center"/>
    </xf>
    <xf numFmtId="185" fontId="38" fillId="17" borderId="2" xfId="4" applyNumberFormat="1" applyFont="1" applyFill="1" applyBorder="1" applyAlignment="1">
      <alignment horizontal="center" vertical="center"/>
    </xf>
    <xf numFmtId="0" fontId="38" fillId="17" borderId="2" xfId="4" applyFont="1" applyFill="1" applyBorder="1" applyAlignment="1">
      <alignment horizontal="center" vertical="center"/>
    </xf>
    <xf numFmtId="183" fontId="38" fillId="17" borderId="2" xfId="4" applyNumberFormat="1" applyFont="1" applyFill="1" applyBorder="1" applyAlignment="1">
      <alignment horizontal="center" vertical="center"/>
    </xf>
    <xf numFmtId="180" fontId="38" fillId="17" borderId="2" xfId="341" applyNumberFormat="1" applyFont="1" applyFill="1" applyBorder="1" applyAlignment="1">
      <alignment horizontal="center" vertical="center"/>
    </xf>
    <xf numFmtId="0" fontId="38" fillId="17" borderId="0" xfId="4" applyFont="1" applyFill="1">
      <alignment vertical="center"/>
    </xf>
    <xf numFmtId="20" fontId="38" fillId="0" borderId="37" xfId="197" applyNumberFormat="1" applyFont="1" applyBorder="1" applyAlignment="1">
      <alignment horizontal="center" vertical="center"/>
    </xf>
    <xf numFmtId="183" fontId="38" fillId="0" borderId="2" xfId="197" applyNumberFormat="1" applyFont="1" applyBorder="1" applyAlignment="1">
      <alignment horizontal="center" vertical="center"/>
    </xf>
    <xf numFmtId="183" fontId="38" fillId="0" borderId="37" xfId="197" applyNumberFormat="1" applyFont="1" applyBorder="1" applyAlignment="1">
      <alignment horizontal="center" vertical="center"/>
    </xf>
    <xf numFmtId="0" fontId="38" fillId="0" borderId="0" xfId="197" applyFont="1">
      <alignment vertical="center"/>
    </xf>
    <xf numFmtId="20" fontId="38" fillId="0" borderId="38" xfId="197" applyNumberFormat="1" applyFont="1" applyBorder="1" applyAlignment="1">
      <alignment horizontal="center" vertical="center"/>
    </xf>
    <xf numFmtId="20" fontId="38" fillId="0" borderId="2" xfId="197" applyNumberFormat="1" applyFont="1" applyBorder="1" applyAlignment="1">
      <alignment horizontal="center" vertical="center"/>
    </xf>
    <xf numFmtId="0" fontId="38" fillId="0" borderId="2" xfId="197" applyFont="1" applyBorder="1" applyAlignment="1">
      <alignment horizontal="center" vertical="center"/>
    </xf>
    <xf numFmtId="0" fontId="38" fillId="0" borderId="54" xfId="197" applyFont="1" applyBorder="1" applyAlignment="1">
      <alignment horizontal="center" vertical="center"/>
    </xf>
    <xf numFmtId="0" fontId="38" fillId="0" borderId="3" xfId="197" applyFont="1" applyBorder="1" applyAlignment="1">
      <alignment horizontal="center" vertical="center"/>
    </xf>
    <xf numFmtId="178" fontId="38" fillId="0" borderId="2" xfId="197" applyNumberFormat="1" applyFont="1" applyBorder="1" applyAlignment="1">
      <alignment horizontal="center" vertical="center"/>
    </xf>
    <xf numFmtId="43" fontId="38" fillId="0" borderId="38" xfId="286" applyFont="1" applyBorder="1" applyAlignment="1">
      <alignment horizontal="center" vertical="center"/>
    </xf>
    <xf numFmtId="178" fontId="38" fillId="13" borderId="31" xfId="4" applyNumberFormat="1" applyFont="1" applyFill="1" applyBorder="1" applyAlignment="1">
      <alignment horizontal="right"/>
    </xf>
    <xf numFmtId="185" fontId="4" fillId="0" borderId="37" xfId="4" applyNumberFormat="1" applyFont="1" applyBorder="1" applyAlignment="1">
      <alignment horizontal="center" vertical="center"/>
    </xf>
    <xf numFmtId="0" fontId="4" fillId="0" borderId="37" xfId="4" applyFont="1" applyBorder="1" applyAlignment="1">
      <alignment horizontal="center" vertical="center"/>
    </xf>
    <xf numFmtId="1" fontId="38" fillId="0" borderId="42" xfId="4" applyNumberFormat="1" applyFont="1" applyBorder="1" applyAlignment="1">
      <alignment horizontal="center" vertical="center"/>
    </xf>
    <xf numFmtId="43" fontId="38" fillId="0" borderId="60" xfId="286" applyFont="1" applyBorder="1" applyAlignment="1">
      <alignment horizontal="center" vertical="center"/>
    </xf>
    <xf numFmtId="1" fontId="38" fillId="0" borderId="3" xfId="197" applyNumberFormat="1" applyFont="1" applyBorder="1" applyAlignment="1">
      <alignment horizontal="center" vertical="center"/>
    </xf>
    <xf numFmtId="0" fontId="38" fillId="13" borderId="61" xfId="4" applyFont="1" applyFill="1" applyBorder="1" applyAlignment="1"/>
    <xf numFmtId="0" fontId="38" fillId="13" borderId="62" xfId="4" applyFont="1" applyFill="1" applyBorder="1" applyAlignment="1"/>
    <xf numFmtId="1" fontId="38" fillId="13" borderId="37" xfId="4" applyNumberFormat="1" applyFont="1" applyFill="1" applyBorder="1" applyAlignment="1">
      <alignment horizontal="center" vertical="center"/>
    </xf>
    <xf numFmtId="43" fontId="38" fillId="13" borderId="44" xfId="286" applyFont="1" applyFill="1" applyBorder="1" applyAlignment="1">
      <alignment horizontal="center" vertical="center"/>
    </xf>
    <xf numFmtId="0" fontId="38" fillId="13" borderId="37" xfId="4" applyFont="1" applyFill="1" applyBorder="1" applyAlignment="1">
      <alignment horizontal="center" vertical="center"/>
    </xf>
    <xf numFmtId="178" fontId="38" fillId="0" borderId="54" xfId="4" applyNumberFormat="1" applyFont="1" applyBorder="1" applyAlignment="1">
      <alignment horizontal="center" vertical="center"/>
    </xf>
    <xf numFmtId="0" fontId="38" fillId="0" borderId="54" xfId="4" applyFont="1" applyBorder="1" applyAlignment="1">
      <alignment horizontal="center" vertical="center"/>
    </xf>
    <xf numFmtId="0" fontId="38" fillId="0" borderId="54" xfId="4" applyFont="1" applyBorder="1" applyAlignment="1">
      <alignment horizontal="center" vertical="center" wrapText="1"/>
    </xf>
    <xf numFmtId="178" fontId="38" fillId="0" borderId="47" xfId="160" applyNumberFormat="1" applyFont="1" applyBorder="1" applyAlignment="1">
      <alignment horizontal="right"/>
    </xf>
    <xf numFmtId="43" fontId="38" fillId="0" borderId="48" xfId="286" applyFont="1" applyBorder="1" applyAlignment="1">
      <alignment horizontal="center" vertical="center"/>
    </xf>
    <xf numFmtId="0" fontId="38" fillId="13" borderId="31" xfId="4" applyFont="1" applyFill="1" applyBorder="1" applyAlignment="1">
      <alignment horizontal="center" vertical="center"/>
    </xf>
    <xf numFmtId="1" fontId="38" fillId="13" borderId="31" xfId="4" applyNumberFormat="1" applyFont="1" applyFill="1" applyBorder="1" applyAlignment="1">
      <alignment horizontal="center" vertical="center"/>
    </xf>
    <xf numFmtId="178" fontId="38" fillId="13" borderId="31" xfId="4" applyNumberFormat="1" applyFont="1" applyFill="1" applyBorder="1" applyAlignment="1">
      <alignment horizontal="center" vertical="center"/>
    </xf>
    <xf numFmtId="180" fontId="38" fillId="0" borderId="52" xfId="341" applyNumberFormat="1" applyFont="1" applyFill="1" applyBorder="1" applyAlignment="1">
      <alignment horizontal="center" vertical="center"/>
    </xf>
    <xf numFmtId="43" fontId="38" fillId="0" borderId="44" xfId="286" applyFont="1" applyBorder="1" applyAlignment="1">
      <alignment horizontal="center" vertical="center"/>
    </xf>
    <xf numFmtId="185" fontId="38" fillId="0" borderId="45" xfId="4" applyNumberFormat="1" applyFont="1" applyBorder="1" applyAlignment="1">
      <alignment horizontal="center" vertical="center"/>
    </xf>
    <xf numFmtId="0" fontId="38" fillId="0" borderId="44" xfId="4" applyFont="1" applyBorder="1" applyAlignment="1">
      <alignment horizontal="center" vertical="center" wrapText="1"/>
    </xf>
    <xf numFmtId="0" fontId="38" fillId="0" borderId="2" xfId="160" applyFont="1" applyBorder="1" applyAlignment="1"/>
    <xf numFmtId="0" fontId="38" fillId="17" borderId="44" xfId="4" applyFont="1" applyFill="1" applyBorder="1" applyAlignment="1">
      <alignment horizontal="center" vertical="center"/>
    </xf>
    <xf numFmtId="0" fontId="38" fillId="17" borderId="64" xfId="4" applyFont="1" applyFill="1" applyBorder="1" applyAlignment="1">
      <alignment horizontal="center" vertical="center"/>
    </xf>
    <xf numFmtId="0" fontId="38" fillId="0" borderId="47" xfId="160" applyFont="1" applyBorder="1" applyAlignment="1"/>
    <xf numFmtId="185" fontId="38" fillId="0" borderId="48" xfId="4" applyNumberFormat="1" applyFont="1" applyBorder="1" applyAlignment="1">
      <alignment horizontal="center" vertical="center"/>
    </xf>
    <xf numFmtId="0" fontId="38" fillId="17" borderId="3" xfId="4" applyFont="1" applyFill="1" applyBorder="1" applyAlignment="1">
      <alignment horizontal="center" vertical="center"/>
    </xf>
    <xf numFmtId="0" fontId="38" fillId="0" borderId="43" xfId="160" applyFont="1" applyBorder="1" applyAlignment="1"/>
    <xf numFmtId="0" fontId="38" fillId="0" borderId="0" xfId="4" applyFont="1" applyAlignment="1">
      <alignment horizontal="center" vertical="center"/>
    </xf>
    <xf numFmtId="0" fontId="38" fillId="0" borderId="0" xfId="160" applyFont="1" applyAlignment="1"/>
    <xf numFmtId="0" fontId="38" fillId="0" borderId="7" xfId="4" applyFont="1" applyBorder="1" applyAlignment="1">
      <alignment horizontal="center"/>
    </xf>
    <xf numFmtId="178" fontId="38" fillId="13" borderId="64" xfId="4" applyNumberFormat="1" applyFont="1" applyFill="1" applyBorder="1" applyAlignment="1">
      <alignment horizontal="right"/>
    </xf>
    <xf numFmtId="180" fontId="38" fillId="0" borderId="6" xfId="341" applyNumberFormat="1" applyFont="1" applyFill="1" applyBorder="1" applyAlignment="1">
      <alignment horizontal="center" vertical="center"/>
    </xf>
    <xf numFmtId="180" fontId="38" fillId="0" borderId="64" xfId="341" applyNumberFormat="1" applyFont="1" applyBorder="1" applyAlignment="1">
      <alignment horizontal="center" vertical="center"/>
    </xf>
    <xf numFmtId="0" fontId="38" fillId="0" borderId="37" xfId="197" applyFont="1" applyBorder="1" applyAlignment="1">
      <alignment horizontal="center" vertical="center"/>
    </xf>
    <xf numFmtId="185" fontId="38" fillId="0" borderId="49" xfId="4" applyNumberFormat="1" applyFont="1" applyBorder="1" applyAlignment="1">
      <alignment horizontal="center" vertical="center"/>
    </xf>
    <xf numFmtId="1" fontId="38" fillId="4" borderId="1" xfId="197" applyNumberFormat="1" applyFont="1" applyFill="1" applyBorder="1" applyAlignment="1">
      <alignment horizontal="center" vertical="center"/>
    </xf>
    <xf numFmtId="183" fontId="38" fillId="0" borderId="49" xfId="4" applyNumberFormat="1" applyFont="1" applyBorder="1" applyAlignment="1">
      <alignment horizontal="center" vertical="center"/>
    </xf>
    <xf numFmtId="0" fontId="38" fillId="0" borderId="37" xfId="197" applyFont="1" applyBorder="1" applyAlignment="1">
      <alignment horizontal="center" vertical="center" wrapText="1"/>
    </xf>
    <xf numFmtId="183" fontId="38" fillId="0" borderId="38" xfId="197" applyNumberFormat="1" applyFont="1" applyBorder="1" applyAlignment="1">
      <alignment horizontal="center" vertical="center"/>
    </xf>
    <xf numFmtId="0" fontId="38" fillId="0" borderId="38" xfId="197" applyFont="1" applyBorder="1" applyAlignment="1">
      <alignment horizontal="center" vertical="center" wrapText="1"/>
    </xf>
    <xf numFmtId="0" fontId="38" fillId="0" borderId="36" xfId="4" applyFont="1" applyBorder="1" applyAlignment="1">
      <alignment horizontal="center"/>
    </xf>
    <xf numFmtId="0" fontId="16" fillId="0" borderId="36" xfId="1" applyFont="1" applyBorder="1" applyAlignment="1">
      <alignment horizontal="center" vertical="center"/>
    </xf>
    <xf numFmtId="1" fontId="38" fillId="13" borderId="36" xfId="4" applyNumberFormat="1" applyFont="1" applyFill="1" applyBorder="1" applyAlignment="1">
      <alignment horizontal="center" vertical="center"/>
    </xf>
    <xf numFmtId="178" fontId="38" fillId="13" borderId="36" xfId="4" applyNumberFormat="1" applyFont="1" applyFill="1" applyBorder="1" applyAlignment="1">
      <alignment horizontal="center" vertical="center"/>
    </xf>
    <xf numFmtId="180" fontId="38" fillId="0" borderId="48" xfId="341" applyNumberFormat="1" applyFont="1" applyFill="1" applyBorder="1" applyAlignment="1">
      <alignment horizontal="center" vertical="center"/>
    </xf>
    <xf numFmtId="185" fontId="38" fillId="0" borderId="36" xfId="4" applyNumberFormat="1" applyFont="1" applyBorder="1" applyAlignment="1">
      <alignment horizontal="center" vertical="center"/>
    </xf>
    <xf numFmtId="0" fontId="38" fillId="0" borderId="36" xfId="160" applyFont="1" applyBorder="1" applyAlignment="1"/>
    <xf numFmtId="0" fontId="38" fillId="0" borderId="0" xfId="4" applyFont="1" applyAlignment="1">
      <alignment vertical="center" wrapText="1"/>
    </xf>
    <xf numFmtId="0" fontId="38" fillId="0" borderId="2" xfId="4" applyFont="1" applyBorder="1">
      <alignment vertical="center"/>
    </xf>
    <xf numFmtId="0" fontId="38" fillId="0" borderId="53" xfId="4" applyFont="1" applyBorder="1" applyAlignment="1">
      <alignment horizontal="center"/>
    </xf>
    <xf numFmtId="178" fontId="38" fillId="0" borderId="62" xfId="160" applyNumberFormat="1" applyFont="1" applyBorder="1" applyAlignment="1">
      <alignment horizontal="right"/>
    </xf>
    <xf numFmtId="1" fontId="38" fillId="4" borderId="67" xfId="4" applyNumberFormat="1" applyFont="1" applyFill="1" applyBorder="1" applyAlignment="1">
      <alignment horizontal="center" vertical="center"/>
    </xf>
    <xf numFmtId="183" fontId="38" fillId="0" borderId="67" xfId="4" applyNumberFormat="1" applyFont="1" applyBorder="1" applyAlignment="1">
      <alignment horizontal="center" vertical="center"/>
    </xf>
    <xf numFmtId="180" fontId="38" fillId="0" borderId="67" xfId="341" applyNumberFormat="1" applyFont="1" applyBorder="1" applyAlignment="1">
      <alignment horizontal="center" vertical="center"/>
    </xf>
    <xf numFmtId="0" fontId="38" fillId="0" borderId="45" xfId="4" applyFont="1" applyBorder="1" applyAlignment="1">
      <alignment horizontal="center" vertical="center"/>
    </xf>
    <xf numFmtId="1" fontId="38" fillId="4" borderId="54" xfId="4" applyNumberFormat="1" applyFont="1" applyFill="1" applyBorder="1" applyAlignment="1">
      <alignment horizontal="center" vertical="center"/>
    </xf>
    <xf numFmtId="0" fontId="38" fillId="0" borderId="1" xfId="4" applyFont="1" applyBorder="1" applyAlignment="1">
      <alignment horizontal="center"/>
    </xf>
    <xf numFmtId="0" fontId="13" fillId="0" borderId="72" xfId="97" applyFont="1" applyBorder="1" applyAlignment="1">
      <alignment vertical="center"/>
    </xf>
    <xf numFmtId="0" fontId="13" fillId="0" borderId="73" xfId="97" applyFont="1" applyBorder="1" applyAlignment="1">
      <alignment vertical="center"/>
    </xf>
    <xf numFmtId="0" fontId="13" fillId="0" borderId="74" xfId="97" applyFont="1" applyBorder="1" applyAlignment="1">
      <alignment horizontal="left" vertical="center"/>
    </xf>
    <xf numFmtId="176" fontId="13" fillId="15" borderId="75" xfId="237" applyNumberFormat="1" applyFont="1" applyFill="1" applyBorder="1" applyAlignment="1">
      <alignment horizontal="center" vertical="center"/>
    </xf>
    <xf numFmtId="2" fontId="4" fillId="17" borderId="75" xfId="97" applyNumberFormat="1" applyFont="1" applyFill="1" applyBorder="1" applyAlignment="1">
      <alignment horizontal="center" vertical="center"/>
    </xf>
    <xf numFmtId="43" fontId="13" fillId="0" borderId="74" xfId="237" applyFont="1" applyBorder="1" applyAlignment="1">
      <alignment horizontal="center" vertical="center"/>
    </xf>
    <xf numFmtId="0" fontId="13" fillId="0" borderId="74" xfId="97" applyFont="1" applyBorder="1" applyAlignment="1">
      <alignment horizontal="center" vertical="center"/>
    </xf>
    <xf numFmtId="1" fontId="13" fillId="0" borderId="75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3" fillId="0" borderId="1" xfId="97" applyFont="1" applyBorder="1" applyAlignment="1">
      <alignment horizontal="left" vertical="center"/>
    </xf>
    <xf numFmtId="0" fontId="13" fillId="0" borderId="2" xfId="97" applyFont="1" applyBorder="1" applyAlignment="1">
      <alignment horizontal="left" vertical="center"/>
    </xf>
    <xf numFmtId="178" fontId="13" fillId="0" borderId="3" xfId="97" applyNumberFormat="1" applyFont="1" applyBorder="1" applyAlignment="1">
      <alignment horizontal="center" vertical="center"/>
    </xf>
    <xf numFmtId="2" fontId="19" fillId="0" borderId="3" xfId="97" applyNumberFormat="1" applyFont="1" applyBorder="1" applyAlignment="1">
      <alignment horizontal="center" vertical="center"/>
    </xf>
    <xf numFmtId="43" fontId="13" fillId="0" borderId="2" xfId="97" applyNumberFormat="1" applyFont="1" applyBorder="1" applyAlignment="1">
      <alignment horizontal="center" vertical="center"/>
    </xf>
    <xf numFmtId="0" fontId="13" fillId="0" borderId="2" xfId="97" applyFont="1" applyBorder="1" applyAlignment="1">
      <alignment horizontal="center" vertical="center"/>
    </xf>
    <xf numFmtId="0" fontId="13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1" fillId="3" borderId="37" xfId="97" applyFont="1" applyFill="1" applyBorder="1" applyAlignment="1">
      <alignment horizontal="center" vertical="center"/>
    </xf>
    <xf numFmtId="0" fontId="4" fillId="0" borderId="37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3" xfId="97" applyFont="1" applyFill="1" applyBorder="1" applyAlignment="1">
      <alignment horizontal="center"/>
    </xf>
    <xf numFmtId="0" fontId="4" fillId="0" borderId="3" xfId="160" applyFont="1" applyFill="1" applyBorder="1" applyAlignment="1">
      <alignment vertical="top"/>
    </xf>
    <xf numFmtId="0" fontId="4" fillId="0" borderId="53" xfId="160" applyFont="1" applyFill="1" applyBorder="1" applyAlignment="1">
      <alignment vertical="top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7" xfId="97" applyNumberFormat="1" applyFont="1" applyFill="1" applyBorder="1" applyAlignment="1">
      <alignment horizontal="center" vertical="center"/>
    </xf>
    <xf numFmtId="1" fontId="4" fillId="0" borderId="37" xfId="97" applyNumberFormat="1" applyFont="1" applyBorder="1" applyAlignment="1">
      <alignment horizontal="center" vertical="center"/>
    </xf>
    <xf numFmtId="178" fontId="4" fillId="0" borderId="37" xfId="97" applyNumberFormat="1" applyFont="1" applyBorder="1" applyAlignment="1">
      <alignment horizontal="center" vertical="center"/>
    </xf>
    <xf numFmtId="185" fontId="4" fillId="0" borderId="37" xfId="97" applyNumberFormat="1" applyFont="1" applyBorder="1" applyAlignment="1">
      <alignment horizontal="center" vertical="center"/>
    </xf>
    <xf numFmtId="0" fontId="4" fillId="0" borderId="37" xfId="97" applyFont="1" applyBorder="1" applyAlignment="1">
      <alignment horizontal="center" vertical="center" wrapText="1"/>
    </xf>
    <xf numFmtId="20" fontId="4" fillId="0" borderId="37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4" xfId="97" applyFont="1" applyFill="1" applyBorder="1" applyAlignment="1">
      <alignment horizontal="center"/>
    </xf>
    <xf numFmtId="0" fontId="4" fillId="0" borderId="3" xfId="97" applyFont="1" applyBorder="1" applyAlignment="1">
      <alignment horizontal="center" vertical="center"/>
    </xf>
    <xf numFmtId="0" fontId="4" fillId="0" borderId="0" xfId="97" applyFont="1" applyFill="1" applyBorder="1" applyAlignment="1">
      <alignment horizontal="center"/>
    </xf>
    <xf numFmtId="0" fontId="4" fillId="0" borderId="58" xfId="160" applyFont="1" applyFill="1" applyBorder="1" applyAlignment="1">
      <alignment vertical="top"/>
    </xf>
    <xf numFmtId="0" fontId="4" fillId="0" borderId="0" xfId="97" applyFont="1" applyBorder="1" applyAlignment="1">
      <alignment horizontal="center"/>
    </xf>
    <xf numFmtId="2" fontId="4" fillId="13" borderId="2" xfId="97" applyNumberFormat="1" applyFont="1" applyFill="1" applyBorder="1" applyAlignment="1">
      <alignment horizontal="right"/>
    </xf>
    <xf numFmtId="178" fontId="4" fillId="13" borderId="5" xfId="97" applyNumberFormat="1" applyFont="1" applyFill="1" applyBorder="1" applyAlignment="1">
      <alignment horizontal="center" vertical="center"/>
    </xf>
    <xf numFmtId="43" fontId="4" fillId="13" borderId="3" xfId="237" applyFont="1" applyFill="1" applyBorder="1" applyAlignment="1">
      <alignment horizontal="center" vertical="center"/>
    </xf>
    <xf numFmtId="0" fontId="4" fillId="13" borderId="3" xfId="97" applyFont="1" applyFill="1" applyBorder="1" applyAlignment="1">
      <alignment horizontal="center" vertical="center" wrapText="1"/>
    </xf>
    <xf numFmtId="1" fontId="4" fillId="13" borderId="37" xfId="97" applyNumberFormat="1" applyFont="1" applyFill="1" applyBorder="1" applyAlignment="1">
      <alignment horizontal="center" vertical="center"/>
    </xf>
    <xf numFmtId="178" fontId="4" fillId="13" borderId="37" xfId="97" applyNumberFormat="1" applyFont="1" applyFill="1" applyBorder="1" applyAlignment="1">
      <alignment horizontal="center" vertical="center"/>
    </xf>
    <xf numFmtId="0" fontId="4" fillId="0" borderId="8" xfId="97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0" borderId="4" xfId="97" applyFont="1" applyFill="1" applyBorder="1" applyAlignment="1">
      <alignment horizontal="center" vertical="center"/>
    </xf>
    <xf numFmtId="0" fontId="4" fillId="0" borderId="0" xfId="97" applyFont="1" applyFill="1" applyBorder="1" applyAlignment="1">
      <alignment horizontal="center" vertical="center"/>
    </xf>
    <xf numFmtId="0" fontId="4" fillId="0" borderId="58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13" borderId="3" xfId="97" applyFont="1" applyFill="1" applyBorder="1" applyAlignment="1">
      <alignment horizontal="center" vertical="center"/>
    </xf>
    <xf numFmtId="0" fontId="4" fillId="0" borderId="10" xfId="97" applyFont="1" applyBorder="1" applyAlignment="1">
      <alignment horizontal="center" vertical="top"/>
    </xf>
    <xf numFmtId="0" fontId="4" fillId="0" borderId="3" xfId="97" applyFont="1" applyBorder="1" applyAlignment="1">
      <alignment horizontal="left" vertical="top"/>
    </xf>
    <xf numFmtId="0" fontId="4" fillId="0" borderId="89" xfId="97" applyFont="1" applyBorder="1" applyAlignment="1">
      <alignment horizontal="left" vertical="top"/>
    </xf>
    <xf numFmtId="0" fontId="4" fillId="0" borderId="3" xfId="97" applyFont="1" applyBorder="1" applyAlignment="1">
      <alignment horizontal="center" vertical="top"/>
    </xf>
    <xf numFmtId="0" fontId="4" fillId="0" borderId="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center"/>
    </xf>
    <xf numFmtId="0" fontId="4" fillId="0" borderId="4" xfId="97" applyFont="1" applyBorder="1" applyAlignment="1">
      <alignment horizontal="center" vertical="center"/>
    </xf>
    <xf numFmtId="0" fontId="4" fillId="0" borderId="3" xfId="97" applyFont="1" applyFill="1" applyBorder="1" applyAlignment="1">
      <alignment horizontal="center" vertical="center"/>
    </xf>
    <xf numFmtId="0" fontId="4" fillId="0" borderId="36" xfId="97" applyFont="1" applyBorder="1" applyAlignment="1">
      <alignment horizontal="center" vertical="top"/>
    </xf>
    <xf numFmtId="0" fontId="4" fillId="0" borderId="1" xfId="97" applyFont="1" applyBorder="1" applyAlignment="1">
      <alignment horizontal="center" vertical="center"/>
    </xf>
    <xf numFmtId="0" fontId="4" fillId="0" borderId="58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1" fontId="4" fillId="13" borderId="1" xfId="97" applyNumberFormat="1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0" fontId="4" fillId="0" borderId="2" xfId="97" applyFont="1" applyFill="1" applyBorder="1" applyAlignment="1">
      <alignment horizontal="center" vertical="top"/>
    </xf>
    <xf numFmtId="0" fontId="4" fillId="17" borderId="37" xfId="97" applyFont="1" applyFill="1" applyBorder="1" applyAlignment="1">
      <alignment horizontal="center" vertical="center" wrapText="1"/>
    </xf>
    <xf numFmtId="0" fontId="4" fillId="0" borderId="2" xfId="97" applyFont="1" applyBorder="1" applyAlignment="1">
      <alignment horizontal="left" vertical="top"/>
    </xf>
    <xf numFmtId="0" fontId="4" fillId="0" borderId="4" xfId="97" applyFont="1" applyBorder="1" applyAlignment="1">
      <alignment horizontal="left" vertical="center"/>
    </xf>
    <xf numFmtId="0" fontId="4" fillId="0" borderId="48" xfId="97" applyFont="1" applyBorder="1" applyAlignment="1">
      <alignment horizontal="left" vertical="top"/>
    </xf>
    <xf numFmtId="0" fontId="4" fillId="0" borderId="90" xfId="97" applyFont="1" applyBorder="1" applyAlignment="1">
      <alignment horizontal="left" vertical="top"/>
    </xf>
    <xf numFmtId="0" fontId="4" fillId="0" borderId="36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0" xfId="97" applyFont="1" applyBorder="1" applyAlignment="1">
      <alignment horizontal="center" vertical="center"/>
    </xf>
    <xf numFmtId="0" fontId="4" fillId="0" borderId="42" xfId="97" applyFont="1" applyBorder="1" applyAlignment="1">
      <alignment horizontal="center" vertical="center"/>
    </xf>
    <xf numFmtId="0" fontId="4" fillId="0" borderId="42" xfId="97" applyFont="1" applyBorder="1" applyAlignment="1">
      <alignment horizontal="left" vertical="top"/>
    </xf>
    <xf numFmtId="0" fontId="4" fillId="0" borderId="45" xfId="97" applyFont="1" applyBorder="1" applyAlignment="1">
      <alignment horizontal="left" vertical="top"/>
    </xf>
    <xf numFmtId="0" fontId="16" fillId="0" borderId="3" xfId="1" applyFont="1" applyBorder="1" applyAlignment="1">
      <alignment horizontal="center" vertical="center" wrapText="1"/>
    </xf>
    <xf numFmtId="43" fontId="4" fillId="13" borderId="37" xfId="237" applyFont="1" applyFill="1" applyBorder="1" applyAlignment="1">
      <alignment horizontal="center" vertical="center"/>
    </xf>
    <xf numFmtId="0" fontId="4" fillId="13" borderId="42" xfId="97" applyFont="1" applyFill="1" applyBorder="1" applyAlignment="1">
      <alignment horizontal="center" vertical="center" wrapText="1"/>
    </xf>
    <xf numFmtId="185" fontId="4" fillId="0" borderId="37" xfId="97" applyNumberFormat="1" applyFont="1" applyBorder="1" applyAlignment="1">
      <alignment horizontal="left" vertical="center"/>
    </xf>
    <xf numFmtId="0" fontId="4" fillId="0" borderId="92" xfId="97" applyFont="1" applyFill="1" applyBorder="1" applyAlignment="1">
      <alignment vertical="center"/>
    </xf>
    <xf numFmtId="0" fontId="4" fillId="0" borderId="93" xfId="97" applyFont="1" applyBorder="1" applyAlignment="1">
      <alignment horizontal="left" vertical="top"/>
    </xf>
    <xf numFmtId="0" fontId="4" fillId="0" borderId="1" xfId="97" applyFont="1" applyBorder="1" applyAlignment="1">
      <alignment vertical="top"/>
    </xf>
    <xf numFmtId="0" fontId="4" fillId="0" borderId="42" xfId="9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0" fontId="16" fillId="0" borderId="33" xfId="1" applyFont="1" applyBorder="1" applyAlignment="1">
      <alignment horizontal="center" vertical="center" wrapText="1"/>
    </xf>
    <xf numFmtId="0" fontId="4" fillId="0" borderId="94" xfId="97" applyFont="1" applyFill="1" applyBorder="1" applyAlignment="1">
      <alignment vertical="center"/>
    </xf>
    <xf numFmtId="0" fontId="4" fillId="0" borderId="8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58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0" xfId="97" applyFont="1" applyFill="1" applyBorder="1" applyAlignment="1">
      <alignment horizontal="center" vertical="top"/>
    </xf>
    <xf numFmtId="0" fontId="4" fillId="0" borderId="65" xfId="97" applyFont="1" applyFill="1" applyBorder="1" applyAlignment="1">
      <alignment vertical="center"/>
    </xf>
    <xf numFmtId="0" fontId="16" fillId="0" borderId="1" xfId="1" applyFont="1" applyBorder="1" applyAlignment="1">
      <alignment horizontal="center" vertical="center" wrapText="1"/>
    </xf>
    <xf numFmtId="0" fontId="4" fillId="0" borderId="10" xfId="97" applyFont="1" applyBorder="1" applyAlignment="1">
      <alignment horizontal="center"/>
    </xf>
    <xf numFmtId="0" fontId="4" fillId="0" borderId="31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/>
    </xf>
    <xf numFmtId="0" fontId="4" fillId="0" borderId="53" xfId="97" applyFont="1" applyBorder="1" applyAlignment="1">
      <alignment horizontal="center"/>
    </xf>
    <xf numFmtId="0" fontId="4" fillId="0" borderId="53" xfId="97" applyFont="1" applyBorder="1" applyAlignment="1"/>
    <xf numFmtId="0" fontId="4" fillId="13" borderId="2" xfId="97" applyFont="1" applyFill="1" applyBorder="1" applyAlignment="1">
      <alignment horizontal="center" vertical="center"/>
    </xf>
    <xf numFmtId="43" fontId="4" fillId="0" borderId="2" xfId="23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43" fontId="16" fillId="0" borderId="2" xfId="237" applyFont="1" applyBorder="1" applyAlignment="1">
      <alignment horizontal="center" vertical="center"/>
    </xf>
    <xf numFmtId="0" fontId="4" fillId="0" borderId="53" xfId="97" applyFont="1" applyBorder="1" applyAlignment="1">
      <alignment vertical="top"/>
    </xf>
    <xf numFmtId="185" fontId="4" fillId="0" borderId="37" xfId="97" quotePrefix="1" applyNumberFormat="1" applyFont="1" applyBorder="1" applyAlignment="1">
      <alignment horizontal="center" vertical="center"/>
    </xf>
    <xf numFmtId="178" fontId="4" fillId="13" borderId="2" xfId="97" applyNumberFormat="1" applyFont="1" applyFill="1" applyBorder="1" applyAlignment="1">
      <alignment horizontal="center" vertical="center"/>
    </xf>
    <xf numFmtId="43" fontId="4" fillId="13" borderId="2" xfId="237" applyFont="1" applyFill="1" applyBorder="1" applyAlignment="1">
      <alignment horizontal="center" vertical="center"/>
    </xf>
    <xf numFmtId="0" fontId="4" fillId="0" borderId="58" xfId="97" applyFont="1" applyBorder="1" applyAlignment="1">
      <alignment horizontal="center"/>
    </xf>
    <xf numFmtId="43" fontId="4" fillId="13" borderId="4" xfId="237" applyFont="1" applyFill="1" applyBorder="1" applyAlignment="1">
      <alignment horizontal="center" vertical="center"/>
    </xf>
    <xf numFmtId="0" fontId="16" fillId="0" borderId="89" xfId="1" applyFont="1" applyBorder="1" applyAlignment="1">
      <alignment horizontal="center" vertical="center" wrapText="1"/>
    </xf>
    <xf numFmtId="0" fontId="4" fillId="0" borderId="89" xfId="97" applyFont="1" applyBorder="1" applyAlignment="1">
      <alignment horizontal="center"/>
    </xf>
    <xf numFmtId="2" fontId="4" fillId="13" borderId="2" xfId="160" applyNumberFormat="1" applyFont="1" applyFill="1" applyBorder="1" applyAlignment="1">
      <alignment horizontal="center" vertical="top"/>
    </xf>
    <xf numFmtId="0" fontId="4" fillId="13" borderId="31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/>
    </xf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0" borderId="10" xfId="97" applyFont="1" applyBorder="1" applyAlignment="1"/>
    <xf numFmtId="0" fontId="4" fillId="0" borderId="89" xfId="97" applyFont="1" applyBorder="1" applyAlignment="1"/>
    <xf numFmtId="0" fontId="13" fillId="0" borderId="95" xfId="97" applyFont="1" applyBorder="1" applyAlignment="1">
      <alignment vertical="center"/>
    </xf>
    <xf numFmtId="0" fontId="13" fillId="0" borderId="2" xfId="97" applyFont="1" applyBorder="1" applyAlignment="1">
      <alignment vertical="center"/>
    </xf>
    <xf numFmtId="0" fontId="13" fillId="0" borderId="73" xfId="97" applyFont="1" applyBorder="1" applyAlignment="1">
      <alignment horizontal="left" vertical="center"/>
    </xf>
    <xf numFmtId="0" fontId="4" fillId="0" borderId="47" xfId="97" applyFont="1" applyBorder="1" applyAlignment="1">
      <alignment horizontal="left" vertical="top"/>
    </xf>
    <xf numFmtId="0" fontId="4" fillId="0" borderId="46" xfId="97" applyFont="1" applyBorder="1" applyAlignment="1">
      <alignment horizontal="left" vertical="top"/>
    </xf>
    <xf numFmtId="0" fontId="4" fillId="0" borderId="96" xfId="97" applyFont="1" applyFill="1" applyBorder="1" applyAlignment="1">
      <alignment vertical="center"/>
    </xf>
    <xf numFmtId="0" fontId="4" fillId="0" borderId="46" xfId="97" applyFont="1" applyFill="1" applyBorder="1" applyAlignment="1">
      <alignment vertical="center"/>
    </xf>
    <xf numFmtId="0" fontId="4" fillId="0" borderId="2" xfId="97" applyFont="1" applyBorder="1">
      <alignment vertical="center"/>
    </xf>
    <xf numFmtId="0" fontId="9" fillId="3" borderId="1" xfId="4" applyFont="1" applyFill="1" applyBorder="1" applyAlignment="1">
      <alignment horizontal="center" vertical="center"/>
    </xf>
    <xf numFmtId="0" fontId="9" fillId="3" borderId="2" xfId="4" applyFont="1" applyFill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1" fontId="11" fillId="0" borderId="2" xfId="1" applyNumberFormat="1" applyFont="1" applyBorder="1" applyAlignment="1">
      <alignment horizontal="center" vertical="center"/>
    </xf>
    <xf numFmtId="0" fontId="11" fillId="0" borderId="2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 textRotation="255"/>
    </xf>
    <xf numFmtId="0" fontId="4" fillId="0" borderId="21" xfId="1" applyFont="1" applyBorder="1" applyAlignment="1">
      <alignment horizontal="center" vertical="center" textRotation="255"/>
    </xf>
    <xf numFmtId="0" fontId="4" fillId="0" borderId="22" xfId="1" applyFont="1" applyBorder="1" applyAlignment="1">
      <alignment horizontal="center" vertical="center" textRotation="255"/>
    </xf>
    <xf numFmtId="0" fontId="4" fillId="0" borderId="20" xfId="1" applyFont="1" applyBorder="1" applyAlignment="1">
      <alignment horizontal="center" vertical="center" wrapText="1"/>
    </xf>
    <xf numFmtId="0" fontId="4" fillId="0" borderId="22" xfId="1" applyFont="1" applyBorder="1" applyAlignment="1">
      <alignment horizontal="center" vertical="center" wrapText="1"/>
    </xf>
    <xf numFmtId="0" fontId="4" fillId="0" borderId="23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0" fontId="4" fillId="0" borderId="25" xfId="1" applyFont="1" applyBorder="1" applyAlignment="1">
      <alignment horizontal="center" vertical="center"/>
    </xf>
    <xf numFmtId="0" fontId="4" fillId="0" borderId="28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5" borderId="29" xfId="1" applyFont="1" applyFill="1" applyBorder="1" applyAlignment="1">
      <alignment horizontal="center" vertical="center"/>
    </xf>
    <xf numFmtId="0" fontId="4" fillId="5" borderId="28" xfId="1" applyFont="1" applyFill="1" applyBorder="1" applyAlignment="1">
      <alignment horizontal="center" vertical="center"/>
    </xf>
    <xf numFmtId="0" fontId="4" fillId="5" borderId="30" xfId="1" applyFont="1" applyFill="1" applyBorder="1" applyAlignment="1">
      <alignment horizontal="center" vertical="center"/>
    </xf>
    <xf numFmtId="0" fontId="4" fillId="9" borderId="29" xfId="1" applyFont="1" applyFill="1" applyBorder="1" applyAlignment="1">
      <alignment horizontal="center" vertical="center"/>
    </xf>
    <xf numFmtId="0" fontId="4" fillId="9" borderId="28" xfId="1" applyFont="1" applyFill="1" applyBorder="1" applyAlignment="1">
      <alignment horizontal="center" vertical="center"/>
    </xf>
    <xf numFmtId="0" fontId="4" fillId="9" borderId="30" xfId="1" applyFont="1" applyFill="1" applyBorder="1" applyAlignment="1">
      <alignment horizontal="center" vertical="center"/>
    </xf>
    <xf numFmtId="0" fontId="4" fillId="0" borderId="17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19" xfId="1" applyFont="1" applyBorder="1" applyAlignment="1">
      <alignment horizontal="center" vertical="center"/>
    </xf>
    <xf numFmtId="0" fontId="4" fillId="0" borderId="11" xfId="1" applyFont="1" applyBorder="1" applyAlignment="1">
      <alignment horizontal="center" vertical="center"/>
    </xf>
    <xf numFmtId="0" fontId="16" fillId="8" borderId="17" xfId="2" applyFont="1" applyFill="1" applyBorder="1" applyAlignment="1">
      <alignment horizontal="center" vertical="center" wrapText="1"/>
    </xf>
    <xf numFmtId="0" fontId="16" fillId="8" borderId="5" xfId="2" applyFont="1" applyFill="1" applyBorder="1" applyAlignment="1">
      <alignment horizontal="center" vertical="center" wrapText="1"/>
    </xf>
    <xf numFmtId="0" fontId="16" fillId="8" borderId="19" xfId="2" applyFont="1" applyFill="1" applyBorder="1" applyAlignment="1">
      <alignment horizontal="center" vertical="center" wrapText="1"/>
    </xf>
    <xf numFmtId="0" fontId="16" fillId="8" borderId="11" xfId="2" applyFont="1" applyFill="1" applyBorder="1" applyAlignment="1">
      <alignment horizontal="center" vertical="center" wrapText="1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80" fontId="12" fillId="0" borderId="3" xfId="5" applyNumberFormat="1" applyFont="1" applyFill="1" applyBorder="1" applyAlignment="1">
      <alignment horizontal="center" vertical="center"/>
    </xf>
    <xf numFmtId="180" fontId="12" fillId="0" borderId="1" xfId="5" applyNumberFormat="1" applyFont="1" applyFill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5" fillId="4" borderId="14" xfId="1" applyFont="1" applyFill="1" applyBorder="1" applyAlignment="1">
      <alignment horizontal="center" vertical="center"/>
    </xf>
    <xf numFmtId="0" fontId="5" fillId="4" borderId="15" xfId="1" applyFont="1" applyFill="1" applyBorder="1" applyAlignment="1">
      <alignment horizontal="center" vertical="center"/>
    </xf>
    <xf numFmtId="0" fontId="5" fillId="4" borderId="16" xfId="1" applyFont="1" applyFill="1" applyBorder="1" applyAlignment="1">
      <alignment horizontal="center" vertical="center"/>
    </xf>
    <xf numFmtId="179" fontId="5" fillId="0" borderId="3" xfId="3" applyNumberFormat="1" applyFont="1" applyBorder="1" applyAlignment="1">
      <alignment horizontal="center" vertical="center"/>
    </xf>
    <xf numFmtId="179" fontId="5" fillId="0" borderId="1" xfId="3" applyNumberFormat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3" applyNumberFormat="1" applyFont="1" applyFill="1" applyBorder="1" applyAlignment="1">
      <alignment horizontal="center" vertical="center"/>
    </xf>
    <xf numFmtId="178" fontId="12" fillId="7" borderId="1" xfId="3" applyNumberFormat="1" applyFont="1" applyFill="1" applyBorder="1" applyAlignment="1">
      <alignment horizontal="center" vertical="center"/>
    </xf>
    <xf numFmtId="179" fontId="12" fillId="7" borderId="3" xfId="3" applyNumberFormat="1" applyFont="1" applyFill="1" applyBorder="1" applyAlignment="1">
      <alignment horizontal="center" vertical="center"/>
    </xf>
    <xf numFmtId="179" fontId="12" fillId="7" borderId="1" xfId="3" applyNumberFormat="1" applyFont="1" applyFill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8" xfId="1" applyFont="1" applyBorder="1" applyAlignment="1">
      <alignment horizontal="center" vertical="center"/>
    </xf>
    <xf numFmtId="0" fontId="5" fillId="0" borderId="9" xfId="1" applyFont="1" applyBorder="1" applyAlignment="1">
      <alignment horizontal="center" vertical="center"/>
    </xf>
    <xf numFmtId="0" fontId="5" fillId="0" borderId="10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3" xfId="2" applyFont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76" fontId="5" fillId="4" borderId="3" xfId="3" applyNumberFormat="1" applyFont="1" applyFill="1" applyBorder="1" applyAlignment="1">
      <alignment horizontal="center" vertical="center"/>
    </xf>
    <xf numFmtId="176" fontId="5" fillId="4" borderId="1" xfId="3" applyNumberFormat="1" applyFont="1" applyFill="1" applyBorder="1" applyAlignment="1">
      <alignment horizontal="center" vertical="center"/>
    </xf>
    <xf numFmtId="176" fontId="5" fillId="5" borderId="3" xfId="3" applyNumberFormat="1" applyFont="1" applyFill="1" applyBorder="1" applyAlignment="1">
      <alignment horizontal="center" vertical="center"/>
    </xf>
    <xf numFmtId="176" fontId="5" fillId="5" borderId="1" xfId="3" applyNumberFormat="1" applyFont="1" applyFill="1" applyBorder="1" applyAlignment="1">
      <alignment horizontal="center" vertical="center"/>
    </xf>
    <xf numFmtId="176" fontId="5" fillId="6" borderId="3" xfId="3" applyNumberFormat="1" applyFont="1" applyFill="1" applyBorder="1" applyAlignment="1">
      <alignment horizontal="center" vertical="center"/>
    </xf>
    <xf numFmtId="176" fontId="5" fillId="6" borderId="1" xfId="3" applyNumberFormat="1" applyFon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8" fontId="5" fillId="0" borderId="1" xfId="1" applyNumberFormat="1" applyFont="1" applyBorder="1" applyAlignment="1">
      <alignment horizontal="center" vertical="center"/>
    </xf>
    <xf numFmtId="178" fontId="5" fillId="0" borderId="3" xfId="3" applyNumberFormat="1" applyFont="1" applyBorder="1" applyAlignment="1">
      <alignment horizontal="center" vertical="center"/>
    </xf>
    <xf numFmtId="178" fontId="5" fillId="0" borderId="1" xfId="3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center" vertical="center"/>
    </xf>
    <xf numFmtId="0" fontId="8" fillId="0" borderId="1" xfId="2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37" fillId="2" borderId="3" xfId="2" applyFont="1" applyFill="1" applyBorder="1" applyAlignment="1">
      <alignment horizontal="center" vertical="center"/>
    </xf>
    <xf numFmtId="0" fontId="37" fillId="2" borderId="1" xfId="2" applyFont="1" applyFill="1" applyBorder="1" applyAlignment="1">
      <alignment horizontal="center" vertical="center"/>
    </xf>
    <xf numFmtId="176" fontId="5" fillId="0" borderId="3" xfId="3" applyNumberFormat="1" applyFont="1" applyBorder="1" applyAlignment="1">
      <alignment horizontal="center" vertical="center"/>
    </xf>
    <xf numFmtId="176" fontId="5" fillId="0" borderId="1" xfId="3" applyNumberFormat="1" applyFont="1" applyBorder="1" applyAlignment="1">
      <alignment horizontal="center" vertical="center"/>
    </xf>
    <xf numFmtId="177" fontId="5" fillId="0" borderId="3" xfId="3" applyNumberFormat="1" applyFont="1" applyBorder="1" applyAlignment="1">
      <alignment horizontal="center" vertical="center"/>
    </xf>
    <xf numFmtId="177" fontId="5" fillId="0" borderId="1" xfId="3" applyNumberFormat="1" applyFont="1" applyBorder="1" applyAlignment="1">
      <alignment horizontal="center" vertical="center"/>
    </xf>
    <xf numFmtId="0" fontId="4" fillId="6" borderId="2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53" xfId="97" applyFont="1" applyBorder="1" applyAlignment="1"/>
    <xf numFmtId="0" fontId="4" fillId="13" borderId="2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3" borderId="36" xfId="97" applyFont="1" applyFill="1" applyBorder="1" applyAlignment="1"/>
    <xf numFmtId="0" fontId="4" fillId="19" borderId="83" xfId="97" applyFont="1" applyFill="1" applyBorder="1" applyAlignment="1">
      <alignment horizontal="center" vertical="center" wrapText="1"/>
    </xf>
    <xf numFmtId="0" fontId="4" fillId="19" borderId="85" xfId="97" applyFont="1" applyFill="1" applyBorder="1" applyAlignment="1">
      <alignment horizontal="center" vertical="center" wrapText="1"/>
    </xf>
    <xf numFmtId="0" fontId="4" fillId="19" borderId="86" xfId="97" applyFont="1" applyFill="1" applyBorder="1" applyAlignment="1">
      <alignment horizontal="center" vertical="center" wrapText="1"/>
    </xf>
    <xf numFmtId="0" fontId="4" fillId="13" borderId="3" xfId="97" applyFont="1" applyFill="1" applyBorder="1" applyAlignment="1"/>
    <xf numFmtId="0" fontId="4" fillId="13" borderId="1" xfId="97" applyFont="1" applyFill="1" applyBorder="1" applyAlignment="1"/>
    <xf numFmtId="0" fontId="4" fillId="25" borderId="88" xfId="97" applyFont="1" applyFill="1" applyBorder="1" applyAlignment="1">
      <alignment horizontal="center" vertical="center" wrapText="1"/>
    </xf>
    <xf numFmtId="0" fontId="4" fillId="13" borderId="53" xfId="97" applyFont="1" applyFill="1" applyBorder="1" applyAlignment="1"/>
    <xf numFmtId="0" fontId="4" fillId="13" borderId="89" xfId="97" applyFont="1" applyFill="1" applyBorder="1" applyAlignment="1"/>
    <xf numFmtId="0" fontId="4" fillId="14" borderId="91" xfId="97" applyFont="1" applyFill="1" applyBorder="1" applyAlignment="1">
      <alignment horizontal="center" vertical="center" wrapText="1"/>
    </xf>
    <xf numFmtId="0" fontId="4" fillId="14" borderId="86" xfId="97" applyFont="1" applyFill="1" applyBorder="1" applyAlignment="1">
      <alignment horizontal="center" vertical="center" wrapText="1"/>
    </xf>
    <xf numFmtId="0" fontId="4" fillId="14" borderId="87" xfId="97" applyFont="1" applyFill="1" applyBorder="1" applyAlignment="1">
      <alignment horizontal="center" vertical="center" wrapText="1"/>
    </xf>
    <xf numFmtId="0" fontId="4" fillId="13" borderId="37" xfId="97" applyFont="1" applyFill="1" applyBorder="1" applyAlignment="1"/>
    <xf numFmtId="0" fontId="4" fillId="23" borderId="88" xfId="97" applyFont="1" applyFill="1" applyBorder="1" applyAlignment="1">
      <alignment horizontal="center" vertical="center" wrapText="1"/>
    </xf>
    <xf numFmtId="0" fontId="4" fillId="8" borderId="88" xfId="97" applyFont="1" applyFill="1" applyBorder="1" applyAlignment="1">
      <alignment horizontal="center" vertical="center" wrapText="1"/>
    </xf>
    <xf numFmtId="0" fontId="4" fillId="8" borderId="88" xfId="97" applyFont="1" applyFill="1" applyBorder="1" applyAlignment="1">
      <alignment horizontal="center" vertical="center"/>
    </xf>
    <xf numFmtId="0" fontId="4" fillId="9" borderId="83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9" borderId="84" xfId="97" applyFont="1" applyFill="1" applyBorder="1" applyAlignment="1">
      <alignment horizontal="center" vertical="center" wrapText="1"/>
    </xf>
    <xf numFmtId="0" fontId="4" fillId="0" borderId="4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0" fontId="4" fillId="7" borderId="91" xfId="97" applyFont="1" applyFill="1" applyBorder="1" applyAlignment="1">
      <alignment horizontal="center" vertical="center" wrapText="1"/>
    </xf>
    <xf numFmtId="0" fontId="4" fillId="7" borderId="86" xfId="97" applyFont="1" applyFill="1" applyBorder="1" applyAlignment="1">
      <alignment horizontal="center" vertical="center" wrapText="1"/>
    </xf>
    <xf numFmtId="0" fontId="4" fillId="7" borderId="87" xfId="97" applyFont="1" applyFill="1" applyBorder="1" applyAlignment="1">
      <alignment horizontal="center" vertical="center" wrapText="1"/>
    </xf>
    <xf numFmtId="0" fontId="41" fillId="3" borderId="44" xfId="97" applyFont="1" applyFill="1" applyBorder="1" applyAlignment="1">
      <alignment horizontal="center" vertical="center"/>
    </xf>
    <xf numFmtId="0" fontId="4" fillId="4" borderId="85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4" borderId="84" xfId="97" applyFont="1" applyFill="1" applyBorder="1" applyAlignment="1">
      <alignment horizontal="center" vertical="center"/>
    </xf>
    <xf numFmtId="0" fontId="4" fillId="16" borderId="85" xfId="97" applyFont="1" applyFill="1" applyBorder="1" applyAlignment="1">
      <alignment horizontal="center" vertical="center" wrapText="1"/>
    </xf>
    <xf numFmtId="0" fontId="4" fillId="16" borderId="86" xfId="97" applyFont="1" applyFill="1" applyBorder="1" applyAlignment="1">
      <alignment horizontal="center" vertical="center" wrapText="1"/>
    </xf>
    <xf numFmtId="0" fontId="4" fillId="16" borderId="87" xfId="97" applyFont="1" applyFill="1" applyBorder="1" applyAlignment="1">
      <alignment horizontal="center" vertical="center" wrapText="1"/>
    </xf>
    <xf numFmtId="0" fontId="4" fillId="0" borderId="8" xfId="97" applyFont="1" applyBorder="1" applyAlignment="1">
      <alignment horizontal="left" vertical="center"/>
    </xf>
    <xf numFmtId="0" fontId="4" fillId="0" borderId="9" xfId="97" applyFont="1" applyBorder="1" applyAlignment="1">
      <alignment horizontal="left" vertical="center"/>
    </xf>
    <xf numFmtId="0" fontId="41" fillId="3" borderId="37" xfId="97" applyFont="1" applyFill="1" applyBorder="1" applyAlignment="1">
      <alignment horizontal="center" vertical="center"/>
    </xf>
    <xf numFmtId="0" fontId="4" fillId="16" borderId="44" xfId="97" applyFont="1" applyFill="1" applyBorder="1" applyAlignment="1">
      <alignment horizontal="center" vertical="center"/>
    </xf>
    <xf numFmtId="0" fontId="4" fillId="16" borderId="37" xfId="97" applyFont="1" applyFill="1" applyBorder="1" applyAlignment="1">
      <alignment horizontal="center" vertical="center"/>
    </xf>
    <xf numFmtId="0" fontId="4" fillId="22" borderId="44" xfId="97" applyFont="1" applyFill="1" applyBorder="1" applyAlignment="1">
      <alignment horizontal="center" vertical="center"/>
    </xf>
    <xf numFmtId="0" fontId="4" fillId="22" borderId="37" xfId="97" applyFont="1" applyFill="1" applyBorder="1" applyAlignment="1">
      <alignment horizontal="center" vertical="center"/>
    </xf>
    <xf numFmtId="0" fontId="4" fillId="0" borderId="44" xfId="97" applyFont="1" applyBorder="1" applyAlignment="1">
      <alignment horizontal="center" vertical="center"/>
    </xf>
    <xf numFmtId="0" fontId="4" fillId="0" borderId="44" xfId="97" applyFont="1" applyBorder="1" applyAlignment="1">
      <alignment horizontal="center" vertical="center" wrapText="1"/>
    </xf>
    <xf numFmtId="0" fontId="4" fillId="0" borderId="37" xfId="97" applyFont="1" applyBorder="1" applyAlignment="1">
      <alignment horizontal="center" vertical="center" wrapText="1"/>
    </xf>
    <xf numFmtId="0" fontId="45" fillId="0" borderId="76" xfId="97" applyFont="1" applyBorder="1" applyAlignment="1">
      <alignment horizontal="center" vertical="center"/>
    </xf>
    <xf numFmtId="0" fontId="45" fillId="0" borderId="77" xfId="97" applyFont="1" applyBorder="1" applyAlignment="1">
      <alignment horizontal="center" vertical="center"/>
    </xf>
    <xf numFmtId="0" fontId="45" fillId="0" borderId="78" xfId="97" applyFont="1" applyBorder="1" applyAlignment="1">
      <alignment horizontal="center" vertical="center"/>
    </xf>
    <xf numFmtId="0" fontId="45" fillId="0" borderId="80" xfId="97" applyFont="1" applyBorder="1" applyAlignment="1">
      <alignment horizontal="center" vertical="center"/>
    </xf>
    <xf numFmtId="0" fontId="45" fillId="0" borderId="81" xfId="97" applyFont="1" applyBorder="1" applyAlignment="1">
      <alignment horizontal="center" vertical="center"/>
    </xf>
    <xf numFmtId="0" fontId="45" fillId="0" borderId="82" xfId="97" applyFont="1" applyBorder="1" applyAlignment="1">
      <alignment horizontal="center" vertical="center"/>
    </xf>
    <xf numFmtId="0" fontId="13" fillId="0" borderId="79" xfId="97" applyFont="1" applyBorder="1" applyAlignment="1">
      <alignment horizontal="left" vertical="center"/>
    </xf>
    <xf numFmtId="0" fontId="13" fillId="0" borderId="1" xfId="97" applyFont="1" applyBorder="1" applyAlignment="1">
      <alignment horizontal="left" vertical="center"/>
    </xf>
    <xf numFmtId="0" fontId="4" fillId="0" borderId="83" xfId="97" applyFont="1" applyBorder="1" applyAlignment="1">
      <alignment horizontal="center" vertical="center"/>
    </xf>
    <xf numFmtId="0" fontId="4" fillId="0" borderId="84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41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8" fillId="0" borderId="2" xfId="4" applyFont="1" applyBorder="1" applyAlignment="1">
      <alignment horizontal="center" vertical="center"/>
    </xf>
    <xf numFmtId="0" fontId="38" fillId="13" borderId="2" xfId="4" applyFont="1" applyFill="1" applyBorder="1" applyAlignment="1"/>
    <xf numFmtId="0" fontId="21" fillId="7" borderId="2" xfId="4" applyFont="1" applyFill="1" applyBorder="1" applyAlignment="1">
      <alignment horizontal="center" vertical="center" wrapText="1"/>
    </xf>
    <xf numFmtId="180" fontId="38" fillId="0" borderId="2" xfId="341" applyNumberFormat="1" applyFont="1" applyBorder="1" applyAlignment="1">
      <alignment horizontal="center" vertical="center"/>
    </xf>
    <xf numFmtId="0" fontId="38" fillId="0" borderId="37" xfId="197" applyFont="1" applyBorder="1" applyAlignment="1">
      <alignment horizontal="center" vertical="center"/>
    </xf>
    <xf numFmtId="0" fontId="38" fillId="13" borderId="49" xfId="4" applyFont="1" applyFill="1" applyBorder="1" applyAlignment="1"/>
    <xf numFmtId="0" fontId="38" fillId="13" borderId="38" xfId="4" applyFont="1" applyFill="1" applyBorder="1" applyAlignment="1"/>
    <xf numFmtId="0" fontId="38" fillId="0" borderId="49" xfId="4" applyFont="1" applyBorder="1" applyAlignment="1">
      <alignment horizontal="center" vertical="center"/>
    </xf>
    <xf numFmtId="0" fontId="38" fillId="0" borderId="38" xfId="4" applyFont="1" applyBorder="1" applyAlignment="1">
      <alignment horizontal="center" vertical="center"/>
    </xf>
    <xf numFmtId="0" fontId="38" fillId="21" borderId="0" xfId="4" applyFont="1" applyFill="1" applyAlignment="1">
      <alignment horizontal="center" vertical="center" wrapText="1"/>
    </xf>
    <xf numFmtId="180" fontId="43" fillId="0" borderId="36" xfId="341" applyNumberFormat="1" applyFont="1" applyBorder="1" applyAlignment="1">
      <alignment horizontal="center" vertical="center"/>
    </xf>
    <xf numFmtId="180" fontId="43" fillId="0" borderId="57" xfId="341" applyNumberFormat="1" applyFont="1" applyBorder="1" applyAlignment="1">
      <alignment horizontal="center" vertical="center"/>
    </xf>
    <xf numFmtId="0" fontId="38" fillId="0" borderId="42" xfId="4" applyFont="1" applyBorder="1" applyAlignment="1">
      <alignment horizontal="center" vertical="center"/>
    </xf>
    <xf numFmtId="0" fontId="38" fillId="0" borderId="45" xfId="4" applyFont="1" applyBorder="1" applyAlignment="1">
      <alignment horizontal="center" vertical="center"/>
    </xf>
    <xf numFmtId="180" fontId="38" fillId="0" borderId="36" xfId="341" applyNumberFormat="1" applyFont="1" applyBorder="1" applyAlignment="1">
      <alignment horizontal="center" vertical="center"/>
    </xf>
    <xf numFmtId="0" fontId="38" fillId="0" borderId="37" xfId="4" applyFont="1" applyBorder="1" applyAlignment="1">
      <alignment horizontal="center" vertical="center"/>
    </xf>
    <xf numFmtId="0" fontId="38" fillId="0" borderId="52" xfId="4" applyFont="1" applyBorder="1" applyAlignment="1">
      <alignment horizontal="center" vertical="center"/>
    </xf>
    <xf numFmtId="0" fontId="38" fillId="0" borderId="50" xfId="4" applyFont="1" applyBorder="1" applyAlignment="1">
      <alignment horizontal="center" vertical="center"/>
    </xf>
    <xf numFmtId="0" fontId="38" fillId="12" borderId="38" xfId="4" applyFont="1" applyFill="1" applyBorder="1" applyAlignment="1">
      <alignment horizontal="center" vertical="center" wrapText="1"/>
    </xf>
    <xf numFmtId="0" fontId="38" fillId="12" borderId="7" xfId="4" applyFont="1" applyFill="1" applyBorder="1" applyAlignment="1">
      <alignment horizontal="center" vertical="center" wrapText="1"/>
    </xf>
    <xf numFmtId="0" fontId="38" fillId="12" borderId="64" xfId="4" applyFont="1" applyFill="1" applyBorder="1" applyAlignment="1">
      <alignment horizontal="center" vertical="center" wrapText="1"/>
    </xf>
    <xf numFmtId="0" fontId="38" fillId="12" borderId="66" xfId="4" applyFont="1" applyFill="1" applyBorder="1" applyAlignment="1">
      <alignment horizontal="center" vertical="center" wrapText="1"/>
    </xf>
    <xf numFmtId="180" fontId="38" fillId="0" borderId="7" xfId="341" applyNumberFormat="1" applyFont="1" applyBorder="1" applyAlignment="1">
      <alignment horizontal="center" vertical="center"/>
    </xf>
    <xf numFmtId="180" fontId="38" fillId="0" borderId="6" xfId="341" applyNumberFormat="1" applyFont="1" applyBorder="1" applyAlignment="1">
      <alignment horizontal="center" vertical="center"/>
    </xf>
    <xf numFmtId="180" fontId="38" fillId="0" borderId="60" xfId="341" applyNumberFormat="1" applyFont="1" applyBorder="1" applyAlignment="1">
      <alignment horizontal="center" vertical="center"/>
    </xf>
    <xf numFmtId="0" fontId="38" fillId="0" borderId="44" xfId="4" applyFont="1" applyBorder="1" applyAlignment="1">
      <alignment horizontal="center" vertical="center"/>
    </xf>
    <xf numFmtId="0" fontId="38" fillId="0" borderId="65" xfId="4" applyFont="1" applyBorder="1" applyAlignment="1">
      <alignment horizontal="center" vertical="center"/>
    </xf>
    <xf numFmtId="0" fontId="38" fillId="0" borderId="43" xfId="4" applyFont="1" applyBorder="1" applyAlignment="1">
      <alignment horizontal="center" vertical="center"/>
    </xf>
    <xf numFmtId="0" fontId="38" fillId="0" borderId="54" xfId="4" applyFont="1" applyBorder="1" applyAlignment="1">
      <alignment horizontal="center" vertical="center"/>
    </xf>
    <xf numFmtId="0" fontId="38" fillId="20" borderId="37" xfId="4" applyFont="1" applyFill="1" applyBorder="1" applyAlignment="1">
      <alignment horizontal="center" vertical="center" wrapText="1"/>
    </xf>
    <xf numFmtId="180" fontId="38" fillId="0" borderId="37" xfId="341" applyNumberFormat="1" applyFont="1" applyBorder="1" applyAlignment="1">
      <alignment horizontal="center" vertical="center"/>
    </xf>
    <xf numFmtId="180" fontId="38" fillId="0" borderId="45" xfId="341" applyNumberFormat="1" applyFont="1" applyBorder="1" applyAlignment="1">
      <alignment horizontal="center" vertical="center"/>
    </xf>
    <xf numFmtId="180" fontId="38" fillId="0" borderId="44" xfId="341" applyNumberFormat="1" applyFont="1" applyBorder="1" applyAlignment="1">
      <alignment horizontal="center" vertical="center"/>
    </xf>
    <xf numFmtId="180" fontId="38" fillId="0" borderId="38" xfId="341" applyNumberFormat="1" applyFont="1" applyBorder="1" applyAlignment="1">
      <alignment horizontal="center" vertical="center"/>
    </xf>
    <xf numFmtId="0" fontId="38" fillId="0" borderId="63" xfId="4" applyFont="1" applyBorder="1" applyAlignment="1">
      <alignment horizontal="center" vertical="center"/>
    </xf>
    <xf numFmtId="0" fontId="38" fillId="0" borderId="62" xfId="4" applyFont="1" applyBorder="1" applyAlignment="1">
      <alignment horizontal="center" vertical="center"/>
    </xf>
    <xf numFmtId="0" fontId="38" fillId="16" borderId="58" xfId="4" applyFont="1" applyFill="1" applyBorder="1" applyAlignment="1">
      <alignment horizontal="center" vertical="center" wrapText="1"/>
    </xf>
    <xf numFmtId="0" fontId="38" fillId="16" borderId="0" xfId="4" applyFont="1" applyFill="1" applyAlignment="1">
      <alignment horizontal="center" vertical="center" wrapText="1"/>
    </xf>
    <xf numFmtId="0" fontId="38" fillId="16" borderId="51" xfId="4" applyFont="1" applyFill="1" applyBorder="1" applyAlignment="1">
      <alignment horizontal="center" vertical="center" wrapText="1"/>
    </xf>
    <xf numFmtId="180" fontId="38" fillId="0" borderId="59" xfId="341" applyNumberFormat="1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8" fillId="0" borderId="49" xfId="341" applyNumberFormat="1" applyFont="1" applyBorder="1" applyAlignment="1">
      <alignment horizontal="center" vertical="center"/>
    </xf>
    <xf numFmtId="0" fontId="38" fillId="17" borderId="2" xfId="4" applyFont="1" applyFill="1" applyBorder="1" applyAlignment="1">
      <alignment horizontal="center" vertical="center"/>
    </xf>
    <xf numFmtId="0" fontId="38" fillId="19" borderId="38" xfId="4" applyFont="1" applyFill="1" applyBorder="1" applyAlignment="1">
      <alignment horizontal="center" vertical="center" wrapText="1"/>
    </xf>
    <xf numFmtId="0" fontId="38" fillId="19" borderId="7" xfId="4" applyFont="1" applyFill="1" applyBorder="1" applyAlignment="1">
      <alignment horizontal="center" vertical="center" wrapText="1"/>
    </xf>
    <xf numFmtId="0" fontId="38" fillId="9" borderId="37" xfId="4" applyFont="1" applyFill="1" applyBorder="1" applyAlignment="1">
      <alignment horizontal="center" vertical="center" wrapText="1"/>
    </xf>
    <xf numFmtId="0" fontId="38" fillId="9" borderId="37" xfId="4" applyFont="1" applyFill="1" applyBorder="1" applyAlignment="1">
      <alignment horizontal="center" vertical="center"/>
    </xf>
    <xf numFmtId="0" fontId="38" fillId="5" borderId="37" xfId="4" applyFont="1" applyFill="1" applyBorder="1" applyAlignment="1">
      <alignment horizontal="center" vertical="center" wrapText="1"/>
    </xf>
    <xf numFmtId="0" fontId="38" fillId="5" borderId="37" xfId="4" applyFont="1" applyFill="1" applyBorder="1" applyAlignment="1">
      <alignment horizontal="center" vertical="center"/>
    </xf>
    <xf numFmtId="0" fontId="20" fillId="18" borderId="47" xfId="136" applyFont="1" applyFill="1" applyBorder="1" applyAlignment="1">
      <alignment horizontal="center" vertical="center" wrapText="1"/>
    </xf>
    <xf numFmtId="0" fontId="20" fillId="18" borderId="0" xfId="136" applyFont="1" applyFill="1" applyAlignment="1">
      <alignment horizontal="center" vertical="center" wrapText="1"/>
    </xf>
    <xf numFmtId="0" fontId="20" fillId="18" borderId="51" xfId="136" applyFont="1" applyFill="1" applyBorder="1" applyAlignment="1">
      <alignment horizontal="center" vertical="center" wrapText="1"/>
    </xf>
    <xf numFmtId="180" fontId="4" fillId="0" borderId="2" xfId="5" applyNumberFormat="1" applyFont="1" applyBorder="1" applyAlignment="1">
      <alignment horizontal="center" vertical="center"/>
    </xf>
    <xf numFmtId="0" fontId="38" fillId="5" borderId="50" xfId="4" applyFont="1" applyFill="1" applyBorder="1" applyAlignment="1">
      <alignment horizontal="center" vertical="center" wrapText="1"/>
    </xf>
    <xf numFmtId="0" fontId="38" fillId="5" borderId="42" xfId="4" applyFont="1" applyFill="1" applyBorder="1" applyAlignment="1">
      <alignment horizontal="center" vertical="center"/>
    </xf>
    <xf numFmtId="180" fontId="38" fillId="0" borderId="31" xfId="341" applyNumberFormat="1" applyFont="1" applyBorder="1" applyAlignment="1">
      <alignment horizontal="center" vertical="center"/>
    </xf>
    <xf numFmtId="0" fontId="38" fillId="13" borderId="31" xfId="4" applyFont="1" applyFill="1" applyBorder="1" applyAlignment="1"/>
    <xf numFmtId="0" fontId="10" fillId="0" borderId="2" xfId="4" applyFont="1" applyBorder="1" applyAlignment="1">
      <alignment horizontal="center" vertical="center" wrapText="1"/>
    </xf>
    <xf numFmtId="0" fontId="10" fillId="0" borderId="2" xfId="4" applyFont="1" applyBorder="1" applyAlignment="1">
      <alignment horizontal="center" vertical="center"/>
    </xf>
    <xf numFmtId="0" fontId="41" fillId="3" borderId="42" xfId="4" applyFont="1" applyFill="1" applyBorder="1" applyAlignment="1">
      <alignment horizontal="center" vertical="center" wrapText="1"/>
    </xf>
    <xf numFmtId="0" fontId="41" fillId="3" borderId="43" xfId="4" applyFont="1" applyFill="1" applyBorder="1" applyAlignment="1">
      <alignment horizontal="center" vertical="center" wrapText="1"/>
    </xf>
    <xf numFmtId="0" fontId="38" fillId="16" borderId="37" xfId="4" applyFont="1" applyFill="1" applyBorder="1" applyAlignment="1">
      <alignment horizontal="center" vertical="center"/>
    </xf>
    <xf numFmtId="0" fontId="38" fillId="7" borderId="37" xfId="4" applyFont="1" applyFill="1" applyBorder="1" applyAlignment="1">
      <alignment horizontal="center" vertical="center"/>
    </xf>
    <xf numFmtId="0" fontId="38" fillId="4" borderId="2" xfId="4" applyFont="1" applyFill="1" applyBorder="1" applyAlignment="1">
      <alignment horizontal="center" vertical="center" wrapText="1"/>
    </xf>
    <xf numFmtId="0" fontId="38" fillId="4" borderId="2" xfId="4" applyFont="1" applyFill="1" applyBorder="1" applyAlignment="1">
      <alignment horizontal="center" vertical="center"/>
    </xf>
    <xf numFmtId="0" fontId="38" fillId="4" borderId="36" xfId="4" applyFont="1" applyFill="1" applyBorder="1" applyAlignment="1">
      <alignment horizontal="center" vertical="center"/>
    </xf>
    <xf numFmtId="0" fontId="41" fillId="3" borderId="37" xfId="4" applyFont="1" applyFill="1" applyBorder="1" applyAlignment="1">
      <alignment horizontal="center" vertical="center"/>
    </xf>
    <xf numFmtId="0" fontId="41" fillId="3" borderId="37" xfId="4" applyFont="1" applyFill="1" applyBorder="1" applyAlignment="1">
      <alignment horizontal="center" vertical="center" wrapText="1"/>
    </xf>
    <xf numFmtId="0" fontId="38" fillId="0" borderId="37" xfId="4" applyFont="1" applyBorder="1" applyAlignment="1">
      <alignment horizontal="center" vertical="center" wrapText="1"/>
    </xf>
    <xf numFmtId="0" fontId="38" fillId="4" borderId="37" xfId="4" applyFont="1" applyFill="1" applyBorder="1" applyAlignment="1">
      <alignment horizontal="center" vertical="center"/>
    </xf>
    <xf numFmtId="0" fontId="22" fillId="0" borderId="37" xfId="4" applyFont="1" applyBorder="1" applyAlignment="1">
      <alignment horizontal="left" vertical="center"/>
    </xf>
    <xf numFmtId="0" fontId="39" fillId="0" borderId="37" xfId="4" applyFont="1" applyBorder="1" applyAlignment="1">
      <alignment horizontal="center" vertical="center"/>
    </xf>
    <xf numFmtId="0" fontId="5" fillId="0" borderId="39" xfId="98" applyFont="1" applyBorder="1" applyAlignment="1">
      <alignment horizontal="center" vertical="center" wrapText="1"/>
    </xf>
    <xf numFmtId="0" fontId="5" fillId="0" borderId="40" xfId="98" applyFont="1" applyBorder="1" applyAlignment="1">
      <alignment horizontal="center" vertical="center" wrapText="1"/>
    </xf>
    <xf numFmtId="0" fontId="5" fillId="0" borderId="41" xfId="98" applyFont="1" applyBorder="1" applyAlignment="1">
      <alignment horizontal="center" vertical="center" wrapText="1"/>
    </xf>
    <xf numFmtId="0" fontId="5" fillId="0" borderId="0" xfId="98" applyFont="1" applyBorder="1" applyAlignment="1">
      <alignment horizontal="center" vertical="center" wrapText="1"/>
    </xf>
    <xf numFmtId="0" fontId="22" fillId="0" borderId="37" xfId="4" applyFont="1" applyBorder="1" applyAlignment="1">
      <alignment horizontal="center" vertical="center"/>
    </xf>
    <xf numFmtId="0" fontId="38" fillId="0" borderId="56" xfId="4" applyFont="1" applyBorder="1" applyAlignment="1">
      <alignment horizontal="center" vertical="center"/>
    </xf>
    <xf numFmtId="0" fontId="38" fillId="0" borderId="67" xfId="4" applyFont="1" applyBorder="1" applyAlignment="1">
      <alignment horizontal="center" vertical="center"/>
    </xf>
    <xf numFmtId="180" fontId="38" fillId="0" borderId="68" xfId="341" applyNumberFormat="1" applyFont="1" applyBorder="1" applyAlignment="1">
      <alignment horizontal="center" vertical="center"/>
    </xf>
    <xf numFmtId="180" fontId="38" fillId="0" borderId="69" xfId="341" applyNumberFormat="1" applyFont="1" applyBorder="1" applyAlignment="1">
      <alignment horizontal="center" vertical="center"/>
    </xf>
    <xf numFmtId="180" fontId="38" fillId="0" borderId="70" xfId="341" applyNumberFormat="1" applyFont="1" applyBorder="1" applyAlignment="1">
      <alignment horizontal="center" vertical="center"/>
    </xf>
    <xf numFmtId="180" fontId="38" fillId="0" borderId="71" xfId="341" applyNumberFormat="1" applyFont="1" applyBorder="1" applyAlignment="1">
      <alignment horizontal="center" vertical="center"/>
    </xf>
    <xf numFmtId="0" fontId="44" fillId="3" borderId="42" xfId="4" applyFont="1" applyFill="1" applyBorder="1" applyAlignment="1">
      <alignment horizontal="center" vertical="center" wrapText="1"/>
    </xf>
    <xf numFmtId="0" fontId="44" fillId="3" borderId="43" xfId="4" applyFont="1" applyFill="1" applyBorder="1" applyAlignment="1">
      <alignment horizontal="center" vertical="center" wrapText="1"/>
    </xf>
    <xf numFmtId="0" fontId="4" fillId="0" borderId="3" xfId="97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1854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abSelected="1" topLeftCell="A7" zoomScale="40" zoomScaleNormal="40" workbookViewId="0">
      <selection activeCell="P36" sqref="P36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31" customWidth="1"/>
    <col min="4" max="17" width="14.1796875" style="2" customWidth="1"/>
    <col min="18" max="21" width="9.6328125" style="2" customWidth="1"/>
    <col min="22" max="22" width="11.1796875" style="2" customWidth="1"/>
    <col min="23" max="23" width="11.453125" style="2" customWidth="1"/>
    <col min="24" max="16384" width="8.08984375" style="2"/>
  </cols>
  <sheetData>
    <row r="1" spans="2:17" ht="27.75" customHeight="1">
      <c r="B1" s="556" t="s">
        <v>68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  <c r="N1" s="1"/>
      <c r="O1" s="1"/>
    </row>
    <row r="2" spans="2:17" ht="27.75" customHeight="1"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8"/>
      <c r="N2" s="1"/>
      <c r="O2" s="1"/>
    </row>
    <row r="3" spans="2:17" ht="46.5" customHeight="1">
      <c r="B3" s="548" t="s">
        <v>0</v>
      </c>
      <c r="C3" s="549"/>
      <c r="D3" s="559" t="s">
        <v>77</v>
      </c>
      <c r="E3" s="560"/>
      <c r="F3" s="548" t="s">
        <v>1</v>
      </c>
      <c r="G3" s="549"/>
      <c r="H3" s="561">
        <v>203780.2</v>
      </c>
      <c r="I3" s="562"/>
      <c r="J3" s="548" t="s">
        <v>2</v>
      </c>
      <c r="K3" s="549"/>
      <c r="L3" s="563">
        <v>6606574.1885246243</v>
      </c>
      <c r="M3" s="564"/>
      <c r="N3" s="3"/>
    </row>
    <row r="4" spans="2:17" ht="24" customHeight="1">
      <c r="B4" s="548" t="s">
        <v>69</v>
      </c>
      <c r="C4" s="549"/>
      <c r="D4" s="540" t="s">
        <v>70</v>
      </c>
      <c r="E4" s="541"/>
      <c r="F4" s="554" t="s">
        <v>71</v>
      </c>
      <c r="G4" s="555"/>
      <c r="H4" s="554" t="s">
        <v>72</v>
      </c>
      <c r="I4" s="555"/>
      <c r="J4" s="554" t="s">
        <v>73</v>
      </c>
      <c r="K4" s="555"/>
      <c r="L4" s="554" t="s">
        <v>74</v>
      </c>
      <c r="M4" s="555"/>
      <c r="N4" s="487" t="s">
        <v>54</v>
      </c>
      <c r="O4" s="488"/>
      <c r="P4" s="488" t="s">
        <v>55</v>
      </c>
      <c r="Q4" s="488"/>
    </row>
    <row r="5" spans="2:17" ht="24" customHeight="1">
      <c r="B5" s="534" t="s">
        <v>75</v>
      </c>
      <c r="C5" s="535"/>
      <c r="D5" s="540" t="s">
        <v>76</v>
      </c>
      <c r="E5" s="541"/>
      <c r="F5" s="540" t="s">
        <v>3</v>
      </c>
      <c r="G5" s="541"/>
      <c r="H5" s="542" t="s">
        <v>4</v>
      </c>
      <c r="I5" s="543"/>
      <c r="J5" s="544" t="s">
        <v>5</v>
      </c>
      <c r="K5" s="545"/>
      <c r="L5" s="546" t="s">
        <v>6</v>
      </c>
      <c r="M5" s="547"/>
      <c r="N5" s="4" t="s">
        <v>56</v>
      </c>
      <c r="O5" s="5" t="s">
        <v>57</v>
      </c>
      <c r="P5" s="4" t="s">
        <v>56</v>
      </c>
      <c r="Q5" s="5" t="s">
        <v>58</v>
      </c>
    </row>
    <row r="6" spans="2:17" ht="39.65" customHeight="1">
      <c r="B6" s="536"/>
      <c r="C6" s="537"/>
      <c r="D6" s="548" t="s">
        <v>7</v>
      </c>
      <c r="E6" s="549"/>
      <c r="F6" s="550">
        <f>AVERAGE(D13:O13,P13:Q13,D30:F30,H30,J30:L30)</f>
        <v>366.50224712428184</v>
      </c>
      <c r="G6" s="551"/>
      <c r="H6" s="552">
        <f>AVERAGE(D13:P13,Q13)</f>
        <v>137.61051354356565</v>
      </c>
      <c r="I6" s="553"/>
      <c r="J6" s="552">
        <f>AVERAGE(D30:F30,H30)</f>
        <v>786.25</v>
      </c>
      <c r="K6" s="553"/>
      <c r="L6" s="526">
        <f>AVERAGE(J30:L30)</f>
        <v>875</v>
      </c>
      <c r="M6" s="527"/>
      <c r="N6" s="489">
        <v>0</v>
      </c>
      <c r="O6" s="490">
        <v>0</v>
      </c>
      <c r="P6" s="491">
        <v>4</v>
      </c>
      <c r="Q6" s="490">
        <v>2</v>
      </c>
    </row>
    <row r="7" spans="2:17" s="6" customFormat="1" ht="39.65" customHeight="1">
      <c r="B7" s="536"/>
      <c r="C7" s="537"/>
      <c r="D7" s="518" t="s">
        <v>8</v>
      </c>
      <c r="E7" s="519"/>
      <c r="F7" s="528">
        <f>AVERAGE(D14:O14,P14:Q14,D31:F31,J31:L31,H31)</f>
        <v>319.5662921590108</v>
      </c>
      <c r="G7" s="529"/>
      <c r="H7" s="530">
        <f>AVERAGE(D14:P14,Q14)</f>
        <v>121.449788922978</v>
      </c>
      <c r="I7" s="531"/>
      <c r="J7" s="530">
        <f>AVERAGE(D31:F31,H31)</f>
        <v>646.36310335497842</v>
      </c>
      <c r="K7" s="531"/>
      <c r="L7" s="532">
        <f>AVERAGE(J31:L31)</f>
        <v>808.38089233253993</v>
      </c>
      <c r="M7" s="533"/>
      <c r="N7" s="489"/>
      <c r="O7" s="490"/>
      <c r="P7" s="491"/>
      <c r="Q7" s="490"/>
    </row>
    <row r="8" spans="2:17" s="6" customFormat="1" ht="39.65" customHeight="1">
      <c r="B8" s="538"/>
      <c r="C8" s="539"/>
      <c r="D8" s="518" t="s">
        <v>9</v>
      </c>
      <c r="E8" s="519"/>
      <c r="F8" s="520">
        <f>AVERAGE(D15:O15,P15:Q15,D32:F32,H32,J32:K32,L32)</f>
        <v>0.8680239940810256</v>
      </c>
      <c r="G8" s="521"/>
      <c r="H8" s="520">
        <f>AVERAGE(D15:O15,P15:Q15)</f>
        <v>0.87198279388163957</v>
      </c>
      <c r="I8" s="521"/>
      <c r="J8" s="520">
        <f>AVERAGE(D32:F32,H32)</f>
        <v>0.81192462421837419</v>
      </c>
      <c r="K8" s="521"/>
      <c r="L8" s="520">
        <f>AVERAGE(J32:L32)</f>
        <v>0.92434875482836321</v>
      </c>
      <c r="M8" s="521"/>
      <c r="N8" s="489"/>
      <c r="O8" s="490"/>
      <c r="P8" s="491"/>
      <c r="Q8" s="490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2" t="s">
        <v>10</v>
      </c>
      <c r="C10" s="522"/>
      <c r="D10" s="523" t="s">
        <v>11</v>
      </c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5"/>
    </row>
    <row r="11" spans="2:17" ht="17.25" customHeight="1">
      <c r="B11" s="510" t="s">
        <v>12</v>
      </c>
      <c r="C11" s="51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2"/>
      <c r="C12" s="513"/>
      <c r="D12" s="12" t="s">
        <v>13</v>
      </c>
      <c r="E12" s="12" t="s">
        <v>14</v>
      </c>
      <c r="F12" s="12" t="s">
        <v>15</v>
      </c>
      <c r="G12" s="12" t="s">
        <v>16</v>
      </c>
      <c r="H12" s="12" t="s">
        <v>17</v>
      </c>
      <c r="I12" s="12" t="s">
        <v>18</v>
      </c>
      <c r="J12" s="12" t="s">
        <v>19</v>
      </c>
      <c r="K12" s="12" t="s">
        <v>20</v>
      </c>
      <c r="L12" s="12" t="s">
        <v>21</v>
      </c>
      <c r="M12" s="12" t="s">
        <v>22</v>
      </c>
      <c r="N12" s="12" t="s">
        <v>23</v>
      </c>
      <c r="O12" s="12" t="s">
        <v>24</v>
      </c>
      <c r="P12" s="12" t="s">
        <v>25</v>
      </c>
      <c r="Q12" s="13" t="s">
        <v>26</v>
      </c>
    </row>
    <row r="13" spans="2:17" ht="39.9" customHeight="1">
      <c r="B13" s="492" t="s">
        <v>27</v>
      </c>
      <c r="C13" s="14" t="s">
        <v>28</v>
      </c>
      <c r="D13" s="15">
        <v>132.51030148901663</v>
      </c>
      <c r="E13" s="15">
        <v>93.532679738562095</v>
      </c>
      <c r="F13" s="15">
        <v>117.26815039596995</v>
      </c>
      <c r="G13" s="15">
        <v>369.04761904761898</v>
      </c>
      <c r="H13" s="15">
        <v>250</v>
      </c>
      <c r="I13" s="15">
        <v>83.901758071649709</v>
      </c>
      <c r="J13" s="15">
        <v>74.285714285714278</v>
      </c>
      <c r="K13" s="15">
        <v>84.76272789817682</v>
      </c>
      <c r="L13" s="15">
        <v>81.321661998132598</v>
      </c>
      <c r="M13" s="15">
        <v>83.377389552312152</v>
      </c>
      <c r="N13" s="15">
        <v>88.452841321713862</v>
      </c>
      <c r="O13" s="15">
        <v>83.137254901960773</v>
      </c>
      <c r="P13" s="15">
        <v>234.9490909090909</v>
      </c>
      <c r="Q13" s="16">
        <v>150</v>
      </c>
    </row>
    <row r="14" spans="2:17" ht="39.9" customHeight="1">
      <c r="B14" s="493"/>
      <c r="C14" s="14" t="s">
        <v>29</v>
      </c>
      <c r="D14" s="15">
        <v>110.85214897258842</v>
      </c>
      <c r="E14" s="15">
        <v>79.603138509280157</v>
      </c>
      <c r="F14" s="15">
        <v>106.18622973840647</v>
      </c>
      <c r="G14" s="15">
        <v>315.75027049754289</v>
      </c>
      <c r="H14" s="15">
        <v>239.96123960007748</v>
      </c>
      <c r="I14" s="15">
        <v>72.937273874962088</v>
      </c>
      <c r="J14" s="15">
        <v>59.022592033083434</v>
      </c>
      <c r="K14" s="15">
        <v>73.549599124473787</v>
      </c>
      <c r="L14" s="15">
        <v>69.772288440331053</v>
      </c>
      <c r="M14" s="15">
        <v>68.563355514831883</v>
      </c>
      <c r="N14" s="15">
        <v>73.741739379782857</v>
      </c>
      <c r="O14" s="15">
        <v>76.093654690046321</v>
      </c>
      <c r="P14" s="15">
        <v>217.13246825339652</v>
      </c>
      <c r="Q14" s="16">
        <v>137.13104629288847</v>
      </c>
    </row>
    <row r="15" spans="2:17" ht="39.9" customHeight="1">
      <c r="B15" s="494"/>
      <c r="C15" s="10" t="s">
        <v>30</v>
      </c>
      <c r="D15" s="17">
        <f t="shared" ref="D15:P15" si="0">D14/D13</f>
        <v>0.83655495253534395</v>
      </c>
      <c r="E15" s="17">
        <f t="shared" si="0"/>
        <v>0.85107300177630851</v>
      </c>
      <c r="F15" s="17">
        <f t="shared" si="0"/>
        <v>0.90549931400688033</v>
      </c>
      <c r="G15" s="17">
        <f t="shared" si="0"/>
        <v>0.85558137812237445</v>
      </c>
      <c r="H15" s="17">
        <f t="shared" si="0"/>
        <v>0.95984495840030992</v>
      </c>
      <c r="I15" s="17">
        <f t="shared" si="0"/>
        <v>0.86931758703644491</v>
      </c>
      <c r="J15" s="17">
        <f t="shared" si="0"/>
        <v>0.79453489275304634</v>
      </c>
      <c r="K15" s="17">
        <f t="shared" si="0"/>
        <v>0.86771156318643894</v>
      </c>
      <c r="L15" s="17">
        <f t="shared" si="0"/>
        <v>0.85797912543810584</v>
      </c>
      <c r="M15" s="17">
        <f t="shared" si="0"/>
        <v>0.82232552353794031</v>
      </c>
      <c r="N15" s="17">
        <f t="shared" si="0"/>
        <v>0.83368423532687974</v>
      </c>
      <c r="O15" s="17">
        <f t="shared" si="0"/>
        <v>0.91527745028121765</v>
      </c>
      <c r="P15" s="17">
        <f t="shared" si="0"/>
        <v>0.92416815665574048</v>
      </c>
      <c r="Q15" s="18">
        <f>Q14/Q13</f>
        <v>0.9142069752859231</v>
      </c>
    </row>
    <row r="16" spans="2:17" ht="22.75" customHeight="1">
      <c r="B16" s="495" t="s">
        <v>31</v>
      </c>
      <c r="C16" s="10" t="s">
        <v>32</v>
      </c>
      <c r="D16" s="36">
        <v>0.29166666666666669</v>
      </c>
      <c r="E16" s="36">
        <v>0.16666666666666666</v>
      </c>
      <c r="F16" s="36">
        <v>0.16666666666666666</v>
      </c>
      <c r="G16" s="36">
        <v>0.16666666666666666</v>
      </c>
      <c r="H16" s="36">
        <v>0.16666666666666666</v>
      </c>
      <c r="I16" s="36">
        <v>0.29166666666666669</v>
      </c>
      <c r="J16" s="36">
        <v>0.375</v>
      </c>
      <c r="K16" s="36">
        <v>0.375</v>
      </c>
      <c r="L16" s="36">
        <v>0.5</v>
      </c>
      <c r="M16" s="36">
        <v>0.5</v>
      </c>
      <c r="N16" s="36">
        <v>0.5</v>
      </c>
      <c r="O16" s="36">
        <v>0.70833333333333337</v>
      </c>
      <c r="P16" s="36">
        <v>0.16666666666666666</v>
      </c>
      <c r="Q16" s="37">
        <v>0.17361111111111113</v>
      </c>
    </row>
    <row r="17" spans="2:17" ht="22.75" customHeight="1">
      <c r="B17" s="496"/>
      <c r="C17" s="10" t="s">
        <v>33</v>
      </c>
      <c r="D17" s="36">
        <v>0.59375</v>
      </c>
      <c r="E17" s="36">
        <v>0.52847222222222212</v>
      </c>
      <c r="F17" s="36">
        <v>0.54236111111111107</v>
      </c>
      <c r="G17" s="36">
        <v>0.63055555555555542</v>
      </c>
      <c r="H17" s="36">
        <v>0.66666666666666663</v>
      </c>
      <c r="I17" s="36">
        <v>0.75694444444444453</v>
      </c>
      <c r="J17" s="36">
        <v>0.8041666666666667</v>
      </c>
      <c r="K17" s="36">
        <v>0.78750000000000009</v>
      </c>
      <c r="L17" s="36">
        <v>0.80902777777777779</v>
      </c>
      <c r="M17" s="36">
        <v>0.85972222222222228</v>
      </c>
      <c r="N17" s="36">
        <v>0.93402777777777757</v>
      </c>
      <c r="O17" s="36">
        <v>0.86458333333333337</v>
      </c>
      <c r="P17" s="36">
        <v>0.59236111111111101</v>
      </c>
      <c r="Q17" s="37">
        <v>0.48958333333333331</v>
      </c>
    </row>
    <row r="18" spans="2:17" ht="22.75" customHeight="1">
      <c r="B18" s="514" t="s">
        <v>66</v>
      </c>
      <c r="C18" s="515"/>
      <c r="D18" s="58" t="s">
        <v>59</v>
      </c>
      <c r="E18" s="58" t="s">
        <v>59</v>
      </c>
      <c r="F18" s="58" t="s">
        <v>59</v>
      </c>
      <c r="G18" s="58" t="s">
        <v>59</v>
      </c>
      <c r="H18" s="58" t="s">
        <v>59</v>
      </c>
      <c r="I18" s="58" t="s">
        <v>59</v>
      </c>
      <c r="J18" s="58" t="s">
        <v>59</v>
      </c>
      <c r="K18" s="58" t="s">
        <v>59</v>
      </c>
      <c r="L18" s="58" t="s">
        <v>59</v>
      </c>
      <c r="M18" s="58" t="s">
        <v>59</v>
      </c>
      <c r="N18" s="58" t="s">
        <v>59</v>
      </c>
      <c r="O18" s="58" t="s">
        <v>59</v>
      </c>
      <c r="P18" s="58" t="s">
        <v>59</v>
      </c>
      <c r="Q18" s="59"/>
    </row>
    <row r="19" spans="2:17" ht="22.75" customHeight="1">
      <c r="B19" s="516"/>
      <c r="C19" s="517"/>
      <c r="D19" s="58" t="s">
        <v>59</v>
      </c>
      <c r="E19" s="58" t="s">
        <v>59</v>
      </c>
      <c r="F19" s="58" t="s">
        <v>59</v>
      </c>
      <c r="G19" s="58" t="s">
        <v>59</v>
      </c>
      <c r="H19" s="58" t="s">
        <v>59</v>
      </c>
      <c r="I19" s="58" t="s">
        <v>59</v>
      </c>
      <c r="J19" s="58" t="s">
        <v>59</v>
      </c>
      <c r="K19" s="58" t="s">
        <v>59</v>
      </c>
      <c r="L19" s="58" t="s">
        <v>59</v>
      </c>
      <c r="M19" s="58" t="s">
        <v>59</v>
      </c>
      <c r="N19" s="58" t="s">
        <v>59</v>
      </c>
      <c r="O19" s="58" t="s">
        <v>59</v>
      </c>
      <c r="P19" s="58" t="s">
        <v>59</v>
      </c>
      <c r="Q19" s="59"/>
    </row>
    <row r="20" spans="2:17" ht="22.75" customHeight="1">
      <c r="B20" s="514" t="s">
        <v>67</v>
      </c>
      <c r="C20" s="515"/>
      <c r="D20" s="58" t="s">
        <v>59</v>
      </c>
      <c r="E20" s="58" t="s">
        <v>59</v>
      </c>
      <c r="F20" s="58" t="s">
        <v>59</v>
      </c>
      <c r="G20" s="58">
        <v>2</v>
      </c>
      <c r="H20" s="58" t="s">
        <v>59</v>
      </c>
      <c r="I20" s="58" t="s">
        <v>59</v>
      </c>
      <c r="J20" s="58" t="s">
        <v>59</v>
      </c>
      <c r="K20" s="58">
        <v>1</v>
      </c>
      <c r="L20" s="58" t="s">
        <v>59</v>
      </c>
      <c r="M20" s="58" t="s">
        <v>59</v>
      </c>
      <c r="N20" s="58" t="s">
        <v>59</v>
      </c>
      <c r="O20" s="58" t="s">
        <v>59</v>
      </c>
      <c r="P20" s="58">
        <v>1</v>
      </c>
      <c r="Q20" s="59"/>
    </row>
    <row r="21" spans="2:17" ht="22.75" customHeight="1">
      <c r="B21" s="516"/>
      <c r="C21" s="517"/>
      <c r="D21" s="58" t="s">
        <v>59</v>
      </c>
      <c r="E21" s="58" t="s">
        <v>59</v>
      </c>
      <c r="F21" s="58" t="s">
        <v>59</v>
      </c>
      <c r="G21" s="58">
        <v>1</v>
      </c>
      <c r="H21" s="58" t="s">
        <v>59</v>
      </c>
      <c r="I21" s="58" t="s">
        <v>59</v>
      </c>
      <c r="J21" s="58" t="s">
        <v>59</v>
      </c>
      <c r="K21" s="58" t="s">
        <v>59</v>
      </c>
      <c r="L21" s="58" t="s">
        <v>59</v>
      </c>
      <c r="M21" s="58">
        <v>1</v>
      </c>
      <c r="N21" s="58" t="s">
        <v>59</v>
      </c>
      <c r="O21" s="58" t="s">
        <v>59</v>
      </c>
      <c r="P21" s="58" t="s">
        <v>59</v>
      </c>
      <c r="Q21" s="59"/>
    </row>
    <row r="22" spans="2:17" ht="22.75" customHeight="1">
      <c r="B22" s="497" t="s">
        <v>34</v>
      </c>
      <c r="C22" s="498"/>
      <c r="D22" s="60">
        <v>19</v>
      </c>
      <c r="E22" s="60">
        <v>18</v>
      </c>
      <c r="F22" s="60">
        <v>15.714285714285714</v>
      </c>
      <c r="G22" s="60">
        <v>5.8571428571428568</v>
      </c>
      <c r="H22" s="60">
        <v>6</v>
      </c>
      <c r="I22" s="60">
        <v>17.25</v>
      </c>
      <c r="J22" s="60">
        <v>18.777777777777779</v>
      </c>
      <c r="K22" s="60">
        <v>17.333333333333332</v>
      </c>
      <c r="L22" s="60">
        <v>18</v>
      </c>
      <c r="M22" s="60">
        <v>17.857142857142858</v>
      </c>
      <c r="N22" s="60">
        <v>17</v>
      </c>
      <c r="O22" s="60">
        <v>17.666666666666668</v>
      </c>
      <c r="P22" s="60">
        <v>10.199999999999999</v>
      </c>
      <c r="Q22" s="61">
        <v>10.888888888888889</v>
      </c>
    </row>
    <row r="23" spans="2:17" ht="22.75" customHeight="1">
      <c r="B23" s="497" t="s">
        <v>35</v>
      </c>
      <c r="C23" s="498"/>
      <c r="D23" s="32" t="s">
        <v>36</v>
      </c>
      <c r="E23" s="32" t="s">
        <v>36</v>
      </c>
      <c r="F23" s="32" t="s">
        <v>36</v>
      </c>
      <c r="G23" s="32" t="s">
        <v>37</v>
      </c>
      <c r="H23" s="32" t="s">
        <v>38</v>
      </c>
      <c r="I23" s="32" t="s">
        <v>39</v>
      </c>
      <c r="J23" s="32" t="s">
        <v>39</v>
      </c>
      <c r="K23" s="32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40</v>
      </c>
      <c r="Q23" s="40" t="s">
        <v>40</v>
      </c>
    </row>
    <row r="24" spans="2:17" ht="22.75" customHeight="1">
      <c r="B24" s="497" t="s">
        <v>41</v>
      </c>
      <c r="C24" s="49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0"/>
    </row>
    <row r="25" spans="2:17" ht="22.75" customHeight="1" thickBot="1">
      <c r="B25" s="499" t="s">
        <v>42</v>
      </c>
      <c r="C25" s="500"/>
      <c r="D25" s="43"/>
      <c r="E25" s="44" t="s">
        <v>43</v>
      </c>
      <c r="F25" s="44"/>
      <c r="G25" s="44" t="s">
        <v>44</v>
      </c>
      <c r="H25" s="44"/>
      <c r="I25" s="44"/>
      <c r="J25" s="44"/>
      <c r="K25" s="44" t="s">
        <v>45</v>
      </c>
      <c r="L25" s="44"/>
      <c r="M25" s="44"/>
      <c r="N25" s="44"/>
      <c r="O25" s="44"/>
      <c r="P25" s="44" t="s">
        <v>46</v>
      </c>
      <c r="Q25" s="45"/>
    </row>
    <row r="26" spans="2:17" ht="16" thickBot="1">
      <c r="B26" s="501"/>
      <c r="C26" s="501"/>
    </row>
    <row r="27" spans="2:17" ht="30" customHeight="1" thickBot="1">
      <c r="B27" s="502" t="s">
        <v>10</v>
      </c>
      <c r="C27" s="503"/>
      <c r="D27" s="504" t="s">
        <v>47</v>
      </c>
      <c r="E27" s="505"/>
      <c r="F27" s="505"/>
      <c r="G27" s="505"/>
      <c r="H27" s="506"/>
      <c r="I27" s="507" t="s">
        <v>48</v>
      </c>
      <c r="J27" s="508"/>
      <c r="K27" s="508"/>
      <c r="L27" s="508"/>
      <c r="M27" s="509"/>
    </row>
    <row r="28" spans="2:17" ht="17.25" customHeight="1">
      <c r="B28" s="510" t="s">
        <v>12</v>
      </c>
      <c r="C28" s="511"/>
      <c r="D28" s="19">
        <v>1</v>
      </c>
      <c r="E28" s="19">
        <v>2</v>
      </c>
      <c r="F28" s="19">
        <v>3</v>
      </c>
      <c r="G28" s="19">
        <v>4</v>
      </c>
      <c r="H28" s="20">
        <v>5</v>
      </c>
      <c r="I28" s="21">
        <v>1</v>
      </c>
      <c r="J28" s="19">
        <v>2</v>
      </c>
      <c r="K28" s="19">
        <v>3</v>
      </c>
      <c r="L28" s="19">
        <v>4</v>
      </c>
      <c r="M28" s="22">
        <v>5</v>
      </c>
    </row>
    <row r="29" spans="2:17" ht="37.5" customHeight="1">
      <c r="B29" s="512"/>
      <c r="C29" s="513"/>
      <c r="D29" s="14" t="s">
        <v>49</v>
      </c>
      <c r="E29" s="14" t="s">
        <v>50</v>
      </c>
      <c r="F29" s="14" t="s">
        <v>51</v>
      </c>
      <c r="G29" s="14" t="s">
        <v>60</v>
      </c>
      <c r="H29" s="23" t="s">
        <v>61</v>
      </c>
      <c r="I29" s="24" t="s">
        <v>62</v>
      </c>
      <c r="J29" s="14" t="s">
        <v>50</v>
      </c>
      <c r="K29" s="14" t="s">
        <v>51</v>
      </c>
      <c r="L29" s="14" t="s">
        <v>60</v>
      </c>
      <c r="M29" s="25" t="s">
        <v>61</v>
      </c>
    </row>
    <row r="30" spans="2:17" ht="39.9" customHeight="1">
      <c r="B30" s="492" t="s">
        <v>27</v>
      </c>
      <c r="C30" s="23" t="s">
        <v>28</v>
      </c>
      <c r="D30" s="34">
        <v>320</v>
      </c>
      <c r="E30" s="34">
        <v>1100</v>
      </c>
      <c r="F30" s="34">
        <v>825</v>
      </c>
      <c r="G30" s="34">
        <v>900</v>
      </c>
      <c r="H30" s="47">
        <v>900</v>
      </c>
      <c r="I30" s="33">
        <v>680</v>
      </c>
      <c r="J30" s="34">
        <v>825</v>
      </c>
      <c r="K30" s="34">
        <v>900</v>
      </c>
      <c r="L30" s="34">
        <v>900</v>
      </c>
      <c r="M30" s="35">
        <v>900</v>
      </c>
    </row>
    <row r="31" spans="2:17" ht="39.9" customHeight="1">
      <c r="B31" s="493"/>
      <c r="C31" s="23" t="s">
        <v>29</v>
      </c>
      <c r="D31" s="15">
        <v>242.54285714285703</v>
      </c>
      <c r="E31" s="15">
        <v>899.40571428571457</v>
      </c>
      <c r="F31" s="15">
        <v>675.35178571428594</v>
      </c>
      <c r="G31" s="15">
        <v>0</v>
      </c>
      <c r="H31" s="48">
        <v>768.1520562770562</v>
      </c>
      <c r="I31" s="49">
        <v>0</v>
      </c>
      <c r="J31" s="15">
        <v>776.58857142856937</v>
      </c>
      <c r="K31" s="15">
        <v>805.38636363636385</v>
      </c>
      <c r="L31" s="15">
        <v>843.16774193268679</v>
      </c>
      <c r="M31" s="16">
        <v>0</v>
      </c>
    </row>
    <row r="32" spans="2:17" ht="39.9" customHeight="1">
      <c r="B32" s="494"/>
      <c r="C32" s="26" t="s">
        <v>30</v>
      </c>
      <c r="D32" s="17">
        <f t="shared" ref="D32:M32" si="1">D31/D30</f>
        <v>0.75794642857142824</v>
      </c>
      <c r="E32" s="17">
        <f t="shared" si="1"/>
        <v>0.81764155844155872</v>
      </c>
      <c r="F32" s="17">
        <f t="shared" si="1"/>
        <v>0.8186082251082254</v>
      </c>
      <c r="G32" s="17">
        <f t="shared" si="1"/>
        <v>0</v>
      </c>
      <c r="H32" s="50">
        <f t="shared" si="1"/>
        <v>0.85350228475228462</v>
      </c>
      <c r="I32" s="51">
        <f t="shared" si="1"/>
        <v>0</v>
      </c>
      <c r="J32" s="17">
        <f t="shared" si="1"/>
        <v>0.941319480519478</v>
      </c>
      <c r="K32" s="17">
        <f t="shared" si="1"/>
        <v>0.89487373737373765</v>
      </c>
      <c r="L32" s="17">
        <f t="shared" si="1"/>
        <v>0.93685304659187418</v>
      </c>
      <c r="M32" s="18">
        <f t="shared" si="1"/>
        <v>0</v>
      </c>
    </row>
    <row r="33" spans="2:13" ht="25.75" customHeight="1">
      <c r="B33" s="495" t="s">
        <v>31</v>
      </c>
      <c r="C33" s="26" t="s">
        <v>32</v>
      </c>
      <c r="D33" s="36">
        <v>0.18055555555555555</v>
      </c>
      <c r="E33" s="36">
        <v>0.18055555555555555</v>
      </c>
      <c r="F33" s="36">
        <v>0.18055555555555555</v>
      </c>
      <c r="G33" s="36">
        <v>0</v>
      </c>
      <c r="H33" s="42">
        <v>0.18055555555555555</v>
      </c>
      <c r="I33" s="38">
        <v>0</v>
      </c>
      <c r="J33" s="36">
        <v>0.72222222222222221</v>
      </c>
      <c r="K33" s="36">
        <v>0.72222222222222221</v>
      </c>
      <c r="L33" s="36">
        <v>0.72222222222222221</v>
      </c>
      <c r="M33" s="37">
        <v>0</v>
      </c>
    </row>
    <row r="34" spans="2:13" ht="25.75" customHeight="1">
      <c r="B34" s="496"/>
      <c r="C34" s="26" t="s">
        <v>33</v>
      </c>
      <c r="D34" s="36">
        <v>0.23611111111111113</v>
      </c>
      <c r="E34" s="36">
        <v>0.39583333333333331</v>
      </c>
      <c r="F34" s="36">
        <v>0.3611111111111111</v>
      </c>
      <c r="G34" s="36">
        <v>0</v>
      </c>
      <c r="H34" s="42">
        <v>0.43402777777777773</v>
      </c>
      <c r="I34" s="38">
        <v>0.43402777777777773</v>
      </c>
      <c r="J34" s="36">
        <v>0.97569444444444453</v>
      </c>
      <c r="K34" s="36">
        <v>0.89930555555555547</v>
      </c>
      <c r="L34" s="36">
        <v>46024.045138888891</v>
      </c>
      <c r="M34" s="37">
        <v>0</v>
      </c>
    </row>
    <row r="35" spans="2:13" ht="25.75" customHeight="1">
      <c r="B35" s="497" t="s">
        <v>34</v>
      </c>
      <c r="C35" s="498"/>
      <c r="D35" s="52">
        <v>5.5</v>
      </c>
      <c r="E35" s="52">
        <v>3</v>
      </c>
      <c r="F35" s="52">
        <v>4</v>
      </c>
      <c r="G35" s="52">
        <v>0</v>
      </c>
      <c r="H35" s="53">
        <v>3.6666666666666665</v>
      </c>
      <c r="I35" s="54">
        <v>0</v>
      </c>
      <c r="J35" s="52">
        <v>3.6</v>
      </c>
      <c r="K35" s="52">
        <v>3.25</v>
      </c>
      <c r="L35" s="52">
        <v>3.6</v>
      </c>
      <c r="M35" s="55">
        <v>0</v>
      </c>
    </row>
    <row r="36" spans="2:13" ht="25.75" customHeight="1">
      <c r="B36" s="497" t="s">
        <v>35</v>
      </c>
      <c r="C36" s="498"/>
      <c r="D36" s="27" t="s">
        <v>49</v>
      </c>
      <c r="E36" s="27" t="s">
        <v>53</v>
      </c>
      <c r="F36" s="27" t="s">
        <v>53</v>
      </c>
      <c r="G36" s="27" t="s">
        <v>52</v>
      </c>
      <c r="H36" s="28" t="s">
        <v>52</v>
      </c>
      <c r="I36" s="29" t="s">
        <v>63</v>
      </c>
      <c r="J36" s="27" t="s">
        <v>53</v>
      </c>
      <c r="K36" s="27" t="s">
        <v>53</v>
      </c>
      <c r="L36" s="27" t="s">
        <v>52</v>
      </c>
      <c r="M36" s="30" t="s">
        <v>52</v>
      </c>
    </row>
    <row r="37" spans="2:13" ht="25.75" customHeight="1">
      <c r="B37" s="497" t="s">
        <v>41</v>
      </c>
      <c r="C37" s="498"/>
      <c r="D37" s="39"/>
      <c r="E37" s="39"/>
      <c r="F37" s="39"/>
      <c r="G37" s="39"/>
      <c r="H37" s="56"/>
      <c r="I37" s="41"/>
      <c r="J37" s="39"/>
      <c r="K37" s="39"/>
      <c r="L37" s="39"/>
      <c r="M37" s="40"/>
    </row>
    <row r="38" spans="2:13" ht="25.75" customHeight="1" thickBot="1">
      <c r="B38" s="499" t="s">
        <v>42</v>
      </c>
      <c r="C38" s="500"/>
      <c r="D38" s="43"/>
      <c r="E38" s="43"/>
      <c r="F38" s="44"/>
      <c r="G38" s="43"/>
      <c r="H38" s="57"/>
      <c r="I38" s="46"/>
      <c r="J38" s="43"/>
      <c r="K38" s="43"/>
      <c r="L38" s="43"/>
      <c r="M38" s="4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1" type="noConversion"/>
  <conditionalFormatting sqref="D32 F32:J32 L32">
    <cfRule type="cellIs" dxfId="18539" priority="6" operator="lessThan">
      <formula>0.8</formula>
    </cfRule>
  </conditionalFormatting>
  <conditionalFormatting sqref="M32">
    <cfRule type="cellIs" dxfId="18538" priority="5" operator="lessThan">
      <formula>0.8</formula>
    </cfRule>
  </conditionalFormatting>
  <conditionalFormatting sqref="K32">
    <cfRule type="cellIs" dxfId="18537" priority="4" operator="lessThan">
      <formula>0.8</formula>
    </cfRule>
  </conditionalFormatting>
  <conditionalFormatting sqref="E32">
    <cfRule type="cellIs" dxfId="18536" priority="3" operator="lessThan">
      <formula>0.8</formula>
    </cfRule>
  </conditionalFormatting>
  <conditionalFormatting sqref="D15:P15">
    <cfRule type="cellIs" dxfId="18535" priority="2" operator="lessThan">
      <formula>0.8</formula>
    </cfRule>
  </conditionalFormatting>
  <conditionalFormatting sqref="Q15">
    <cfRule type="cellIs" dxfId="18534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2" zoomScale="85" zoomScaleNormal="85" workbookViewId="0">
      <selection activeCell="A5" sqref="A5:A16"/>
    </sheetView>
  </sheetViews>
  <sheetFormatPr defaultColWidth="7.90625" defaultRowHeight="15.5"/>
  <cols>
    <col min="1" max="1" width="13.6328125" style="362" customWidth="1"/>
    <col min="2" max="2" width="12.81640625" style="362" customWidth="1"/>
    <col min="3" max="3" width="12.81640625" style="362" hidden="1" customWidth="1"/>
    <col min="4" max="5" width="18.36328125" style="362" customWidth="1"/>
    <col min="6" max="6" width="9.81640625" style="473" customWidth="1"/>
    <col min="7" max="7" width="21.08984375" style="362" bestFit="1" customWidth="1"/>
    <col min="8" max="8" width="15.6328125" style="362" customWidth="1"/>
    <col min="9" max="9" width="12.1796875" style="362" bestFit="1" customWidth="1"/>
    <col min="10" max="15" width="9.81640625" style="362" customWidth="1"/>
    <col min="16" max="16" width="9.81640625" style="474" customWidth="1"/>
    <col min="17" max="18" width="9.81640625" style="362" customWidth="1"/>
    <col min="19" max="16384" width="7.90625" style="362"/>
  </cols>
  <sheetData>
    <row r="1" spans="1:18" ht="26.25" customHeight="1">
      <c r="A1" s="354" t="s">
        <v>287</v>
      </c>
      <c r="B1" s="355"/>
      <c r="C1" s="355"/>
      <c r="D1" s="356" t="s">
        <v>82</v>
      </c>
      <c r="E1" s="357">
        <f>SUM(G5:G124)</f>
        <v>71217</v>
      </c>
      <c r="F1" s="358" t="s">
        <v>2</v>
      </c>
      <c r="G1" s="359">
        <f>SUM(H5:H124)</f>
        <v>1354306.9382272414</v>
      </c>
      <c r="H1" s="360" t="s">
        <v>288</v>
      </c>
      <c r="I1" s="361">
        <f>+J16+J64+J24+J38+J51+J81+J100+J91+J57+J124+J111</f>
        <v>33.838888888888889</v>
      </c>
      <c r="J1" s="613" t="s">
        <v>289</v>
      </c>
      <c r="K1" s="614"/>
      <c r="L1" s="615"/>
      <c r="M1" s="613" t="s">
        <v>86</v>
      </c>
      <c r="N1" s="614"/>
      <c r="O1" s="614"/>
      <c r="P1" s="614"/>
      <c r="Q1" s="614"/>
      <c r="R1" s="615"/>
    </row>
    <row r="2" spans="1:18" ht="26.25" customHeight="1" thickBot="1">
      <c r="A2" s="619" t="s">
        <v>321</v>
      </c>
      <c r="B2" s="620"/>
      <c r="C2" s="363"/>
      <c r="D2" s="364" t="s">
        <v>87</v>
      </c>
      <c r="E2" s="365">
        <f>AVERAGE(L16,L24,L38,L51,L100,L111,L91)</f>
        <v>626.85066443242124</v>
      </c>
      <c r="F2" s="366" t="s">
        <v>88</v>
      </c>
      <c r="G2" s="367">
        <f>G1/E1</f>
        <v>19.016624376584822</v>
      </c>
      <c r="H2" s="368" t="s">
        <v>290</v>
      </c>
      <c r="I2" s="369">
        <f>COUNT(I5:I124)</f>
        <v>0</v>
      </c>
      <c r="J2" s="616"/>
      <c r="K2" s="617"/>
      <c r="L2" s="618"/>
      <c r="M2" s="616"/>
      <c r="N2" s="617"/>
      <c r="O2" s="617"/>
      <c r="P2" s="617"/>
      <c r="Q2" s="617"/>
      <c r="R2" s="618"/>
    </row>
    <row r="3" spans="1:18" ht="23.25" customHeight="1">
      <c r="A3" s="621" t="s">
        <v>90</v>
      </c>
      <c r="B3" s="623" t="s">
        <v>291</v>
      </c>
      <c r="C3" s="370"/>
      <c r="D3" s="623" t="s">
        <v>92</v>
      </c>
      <c r="E3" s="623"/>
      <c r="F3" s="624" t="s">
        <v>93</v>
      </c>
      <c r="G3" s="625" t="s">
        <v>292</v>
      </c>
      <c r="H3" s="626" t="s">
        <v>293</v>
      </c>
      <c r="I3" s="627" t="s">
        <v>96</v>
      </c>
      <c r="J3" s="596" t="s">
        <v>100</v>
      </c>
      <c r="K3" s="606" t="s">
        <v>99</v>
      </c>
      <c r="L3" s="608" t="s">
        <v>87</v>
      </c>
      <c r="M3" s="610" t="s">
        <v>101</v>
      </c>
      <c r="N3" s="610"/>
      <c r="O3" s="596" t="s">
        <v>254</v>
      </c>
      <c r="P3" s="611" t="s">
        <v>103</v>
      </c>
      <c r="Q3" s="596" t="s">
        <v>104</v>
      </c>
      <c r="R3" s="596"/>
    </row>
    <row r="4" spans="1:18" ht="15.75" customHeight="1">
      <c r="A4" s="622"/>
      <c r="B4" s="623"/>
      <c r="C4" s="370"/>
      <c r="D4" s="623"/>
      <c r="E4" s="623"/>
      <c r="F4" s="624"/>
      <c r="G4" s="625"/>
      <c r="H4" s="626"/>
      <c r="I4" s="628"/>
      <c r="J4" s="605"/>
      <c r="K4" s="607"/>
      <c r="L4" s="609"/>
      <c r="M4" s="371" t="s">
        <v>105</v>
      </c>
      <c r="N4" s="371" t="s">
        <v>106</v>
      </c>
      <c r="O4" s="605"/>
      <c r="P4" s="612"/>
      <c r="Q4" s="372" t="s">
        <v>107</v>
      </c>
      <c r="R4" s="372" t="s">
        <v>294</v>
      </c>
    </row>
    <row r="5" spans="1:18">
      <c r="A5" s="597" t="s">
        <v>295</v>
      </c>
      <c r="B5" s="373" t="s">
        <v>250</v>
      </c>
      <c r="C5" s="374"/>
      <c r="D5" s="375" t="s">
        <v>296</v>
      </c>
      <c r="E5" s="376"/>
      <c r="F5" s="377">
        <v>29.965493443754308</v>
      </c>
      <c r="G5" s="370">
        <v>1967</v>
      </c>
      <c r="H5" s="378">
        <f>F5*G5</f>
        <v>58942.125603864726</v>
      </c>
      <c r="I5" s="379"/>
      <c r="J5" s="380">
        <v>13</v>
      </c>
      <c r="K5" s="381">
        <f t="shared" ref="K5:K12" si="0">G5/P5*60</f>
        <v>1242.3157894736844</v>
      </c>
      <c r="L5" s="382">
        <f t="shared" ref="L5:L12" si="1">K5/J5</f>
        <v>95.562753036437257</v>
      </c>
      <c r="M5" s="383">
        <v>0.17361111111111113</v>
      </c>
      <c r="N5" s="383">
        <v>0.23958333333333334</v>
      </c>
      <c r="O5" s="372">
        <v>10</v>
      </c>
      <c r="P5" s="384">
        <f t="shared" ref="P5:P80" si="2">(N5-M5)*24*60</f>
        <v>94.999999999999986</v>
      </c>
      <c r="Q5" s="385"/>
      <c r="R5" s="385"/>
    </row>
    <row r="6" spans="1:18">
      <c r="A6" s="597"/>
      <c r="B6" s="373">
        <v>0</v>
      </c>
      <c r="C6" s="374"/>
      <c r="D6" s="375" t="s">
        <v>297</v>
      </c>
      <c r="E6" s="376"/>
      <c r="F6" s="377" t="s">
        <v>253</v>
      </c>
      <c r="G6" s="370">
        <v>1252</v>
      </c>
      <c r="H6" s="378">
        <f t="shared" ref="H6:H113" si="3">F6*G6</f>
        <v>0</v>
      </c>
      <c r="I6" s="379"/>
      <c r="J6" s="380">
        <v>9</v>
      </c>
      <c r="K6" s="381">
        <f t="shared" si="0"/>
        <v>1669.3333333333348</v>
      </c>
      <c r="L6" s="382">
        <f t="shared" si="1"/>
        <v>185.48148148148164</v>
      </c>
      <c r="M6" s="383">
        <v>0.24305555555555555</v>
      </c>
      <c r="N6" s="383">
        <v>0.27430555555555552</v>
      </c>
      <c r="O6" s="372">
        <v>5</v>
      </c>
      <c r="P6" s="384">
        <f t="shared" si="2"/>
        <v>44.999999999999957</v>
      </c>
      <c r="Q6" s="372"/>
      <c r="R6" s="372"/>
    </row>
    <row r="7" spans="1:18">
      <c r="A7" s="597"/>
      <c r="B7" s="373">
        <v>0</v>
      </c>
      <c r="C7" s="374"/>
      <c r="D7" s="375" t="s">
        <v>298</v>
      </c>
      <c r="E7" s="376"/>
      <c r="F7" s="377" t="s">
        <v>253</v>
      </c>
      <c r="G7" s="370">
        <v>1298</v>
      </c>
      <c r="H7" s="378">
        <f t="shared" si="3"/>
        <v>0</v>
      </c>
      <c r="I7" s="379"/>
      <c r="J7" s="380">
        <v>9</v>
      </c>
      <c r="K7" s="381">
        <f t="shared" si="0"/>
        <v>1557.6000000000004</v>
      </c>
      <c r="L7" s="382">
        <f t="shared" si="1"/>
        <v>173.06666666666672</v>
      </c>
      <c r="M7" s="383">
        <v>0.27777777777777779</v>
      </c>
      <c r="N7" s="383">
        <v>0.3125</v>
      </c>
      <c r="O7" s="372">
        <v>5</v>
      </c>
      <c r="P7" s="384">
        <f t="shared" si="2"/>
        <v>49.999999999999986</v>
      </c>
      <c r="Q7" s="385"/>
      <c r="R7" s="385"/>
    </row>
    <row r="8" spans="1:18">
      <c r="A8" s="597"/>
      <c r="B8" s="373" t="s">
        <v>250</v>
      </c>
      <c r="C8" s="374"/>
      <c r="D8" s="375" t="s">
        <v>299</v>
      </c>
      <c r="E8" s="376"/>
      <c r="F8" s="377">
        <v>19.7</v>
      </c>
      <c r="G8" s="370">
        <v>313</v>
      </c>
      <c r="H8" s="378">
        <f t="shared" si="3"/>
        <v>6166.0999999999995</v>
      </c>
      <c r="I8" s="379"/>
      <c r="J8" s="380">
        <v>10</v>
      </c>
      <c r="K8" s="381">
        <f t="shared" si="0"/>
        <v>1251.9999999999977</v>
      </c>
      <c r="L8" s="382">
        <f t="shared" si="1"/>
        <v>125.19999999999978</v>
      </c>
      <c r="M8" s="383">
        <v>0.31597222222222221</v>
      </c>
      <c r="N8" s="383">
        <v>0.3263888888888889</v>
      </c>
      <c r="O8" s="372">
        <v>5</v>
      </c>
      <c r="P8" s="384">
        <f t="shared" si="2"/>
        <v>15.000000000000027</v>
      </c>
      <c r="Q8" s="385">
        <v>0.3263888888888889</v>
      </c>
      <c r="R8" s="385">
        <v>0.36805555555555558</v>
      </c>
    </row>
    <row r="9" spans="1:18">
      <c r="A9" s="597"/>
      <c r="B9" s="373" t="s">
        <v>249</v>
      </c>
      <c r="C9" s="374"/>
      <c r="D9" s="375" t="s">
        <v>300</v>
      </c>
      <c r="E9" s="376"/>
      <c r="F9" s="377">
        <v>25.64</v>
      </c>
      <c r="G9" s="386">
        <v>533</v>
      </c>
      <c r="H9" s="378">
        <f t="shared" si="3"/>
        <v>13666.12</v>
      </c>
      <c r="I9" s="379"/>
      <c r="J9" s="380">
        <v>10</v>
      </c>
      <c r="K9" s="381">
        <f t="shared" si="0"/>
        <v>1599.0000000000057</v>
      </c>
      <c r="L9" s="382">
        <f t="shared" si="1"/>
        <v>159.90000000000057</v>
      </c>
      <c r="M9" s="383">
        <v>0.36805555555555558</v>
      </c>
      <c r="N9" s="383">
        <v>0.38194444444444442</v>
      </c>
      <c r="O9" s="372">
        <v>5</v>
      </c>
      <c r="P9" s="384">
        <f t="shared" si="2"/>
        <v>19.999999999999929</v>
      </c>
      <c r="Q9" s="385"/>
      <c r="R9" s="385"/>
    </row>
    <row r="10" spans="1:18">
      <c r="A10" s="597"/>
      <c r="B10" s="373" t="s">
        <v>249</v>
      </c>
      <c r="C10" s="374"/>
      <c r="D10" s="375" t="s">
        <v>301</v>
      </c>
      <c r="E10" s="376"/>
      <c r="F10" s="377">
        <v>30.95</v>
      </c>
      <c r="G10" s="386">
        <v>1438</v>
      </c>
      <c r="H10" s="378">
        <f t="shared" si="3"/>
        <v>44506.1</v>
      </c>
      <c r="I10" s="379"/>
      <c r="J10" s="380">
        <v>15</v>
      </c>
      <c r="K10" s="381">
        <f t="shared" si="0"/>
        <v>1232.5714285714303</v>
      </c>
      <c r="L10" s="382">
        <f t="shared" si="1"/>
        <v>82.171428571428677</v>
      </c>
      <c r="M10" s="383">
        <v>0.38541666666666669</v>
      </c>
      <c r="N10" s="383">
        <v>0.43402777777777773</v>
      </c>
      <c r="O10" s="372">
        <v>5</v>
      </c>
      <c r="P10" s="384">
        <f t="shared" si="2"/>
        <v>69.999999999999915</v>
      </c>
      <c r="Q10" s="385"/>
      <c r="R10" s="385"/>
    </row>
    <row r="11" spans="1:18">
      <c r="A11" s="597"/>
      <c r="B11" s="373" t="s">
        <v>249</v>
      </c>
      <c r="C11" s="374"/>
      <c r="D11" s="375" t="s">
        <v>302</v>
      </c>
      <c r="E11" s="376"/>
      <c r="F11" s="377">
        <v>29.52</v>
      </c>
      <c r="G11" s="386">
        <v>1252</v>
      </c>
      <c r="H11" s="378">
        <f t="shared" si="3"/>
        <v>36959.040000000001</v>
      </c>
      <c r="I11" s="379"/>
      <c r="J11" s="380">
        <v>12</v>
      </c>
      <c r="K11" s="381">
        <f t="shared" si="0"/>
        <v>1878.000000000003</v>
      </c>
      <c r="L11" s="382">
        <f t="shared" si="1"/>
        <v>156.50000000000026</v>
      </c>
      <c r="M11" s="383">
        <v>0.4375</v>
      </c>
      <c r="N11" s="383">
        <v>0.46527777777777773</v>
      </c>
      <c r="O11" s="372">
        <v>5</v>
      </c>
      <c r="P11" s="384">
        <f t="shared" si="2"/>
        <v>39.999999999999936</v>
      </c>
      <c r="Q11" s="385"/>
      <c r="R11" s="385"/>
    </row>
    <row r="12" spans="1:18">
      <c r="A12" s="598"/>
      <c r="B12" s="373" t="s">
        <v>249</v>
      </c>
      <c r="C12" s="374"/>
      <c r="D12" s="375" t="s">
        <v>255</v>
      </c>
      <c r="E12" s="376"/>
      <c r="F12" s="377">
        <v>29.856999999999999</v>
      </c>
      <c r="G12" s="386">
        <v>1298</v>
      </c>
      <c r="H12" s="378">
        <f t="shared" si="3"/>
        <v>38754.385999999999</v>
      </c>
      <c r="I12" s="379"/>
      <c r="J12" s="380">
        <v>12</v>
      </c>
      <c r="K12" s="381">
        <f t="shared" si="0"/>
        <v>1730.6666666666667</v>
      </c>
      <c r="L12" s="382">
        <f t="shared" si="1"/>
        <v>144.22222222222223</v>
      </c>
      <c r="M12" s="383">
        <v>0.46875</v>
      </c>
      <c r="N12" s="383">
        <v>0.5</v>
      </c>
      <c r="O12" s="372">
        <v>5</v>
      </c>
      <c r="P12" s="384">
        <f t="shared" si="2"/>
        <v>45</v>
      </c>
      <c r="Q12" s="385"/>
      <c r="R12" s="385"/>
    </row>
    <row r="13" spans="1:18">
      <c r="A13" s="598"/>
      <c r="B13" s="373" t="s">
        <v>250</v>
      </c>
      <c r="C13" s="387"/>
      <c r="D13" s="591" t="s">
        <v>256</v>
      </c>
      <c r="E13" s="592"/>
      <c r="F13" s="377">
        <v>28.57</v>
      </c>
      <c r="G13" s="388">
        <v>1750</v>
      </c>
      <c r="H13" s="378">
        <f t="shared" si="3"/>
        <v>49997.5</v>
      </c>
      <c r="I13" s="379"/>
      <c r="J13" s="380">
        <v>8</v>
      </c>
      <c r="K13" s="381">
        <f>G13/P13*60</f>
        <v>1500.0000000000002</v>
      </c>
      <c r="L13" s="382">
        <f>K13/J13</f>
        <v>187.50000000000003</v>
      </c>
      <c r="M13" s="383">
        <v>0.25</v>
      </c>
      <c r="N13" s="383">
        <v>0.2986111111111111</v>
      </c>
      <c r="O13" s="372">
        <v>20</v>
      </c>
      <c r="P13" s="384">
        <f t="shared" si="2"/>
        <v>69.999999999999986</v>
      </c>
      <c r="Q13" s="372"/>
      <c r="R13" s="372"/>
    </row>
    <row r="14" spans="1:18">
      <c r="A14" s="598"/>
      <c r="B14" s="373">
        <v>0</v>
      </c>
      <c r="C14" s="387"/>
      <c r="D14" s="375"/>
      <c r="E14" s="376"/>
      <c r="F14" s="377" t="s">
        <v>253</v>
      </c>
      <c r="G14" s="386"/>
      <c r="H14" s="378">
        <f t="shared" si="3"/>
        <v>0</v>
      </c>
      <c r="I14" s="379"/>
      <c r="J14" s="380"/>
      <c r="K14" s="381"/>
      <c r="L14" s="382"/>
      <c r="M14" s="383"/>
      <c r="N14" s="383"/>
      <c r="O14" s="372"/>
      <c r="P14" s="384">
        <f t="shared" si="2"/>
        <v>0</v>
      </c>
      <c r="Q14" s="372"/>
      <c r="R14" s="372"/>
    </row>
    <row r="15" spans="1:18">
      <c r="A15" s="598"/>
      <c r="B15" s="373">
        <v>0</v>
      </c>
      <c r="C15" s="389"/>
      <c r="D15" s="390"/>
      <c r="E15" s="390"/>
      <c r="F15" s="377" t="s">
        <v>253</v>
      </c>
      <c r="G15" s="386"/>
      <c r="H15" s="378">
        <f t="shared" si="3"/>
        <v>0</v>
      </c>
      <c r="I15" s="379"/>
      <c r="J15" s="380"/>
      <c r="K15" s="381"/>
      <c r="L15" s="382"/>
      <c r="M15" s="383"/>
      <c r="N15" s="383"/>
      <c r="O15" s="372"/>
      <c r="P15" s="384">
        <f t="shared" si="2"/>
        <v>0</v>
      </c>
      <c r="Q15" s="372"/>
      <c r="R15" s="372"/>
    </row>
    <row r="16" spans="1:18" ht="15.75" customHeight="1">
      <c r="A16" s="599"/>
      <c r="B16" s="373">
        <v>0</v>
      </c>
      <c r="C16" s="391" t="s">
        <v>257</v>
      </c>
      <c r="D16" s="583" t="s">
        <v>114</v>
      </c>
      <c r="E16" s="583"/>
      <c r="F16" s="392"/>
      <c r="G16" s="393"/>
      <c r="H16" s="394"/>
      <c r="I16" s="395"/>
      <c r="J16" s="396">
        <f>AVERAGE(J5:J15)</f>
        <v>10.888888888888889</v>
      </c>
      <c r="K16" s="396">
        <f>AVERAGE(K5:K15)</f>
        <v>1517.9430242272358</v>
      </c>
      <c r="L16" s="397">
        <f>AVERAGE(L5:L15)</f>
        <v>145.51161688647079</v>
      </c>
      <c r="M16" s="383"/>
      <c r="N16" s="383"/>
      <c r="O16" s="381"/>
      <c r="P16" s="381"/>
      <c r="Q16" s="382"/>
      <c r="R16" s="382"/>
    </row>
    <row r="17" spans="1:18" ht="15.75" customHeight="1">
      <c r="A17" s="600" t="s">
        <v>258</v>
      </c>
      <c r="B17" s="373" t="s">
        <v>250</v>
      </c>
      <c r="C17" s="398"/>
      <c r="D17" s="603" t="s">
        <v>259</v>
      </c>
      <c r="E17" s="604"/>
      <c r="F17" s="377">
        <v>14.03</v>
      </c>
      <c r="G17" s="370">
        <v>581</v>
      </c>
      <c r="H17" s="399">
        <f t="shared" ref="H17:H23" si="4">F17*G17</f>
        <v>8151.4299999999994</v>
      </c>
      <c r="I17" s="400"/>
      <c r="J17" s="380">
        <v>6</v>
      </c>
      <c r="K17" s="381">
        <f>G17/P17*60</f>
        <v>1394.4000000000003</v>
      </c>
      <c r="L17" s="382">
        <f>K17/J17</f>
        <v>232.40000000000006</v>
      </c>
      <c r="M17" s="383">
        <v>0.18055555555555555</v>
      </c>
      <c r="N17" s="383">
        <v>0.19791666666666666</v>
      </c>
      <c r="O17" s="372">
        <v>20</v>
      </c>
      <c r="P17" s="384">
        <f>(N17-M17)*24*60</f>
        <v>24.999999999999993</v>
      </c>
      <c r="Q17" s="372"/>
      <c r="R17" s="372"/>
    </row>
    <row r="18" spans="1:18" ht="15.75" customHeight="1">
      <c r="A18" s="600"/>
      <c r="B18" s="373" t="s">
        <v>250</v>
      </c>
      <c r="C18" s="401"/>
      <c r="D18" s="591" t="s">
        <v>260</v>
      </c>
      <c r="E18" s="592"/>
      <c r="F18" s="377">
        <v>14.49</v>
      </c>
      <c r="G18" s="388">
        <v>737</v>
      </c>
      <c r="H18" s="378">
        <f t="shared" si="4"/>
        <v>10679.130000000001</v>
      </c>
      <c r="I18" s="379"/>
      <c r="J18" s="380">
        <v>5</v>
      </c>
      <c r="K18" s="381">
        <f>G18/P18*60</f>
        <v>1263.4285714285702</v>
      </c>
      <c r="L18" s="382">
        <f>K18/J18</f>
        <v>252.68571428571403</v>
      </c>
      <c r="M18" s="383">
        <v>0.21180555555555555</v>
      </c>
      <c r="N18" s="383">
        <v>0.23611111111111113</v>
      </c>
      <c r="O18" s="372">
        <v>20</v>
      </c>
      <c r="P18" s="384">
        <f t="shared" ref="P18:P23" si="5">(N18-M18)*24*60</f>
        <v>35.000000000000036</v>
      </c>
      <c r="Q18" s="385"/>
      <c r="R18" s="385"/>
    </row>
    <row r="19" spans="1:18" ht="15.75" customHeight="1">
      <c r="A19" s="600"/>
      <c r="B19" s="373">
        <v>0</v>
      </c>
      <c r="C19" s="401"/>
      <c r="D19" s="591"/>
      <c r="E19" s="592"/>
      <c r="F19" s="377"/>
      <c r="G19" s="388"/>
      <c r="H19" s="378">
        <f t="shared" si="4"/>
        <v>0</v>
      </c>
      <c r="I19" s="379"/>
      <c r="J19" s="380"/>
      <c r="K19" s="381"/>
      <c r="L19" s="382"/>
      <c r="M19" s="383"/>
      <c r="N19" s="383"/>
      <c r="O19" s="372"/>
      <c r="P19" s="384"/>
      <c r="Q19" s="385"/>
      <c r="R19" s="385"/>
    </row>
    <row r="20" spans="1:18" ht="15.75" customHeight="1">
      <c r="A20" s="601"/>
      <c r="B20" s="373">
        <v>0</v>
      </c>
      <c r="C20" s="402"/>
      <c r="D20" s="403"/>
      <c r="E20" s="404"/>
      <c r="F20" s="377" t="s">
        <v>253</v>
      </c>
      <c r="G20" s="388"/>
      <c r="H20" s="378">
        <f t="shared" si="4"/>
        <v>0</v>
      </c>
      <c r="I20" s="379"/>
      <c r="J20" s="380"/>
      <c r="K20" s="381"/>
      <c r="L20" s="382"/>
      <c r="M20" s="383"/>
      <c r="N20" s="383"/>
      <c r="O20" s="372"/>
      <c r="P20" s="384">
        <f t="shared" si="5"/>
        <v>0</v>
      </c>
      <c r="Q20" s="372"/>
      <c r="R20" s="372"/>
    </row>
    <row r="21" spans="1:18" ht="15.75" customHeight="1">
      <c r="A21" s="601"/>
      <c r="B21" s="373">
        <v>0</v>
      </c>
      <c r="C21" s="402"/>
      <c r="D21" s="403"/>
      <c r="E21" s="404"/>
      <c r="F21" s="377" t="s">
        <v>253</v>
      </c>
      <c r="G21" s="388"/>
      <c r="H21" s="378">
        <f t="shared" si="4"/>
        <v>0</v>
      </c>
      <c r="I21" s="379"/>
      <c r="J21" s="380"/>
      <c r="K21" s="381"/>
      <c r="L21" s="382"/>
      <c r="M21" s="383"/>
      <c r="N21" s="383"/>
      <c r="O21" s="372"/>
      <c r="P21" s="384">
        <f t="shared" si="5"/>
        <v>0</v>
      </c>
      <c r="Q21" s="372"/>
      <c r="R21" s="372"/>
    </row>
    <row r="22" spans="1:18" ht="15.75" customHeight="1">
      <c r="A22" s="601"/>
      <c r="B22" s="373">
        <v>0</v>
      </c>
      <c r="C22" s="402"/>
      <c r="D22" s="403"/>
      <c r="E22" s="404"/>
      <c r="F22" s="377" t="s">
        <v>253</v>
      </c>
      <c r="G22" s="388"/>
      <c r="H22" s="378">
        <f t="shared" si="4"/>
        <v>0</v>
      </c>
      <c r="I22" s="379"/>
      <c r="J22" s="380"/>
      <c r="K22" s="381"/>
      <c r="L22" s="382"/>
      <c r="M22" s="383"/>
      <c r="N22" s="383"/>
      <c r="O22" s="372"/>
      <c r="P22" s="384">
        <f t="shared" si="5"/>
        <v>0</v>
      </c>
      <c r="Q22" s="372"/>
      <c r="R22" s="372"/>
    </row>
    <row r="23" spans="1:18" ht="15.75" customHeight="1">
      <c r="A23" s="601"/>
      <c r="B23" s="373">
        <v>0</v>
      </c>
      <c r="C23" s="402"/>
      <c r="D23" s="403"/>
      <c r="E23" s="404"/>
      <c r="F23" s="377" t="s">
        <v>253</v>
      </c>
      <c r="G23" s="388"/>
      <c r="H23" s="378">
        <f t="shared" si="4"/>
        <v>0</v>
      </c>
      <c r="I23" s="379"/>
      <c r="J23" s="380"/>
      <c r="K23" s="381"/>
      <c r="L23" s="382"/>
      <c r="M23" s="383"/>
      <c r="N23" s="383"/>
      <c r="O23" s="372"/>
      <c r="P23" s="384">
        <f t="shared" si="5"/>
        <v>0</v>
      </c>
      <c r="Q23" s="372"/>
      <c r="R23" s="372"/>
    </row>
    <row r="24" spans="1:18" ht="17.399999999999999" customHeight="1">
      <c r="A24" s="602"/>
      <c r="B24" s="373">
        <v>0</v>
      </c>
      <c r="C24" s="12" t="s">
        <v>261</v>
      </c>
      <c r="D24" s="583" t="s">
        <v>114</v>
      </c>
      <c r="E24" s="583"/>
      <c r="F24" s="392"/>
      <c r="G24" s="405"/>
      <c r="H24" s="394"/>
      <c r="I24" s="395"/>
      <c r="J24" s="396">
        <f>AVERAGE(J17:J23)</f>
        <v>5.5</v>
      </c>
      <c r="K24" s="396">
        <f>AVERAGE(K17:K23)</f>
        <v>1328.9142857142851</v>
      </c>
      <c r="L24" s="397">
        <f>AVERAGE(L17:L23)</f>
        <v>242.54285714285703</v>
      </c>
      <c r="M24" s="383"/>
      <c r="N24" s="383"/>
      <c r="O24" s="372"/>
      <c r="P24" s="372"/>
      <c r="Q24" s="372"/>
      <c r="R24" s="372"/>
    </row>
    <row r="25" spans="1:18">
      <c r="A25" s="585" t="s">
        <v>262</v>
      </c>
      <c r="B25" s="373" t="s">
        <v>250</v>
      </c>
      <c r="C25" s="406"/>
      <c r="D25" s="407" t="s">
        <v>303</v>
      </c>
      <c r="E25" s="408"/>
      <c r="F25" s="377">
        <v>18.18</v>
      </c>
      <c r="G25" s="370">
        <v>836</v>
      </c>
      <c r="H25" s="378">
        <f t="shared" ref="H25:H37" si="6">F25*G25</f>
        <v>15198.48</v>
      </c>
      <c r="I25" s="379"/>
      <c r="J25" s="380">
        <v>3</v>
      </c>
      <c r="K25" s="381">
        <f t="shared" ref="K25:K29" si="7">G25/P25*60</f>
        <v>2507.9999999999991</v>
      </c>
      <c r="L25" s="382">
        <f t="shared" ref="L25:L29" si="8">K25/J25</f>
        <v>835.99999999999966</v>
      </c>
      <c r="M25" s="383">
        <v>0.18055555555555555</v>
      </c>
      <c r="N25" s="383">
        <v>0.19444444444444445</v>
      </c>
      <c r="O25" s="372">
        <v>20</v>
      </c>
      <c r="P25" s="384">
        <f t="shared" ref="P25:P37" si="9">(N25-M25)*24*60</f>
        <v>20.000000000000007</v>
      </c>
      <c r="Q25" s="385"/>
      <c r="R25" s="385"/>
    </row>
    <row r="26" spans="1:18">
      <c r="A26" s="585"/>
      <c r="B26" s="373" t="s">
        <v>250</v>
      </c>
      <c r="C26" s="409"/>
      <c r="D26" s="410" t="s">
        <v>304</v>
      </c>
      <c r="E26" s="411"/>
      <c r="F26" s="377">
        <v>18.18</v>
      </c>
      <c r="G26" s="370">
        <v>1386</v>
      </c>
      <c r="H26" s="378">
        <f t="shared" si="6"/>
        <v>25197.48</v>
      </c>
      <c r="I26" s="379"/>
      <c r="J26" s="380">
        <v>3</v>
      </c>
      <c r="K26" s="381">
        <f t="shared" si="7"/>
        <v>2772.0000000000027</v>
      </c>
      <c r="L26" s="382">
        <f t="shared" si="8"/>
        <v>924.00000000000091</v>
      </c>
      <c r="M26" s="383">
        <v>0.20833333333333334</v>
      </c>
      <c r="N26" s="383">
        <v>0.22916666666666666</v>
      </c>
      <c r="O26" s="372">
        <v>20</v>
      </c>
      <c r="P26" s="384">
        <f t="shared" si="9"/>
        <v>29.999999999999972</v>
      </c>
      <c r="Q26" s="385"/>
      <c r="R26" s="385"/>
    </row>
    <row r="27" spans="1:18">
      <c r="A27" s="585"/>
      <c r="B27" s="373" t="s">
        <v>250</v>
      </c>
      <c r="C27" s="409"/>
      <c r="D27" s="410" t="s">
        <v>305</v>
      </c>
      <c r="E27" s="411"/>
      <c r="F27" s="377">
        <v>17.890909090909091</v>
      </c>
      <c r="G27" s="370">
        <v>1567</v>
      </c>
      <c r="H27" s="378">
        <f t="shared" si="6"/>
        <v>28035.054545454546</v>
      </c>
      <c r="I27" s="379"/>
      <c r="J27" s="380">
        <v>3</v>
      </c>
      <c r="K27" s="381">
        <f t="shared" si="7"/>
        <v>2686.2857142857147</v>
      </c>
      <c r="L27" s="382">
        <f t="shared" si="8"/>
        <v>895.42857142857156</v>
      </c>
      <c r="M27" s="383">
        <v>0.24305555555555555</v>
      </c>
      <c r="N27" s="383">
        <v>0.2673611111111111</v>
      </c>
      <c r="O27" s="372">
        <v>20</v>
      </c>
      <c r="P27" s="384">
        <f t="shared" si="9"/>
        <v>34.999999999999993</v>
      </c>
      <c r="Q27" s="385"/>
      <c r="R27" s="385"/>
    </row>
    <row r="28" spans="1:18">
      <c r="A28" s="585"/>
      <c r="B28" s="373" t="s">
        <v>250</v>
      </c>
      <c r="C28" s="412"/>
      <c r="D28" s="410" t="s">
        <v>306</v>
      </c>
      <c r="E28" s="413"/>
      <c r="F28" s="377">
        <v>21.45</v>
      </c>
      <c r="G28" s="370">
        <v>1139</v>
      </c>
      <c r="H28" s="378">
        <f t="shared" si="6"/>
        <v>24431.55</v>
      </c>
      <c r="I28" s="379"/>
      <c r="J28" s="380">
        <v>3</v>
      </c>
      <c r="K28" s="381">
        <f t="shared" si="7"/>
        <v>2733.6000000000008</v>
      </c>
      <c r="L28" s="382">
        <f t="shared" si="8"/>
        <v>911.20000000000027</v>
      </c>
      <c r="M28" s="383">
        <v>0.28472222222222221</v>
      </c>
      <c r="N28" s="383">
        <v>0.30208333333333331</v>
      </c>
      <c r="O28" s="372">
        <v>25</v>
      </c>
      <c r="P28" s="384">
        <f t="shared" si="9"/>
        <v>24.999999999999993</v>
      </c>
      <c r="Q28" s="385">
        <v>0.31944444444444448</v>
      </c>
      <c r="R28" s="385">
        <v>0.3611111111111111</v>
      </c>
    </row>
    <row r="29" spans="1:18">
      <c r="A29" s="585"/>
      <c r="B29" s="373" t="s">
        <v>249</v>
      </c>
      <c r="C29" s="414"/>
      <c r="D29" s="410" t="s">
        <v>263</v>
      </c>
      <c r="E29" s="413"/>
      <c r="F29" s="377">
        <v>18.53</v>
      </c>
      <c r="G29" s="370">
        <v>2326</v>
      </c>
      <c r="H29" s="378">
        <f t="shared" si="6"/>
        <v>43100.780000000006</v>
      </c>
      <c r="I29" s="379"/>
      <c r="J29" s="380">
        <v>3</v>
      </c>
      <c r="K29" s="381">
        <f t="shared" si="7"/>
        <v>2791.2000000000007</v>
      </c>
      <c r="L29" s="382">
        <f t="shared" si="8"/>
        <v>930.4000000000002</v>
      </c>
      <c r="M29" s="383">
        <v>0.3611111111111111</v>
      </c>
      <c r="N29" s="383">
        <v>0.39583333333333331</v>
      </c>
      <c r="O29" s="372">
        <v>20</v>
      </c>
      <c r="P29" s="384">
        <f t="shared" si="9"/>
        <v>49.999999999999986</v>
      </c>
      <c r="Q29" s="385"/>
      <c r="R29" s="385"/>
    </row>
    <row r="30" spans="1:18">
      <c r="A30" s="585"/>
      <c r="B30" s="373"/>
      <c r="C30" s="414"/>
      <c r="D30" s="410"/>
      <c r="E30" s="413"/>
      <c r="F30" s="377"/>
      <c r="G30" s="370"/>
      <c r="H30" s="378">
        <f t="shared" si="6"/>
        <v>0</v>
      </c>
      <c r="I30" s="379"/>
      <c r="J30" s="380"/>
      <c r="K30" s="381"/>
      <c r="L30" s="382"/>
      <c r="M30" s="383"/>
      <c r="N30" s="383"/>
      <c r="O30" s="372"/>
      <c r="P30" s="384">
        <f t="shared" si="9"/>
        <v>0</v>
      </c>
      <c r="Q30" s="385"/>
      <c r="R30" s="385"/>
    </row>
    <row r="31" spans="1:18" ht="15.75" customHeight="1">
      <c r="A31" s="585"/>
      <c r="B31" s="373">
        <v>0</v>
      </c>
      <c r="C31" s="415"/>
      <c r="D31" s="407"/>
      <c r="E31" s="413"/>
      <c r="F31" s="377" t="s">
        <v>253</v>
      </c>
      <c r="G31" s="370"/>
      <c r="H31" s="378">
        <f t="shared" si="6"/>
        <v>0</v>
      </c>
      <c r="I31" s="379"/>
      <c r="J31" s="380"/>
      <c r="K31" s="381"/>
      <c r="L31" s="382"/>
      <c r="M31" s="383"/>
      <c r="N31" s="383"/>
      <c r="O31" s="372"/>
      <c r="P31" s="384">
        <f t="shared" si="9"/>
        <v>0</v>
      </c>
      <c r="Q31" s="385"/>
      <c r="R31" s="385"/>
    </row>
    <row r="32" spans="1:18">
      <c r="A32" s="585"/>
      <c r="B32" s="373">
        <v>0</v>
      </c>
      <c r="C32" s="401"/>
      <c r="D32" s="410"/>
      <c r="E32" s="404"/>
      <c r="F32" s="377" t="s">
        <v>253</v>
      </c>
      <c r="G32" s="370"/>
      <c r="H32" s="378">
        <f t="shared" si="6"/>
        <v>0</v>
      </c>
      <c r="I32" s="379"/>
      <c r="J32" s="380"/>
      <c r="K32" s="381"/>
      <c r="L32" s="382"/>
      <c r="M32" s="383"/>
      <c r="N32" s="383"/>
      <c r="O32" s="372"/>
      <c r="P32" s="384">
        <f t="shared" si="9"/>
        <v>0</v>
      </c>
      <c r="Q32" s="385"/>
      <c r="R32" s="385"/>
    </row>
    <row r="33" spans="1:18">
      <c r="A33" s="585"/>
      <c r="B33" s="373">
        <v>0</v>
      </c>
      <c r="C33" s="414"/>
      <c r="D33" s="410"/>
      <c r="E33" s="413"/>
      <c r="F33" s="377" t="s">
        <v>253</v>
      </c>
      <c r="G33" s="370"/>
      <c r="H33" s="378">
        <f t="shared" si="6"/>
        <v>0</v>
      </c>
      <c r="I33" s="379"/>
      <c r="J33" s="380"/>
      <c r="K33" s="381"/>
      <c r="L33" s="382"/>
      <c r="M33" s="383"/>
      <c r="N33" s="383"/>
      <c r="O33" s="372"/>
      <c r="P33" s="384">
        <f t="shared" si="9"/>
        <v>0</v>
      </c>
      <c r="Q33" s="385"/>
      <c r="R33" s="385"/>
    </row>
    <row r="34" spans="1:18">
      <c r="A34" s="585"/>
      <c r="B34" s="373">
        <v>0</v>
      </c>
      <c r="C34" s="416"/>
      <c r="D34" s="410"/>
      <c r="E34" s="413"/>
      <c r="F34" s="377" t="s">
        <v>253</v>
      </c>
      <c r="G34" s="417"/>
      <c r="H34" s="378">
        <f t="shared" si="6"/>
        <v>0</v>
      </c>
      <c r="I34" s="379"/>
      <c r="J34" s="380"/>
      <c r="K34" s="381"/>
      <c r="L34" s="382"/>
      <c r="M34" s="383"/>
      <c r="N34" s="383"/>
      <c r="O34" s="372"/>
      <c r="P34" s="384">
        <f t="shared" si="9"/>
        <v>0</v>
      </c>
      <c r="Q34" s="385"/>
      <c r="R34" s="385"/>
    </row>
    <row r="35" spans="1:18">
      <c r="A35" s="585"/>
      <c r="B35" s="373">
        <v>0</v>
      </c>
      <c r="C35" s="418"/>
      <c r="D35" s="410"/>
      <c r="E35" s="413"/>
      <c r="F35" s="377" t="s">
        <v>253</v>
      </c>
      <c r="G35" s="417"/>
      <c r="H35" s="378">
        <f t="shared" si="6"/>
        <v>0</v>
      </c>
      <c r="I35" s="379"/>
      <c r="J35" s="380"/>
      <c r="K35" s="381"/>
      <c r="L35" s="382"/>
      <c r="M35" s="383"/>
      <c r="N35" s="383"/>
      <c r="O35" s="372"/>
      <c r="P35" s="384">
        <f t="shared" si="9"/>
        <v>0</v>
      </c>
      <c r="Q35" s="385"/>
      <c r="R35" s="385"/>
    </row>
    <row r="36" spans="1:18">
      <c r="A36" s="585"/>
      <c r="B36" s="373">
        <v>0</v>
      </c>
      <c r="C36" s="418"/>
      <c r="D36" s="419"/>
      <c r="E36" s="419"/>
      <c r="F36" s="377" t="s">
        <v>253</v>
      </c>
      <c r="G36" s="417"/>
      <c r="H36" s="378">
        <f t="shared" si="6"/>
        <v>0</v>
      </c>
      <c r="I36" s="379"/>
      <c r="J36" s="380"/>
      <c r="K36" s="381"/>
      <c r="L36" s="382"/>
      <c r="M36" s="383"/>
      <c r="N36" s="383"/>
      <c r="O36" s="372"/>
      <c r="P36" s="384">
        <f t="shared" si="9"/>
        <v>0</v>
      </c>
      <c r="Q36" s="385"/>
      <c r="R36" s="385"/>
    </row>
    <row r="37" spans="1:18">
      <c r="A37" s="585"/>
      <c r="B37" s="373">
        <v>0</v>
      </c>
      <c r="C37" s="418"/>
      <c r="D37" s="411"/>
      <c r="E37" s="411"/>
      <c r="F37" s="377" t="s">
        <v>253</v>
      </c>
      <c r="G37" s="417"/>
      <c r="H37" s="378">
        <f t="shared" si="6"/>
        <v>0</v>
      </c>
      <c r="I37" s="379"/>
      <c r="J37" s="380"/>
      <c r="K37" s="381"/>
      <c r="L37" s="382"/>
      <c r="M37" s="383"/>
      <c r="N37" s="383"/>
      <c r="O37" s="372"/>
      <c r="P37" s="384">
        <f t="shared" si="9"/>
        <v>0</v>
      </c>
      <c r="Q37" s="385"/>
      <c r="R37" s="385"/>
    </row>
    <row r="38" spans="1:18" ht="17.399999999999999" customHeight="1">
      <c r="A38" s="586"/>
      <c r="B38" s="373">
        <v>0</v>
      </c>
      <c r="C38" s="12" t="s">
        <v>50</v>
      </c>
      <c r="D38" s="578" t="s">
        <v>264</v>
      </c>
      <c r="E38" s="578"/>
      <c r="F38" s="392"/>
      <c r="G38" s="420"/>
      <c r="H38" s="394"/>
      <c r="I38" s="395"/>
      <c r="J38" s="396">
        <f>AVERAGE(J25:J37)</f>
        <v>3</v>
      </c>
      <c r="K38" s="396">
        <f>AVERAGE(K25:K37)</f>
        <v>2698.2171428571437</v>
      </c>
      <c r="L38" s="397">
        <f>AVERAGE(L25:L37)</f>
        <v>899.40571428571457</v>
      </c>
      <c r="M38" s="383"/>
      <c r="N38" s="383"/>
      <c r="O38" s="381"/>
      <c r="P38" s="381"/>
      <c r="Q38" s="382"/>
      <c r="R38" s="382"/>
    </row>
    <row r="39" spans="1:18" ht="16.25" customHeight="1">
      <c r="A39" s="587" t="s">
        <v>265</v>
      </c>
      <c r="B39" s="373" t="s">
        <v>250</v>
      </c>
      <c r="C39" s="401"/>
      <c r="D39" s="425" t="s">
        <v>266</v>
      </c>
      <c r="E39" s="404"/>
      <c r="F39" s="377">
        <v>22.281818181818181</v>
      </c>
      <c r="G39" s="370">
        <v>605</v>
      </c>
      <c r="H39" s="378">
        <f t="shared" ref="H39:H47" si="10">F39*G39</f>
        <v>13480.5</v>
      </c>
      <c r="I39" s="379"/>
      <c r="J39" s="380">
        <v>4</v>
      </c>
      <c r="K39" s="381">
        <f>G39/P39*60</f>
        <v>2420.0000000000023</v>
      </c>
      <c r="L39" s="382">
        <f>K39/J39</f>
        <v>605.00000000000057</v>
      </c>
      <c r="M39" s="383">
        <v>0.18055555555555555</v>
      </c>
      <c r="N39" s="383">
        <v>0.19097222222222221</v>
      </c>
      <c r="O39" s="372">
        <v>20</v>
      </c>
      <c r="P39" s="384">
        <f t="shared" ref="P39:P50" si="11">(N39-M39)*24*60</f>
        <v>14.999999999999986</v>
      </c>
      <c r="Q39" s="385"/>
      <c r="R39" s="385"/>
    </row>
    <row r="40" spans="1:18">
      <c r="A40" s="588"/>
      <c r="B40" s="373" t="s">
        <v>250</v>
      </c>
      <c r="C40" s="401"/>
      <c r="D40" s="425" t="s">
        <v>267</v>
      </c>
      <c r="E40" s="404"/>
      <c r="F40" s="377">
        <v>16.66</v>
      </c>
      <c r="G40" s="370">
        <v>2341</v>
      </c>
      <c r="H40" s="378">
        <f t="shared" si="10"/>
        <v>39001.06</v>
      </c>
      <c r="I40" s="379"/>
      <c r="J40" s="380">
        <v>4</v>
      </c>
      <c r="K40" s="381">
        <f>G40/P40*60</f>
        <v>2809.2000000000007</v>
      </c>
      <c r="L40" s="382">
        <f>K40/J40</f>
        <v>702.30000000000018</v>
      </c>
      <c r="M40" s="383">
        <v>0.20486111111111113</v>
      </c>
      <c r="N40" s="383">
        <v>0.23958333333333334</v>
      </c>
      <c r="O40" s="372">
        <v>20</v>
      </c>
      <c r="P40" s="384">
        <f t="shared" si="11"/>
        <v>49.999999999999986</v>
      </c>
      <c r="Q40" s="385"/>
      <c r="R40" s="385"/>
    </row>
    <row r="41" spans="1:18">
      <c r="A41" s="588"/>
      <c r="B41" s="373" t="s">
        <v>250</v>
      </c>
      <c r="C41" s="401"/>
      <c r="D41" s="425" t="s">
        <v>268</v>
      </c>
      <c r="E41" s="404"/>
      <c r="F41" s="377">
        <v>18.18</v>
      </c>
      <c r="G41" s="370">
        <v>2657</v>
      </c>
      <c r="H41" s="378">
        <f t="shared" si="10"/>
        <v>48304.26</v>
      </c>
      <c r="I41" s="379"/>
      <c r="J41" s="380">
        <v>4</v>
      </c>
      <c r="K41" s="381">
        <f t="shared" ref="K41:K42" si="12">G41/P41*60</f>
        <v>2656.9999999999986</v>
      </c>
      <c r="L41" s="382">
        <f t="shared" ref="L41:L42" si="13">K41/J41</f>
        <v>664.24999999999966</v>
      </c>
      <c r="M41" s="383">
        <v>0.25347222222222221</v>
      </c>
      <c r="N41" s="383">
        <v>0.2951388888888889</v>
      </c>
      <c r="O41" s="372">
        <v>20</v>
      </c>
      <c r="P41" s="384">
        <f t="shared" si="11"/>
        <v>60.000000000000028</v>
      </c>
      <c r="Q41" s="385">
        <v>0.2951388888888889</v>
      </c>
      <c r="R41" s="385">
        <v>0.33680555555555558</v>
      </c>
    </row>
    <row r="42" spans="1:18">
      <c r="A42" s="588"/>
      <c r="B42" s="373" t="s">
        <v>250</v>
      </c>
      <c r="C42" s="401"/>
      <c r="D42" s="425" t="s">
        <v>307</v>
      </c>
      <c r="E42" s="404"/>
      <c r="F42" s="377">
        <v>15.15</v>
      </c>
      <c r="G42" s="370">
        <v>1703</v>
      </c>
      <c r="H42" s="378">
        <f t="shared" si="10"/>
        <v>25800.45</v>
      </c>
      <c r="I42" s="379"/>
      <c r="J42" s="380">
        <v>4</v>
      </c>
      <c r="K42" s="381">
        <f t="shared" si="12"/>
        <v>2919.4285714285747</v>
      </c>
      <c r="L42" s="382">
        <f t="shared" si="13"/>
        <v>729.85714285714369</v>
      </c>
      <c r="M42" s="383">
        <v>0.33680555555555558</v>
      </c>
      <c r="N42" s="383">
        <v>0.3611111111111111</v>
      </c>
      <c r="O42" s="372">
        <v>20</v>
      </c>
      <c r="P42" s="384">
        <f t="shared" si="11"/>
        <v>34.999999999999957</v>
      </c>
      <c r="Q42" s="385"/>
      <c r="R42" s="385"/>
    </row>
    <row r="43" spans="1:18" ht="15.75" customHeight="1">
      <c r="A43" s="588"/>
      <c r="B43" s="373">
        <v>0</v>
      </c>
      <c r="C43" s="401"/>
      <c r="D43" s="426"/>
      <c r="E43" s="404"/>
      <c r="F43" s="377" t="s">
        <v>253</v>
      </c>
      <c r="G43" s="370"/>
      <c r="H43" s="378">
        <f t="shared" si="10"/>
        <v>0</v>
      </c>
      <c r="I43" s="379"/>
      <c r="J43" s="380"/>
      <c r="K43" s="381"/>
      <c r="L43" s="382"/>
      <c r="M43" s="383"/>
      <c r="N43" s="383"/>
      <c r="O43" s="372"/>
      <c r="P43" s="384">
        <f t="shared" si="11"/>
        <v>0</v>
      </c>
      <c r="Q43" s="385"/>
      <c r="R43" s="385"/>
    </row>
    <row r="44" spans="1:18">
      <c r="A44" s="588"/>
      <c r="B44" s="373">
        <v>0</v>
      </c>
      <c r="C44" s="401"/>
      <c r="D44" s="426"/>
      <c r="E44" s="427"/>
      <c r="F44" s="377" t="s">
        <v>253</v>
      </c>
      <c r="G44" s="428"/>
      <c r="H44" s="429">
        <f t="shared" si="10"/>
        <v>0</v>
      </c>
      <c r="I44" s="430"/>
      <c r="J44" s="380"/>
      <c r="K44" s="381"/>
      <c r="L44" s="382"/>
      <c r="M44" s="383"/>
      <c r="N44" s="383"/>
      <c r="O44" s="372"/>
      <c r="P44" s="384">
        <f t="shared" si="11"/>
        <v>0</v>
      </c>
      <c r="Q44" s="385"/>
      <c r="R44" s="385"/>
    </row>
    <row r="45" spans="1:18">
      <c r="A45" s="588"/>
      <c r="B45" s="373">
        <v>0</v>
      </c>
      <c r="C45" s="401"/>
      <c r="D45" s="426"/>
      <c r="E45" s="404"/>
      <c r="F45" s="377" t="s">
        <v>253</v>
      </c>
      <c r="G45" s="370"/>
      <c r="H45" s="378">
        <f t="shared" si="10"/>
        <v>0</v>
      </c>
      <c r="I45" s="379"/>
      <c r="J45" s="380"/>
      <c r="K45" s="381"/>
      <c r="L45" s="382"/>
      <c r="M45" s="383"/>
      <c r="N45" s="383"/>
      <c r="O45" s="372"/>
      <c r="P45" s="384">
        <f t="shared" si="11"/>
        <v>0</v>
      </c>
      <c r="Q45" s="385"/>
      <c r="R45" s="385"/>
    </row>
    <row r="46" spans="1:18">
      <c r="A46" s="588"/>
      <c r="B46" s="373">
        <v>0</v>
      </c>
      <c r="C46" s="401"/>
      <c r="D46" s="426"/>
      <c r="E46" s="427"/>
      <c r="F46" s="377" t="s">
        <v>253</v>
      </c>
      <c r="G46" s="428"/>
      <c r="H46" s="429">
        <f t="shared" si="10"/>
        <v>0</v>
      </c>
      <c r="I46" s="430"/>
      <c r="J46" s="380"/>
      <c r="K46" s="381"/>
      <c r="L46" s="382"/>
      <c r="M46" s="383"/>
      <c r="N46" s="383"/>
      <c r="O46" s="372"/>
      <c r="P46" s="384">
        <f t="shared" si="11"/>
        <v>0</v>
      </c>
      <c r="Q46" s="385"/>
      <c r="R46" s="385"/>
    </row>
    <row r="47" spans="1:18">
      <c r="A47" s="588"/>
      <c r="B47" s="373">
        <v>0</v>
      </c>
      <c r="C47" s="401"/>
      <c r="D47" s="410"/>
      <c r="E47" s="413"/>
      <c r="F47" s="377" t="s">
        <v>253</v>
      </c>
      <c r="G47" s="370"/>
      <c r="H47" s="378">
        <f t="shared" si="10"/>
        <v>0</v>
      </c>
      <c r="I47" s="379"/>
      <c r="J47" s="380"/>
      <c r="K47" s="381"/>
      <c r="L47" s="382"/>
      <c r="M47" s="383"/>
      <c r="N47" s="383"/>
      <c r="O47" s="372"/>
      <c r="P47" s="384">
        <f t="shared" si="11"/>
        <v>0</v>
      </c>
      <c r="Q47" s="385"/>
      <c r="R47" s="385"/>
    </row>
    <row r="48" spans="1:18">
      <c r="A48" s="589"/>
      <c r="B48" s="373">
        <v>0</v>
      </c>
      <c r="C48" s="431"/>
      <c r="D48" s="591"/>
      <c r="E48" s="592"/>
      <c r="F48" s="377" t="s">
        <v>253</v>
      </c>
      <c r="G48" s="370"/>
      <c r="H48" s="378"/>
      <c r="I48" s="379"/>
      <c r="J48" s="380"/>
      <c r="K48" s="381"/>
      <c r="L48" s="382"/>
      <c r="M48" s="383"/>
      <c r="N48" s="383"/>
      <c r="O48" s="372"/>
      <c r="P48" s="384">
        <f t="shared" si="11"/>
        <v>0</v>
      </c>
      <c r="Q48" s="385"/>
      <c r="R48" s="385"/>
    </row>
    <row r="49" spans="1:18">
      <c r="A49" s="589"/>
      <c r="B49" s="373">
        <v>0</v>
      </c>
      <c r="C49" s="432"/>
      <c r="D49" s="433"/>
      <c r="E49" s="434"/>
      <c r="F49" s="377" t="s">
        <v>253</v>
      </c>
      <c r="G49" s="372"/>
      <c r="H49" s="429">
        <f>F49*G49</f>
        <v>0</v>
      </c>
      <c r="I49" s="384"/>
      <c r="J49" s="380"/>
      <c r="K49" s="381"/>
      <c r="L49" s="382"/>
      <c r="M49" s="383"/>
      <c r="N49" s="383"/>
      <c r="O49" s="372"/>
      <c r="P49" s="384">
        <f t="shared" si="11"/>
        <v>0</v>
      </c>
      <c r="Q49" s="385"/>
      <c r="R49" s="385"/>
    </row>
    <row r="50" spans="1:18">
      <c r="A50" s="589"/>
      <c r="B50" s="373">
        <v>0</v>
      </c>
      <c r="C50" s="432"/>
      <c r="D50" s="433"/>
      <c r="E50" s="434"/>
      <c r="F50" s="377" t="s">
        <v>253</v>
      </c>
      <c r="G50" s="372"/>
      <c r="H50" s="429">
        <f>F50*G50</f>
        <v>0</v>
      </c>
      <c r="I50" s="384"/>
      <c r="J50" s="380"/>
      <c r="K50" s="381"/>
      <c r="L50" s="382"/>
      <c r="M50" s="383"/>
      <c r="N50" s="383"/>
      <c r="O50" s="372"/>
      <c r="P50" s="384">
        <f t="shared" si="11"/>
        <v>0</v>
      </c>
      <c r="Q50" s="385"/>
      <c r="R50" s="385"/>
    </row>
    <row r="51" spans="1:18" ht="15.75" customHeight="1">
      <c r="A51" s="590"/>
      <c r="B51" s="373">
        <v>0</v>
      </c>
      <c r="C51" s="435" t="s">
        <v>51</v>
      </c>
      <c r="D51" s="583" t="s">
        <v>114</v>
      </c>
      <c r="E51" s="583"/>
      <c r="F51" s="392"/>
      <c r="G51" s="397"/>
      <c r="H51" s="436"/>
      <c r="I51" s="437"/>
      <c r="J51" s="396">
        <f>AVERAGE(J39:J50)</f>
        <v>4</v>
      </c>
      <c r="K51" s="396">
        <f>AVERAGE(K39:K50)</f>
        <v>2701.4071428571438</v>
      </c>
      <c r="L51" s="397">
        <f>AVERAGE(L39:L50)</f>
        <v>675.35178571428594</v>
      </c>
      <c r="M51" s="438"/>
      <c r="N51" s="383"/>
      <c r="O51" s="381"/>
      <c r="P51" s="381"/>
      <c r="Q51" s="382"/>
      <c r="R51" s="382"/>
    </row>
    <row r="52" spans="1:18" ht="15.65" customHeight="1">
      <c r="A52" s="593" t="s">
        <v>269</v>
      </c>
      <c r="B52" s="373">
        <v>0</v>
      </c>
      <c r="C52" s="398"/>
      <c r="D52" s="407"/>
      <c r="E52" s="439"/>
      <c r="F52" s="377" t="s">
        <v>253</v>
      </c>
      <c r="G52" s="370"/>
      <c r="H52" s="378">
        <f>F52*G52</f>
        <v>0</v>
      </c>
      <c r="I52" s="379"/>
      <c r="J52" s="380">
        <v>0</v>
      </c>
      <c r="K52" s="381">
        <v>0</v>
      </c>
      <c r="L52" s="382">
        <v>0</v>
      </c>
      <c r="M52" s="383"/>
      <c r="N52" s="383"/>
      <c r="O52" s="381"/>
      <c r="P52" s="384">
        <f>(N52-M52)*24*60</f>
        <v>0</v>
      </c>
      <c r="Q52" s="385"/>
      <c r="R52" s="385"/>
    </row>
    <row r="53" spans="1:18" ht="15.65" customHeight="1">
      <c r="A53" s="594"/>
      <c r="B53" s="373">
        <v>0</v>
      </c>
      <c r="C53" s="402"/>
      <c r="D53" s="440"/>
      <c r="E53" s="441"/>
      <c r="F53" s="377" t="s">
        <v>253</v>
      </c>
      <c r="G53" s="386"/>
      <c r="H53" s="378">
        <f t="shared" ref="H53:H62" si="14">F53*G53</f>
        <v>0</v>
      </c>
      <c r="I53" s="379"/>
      <c r="J53" s="380"/>
      <c r="K53" s="381"/>
      <c r="L53" s="382"/>
      <c r="M53" s="383"/>
      <c r="N53" s="383"/>
      <c r="O53" s="381"/>
      <c r="P53" s="384">
        <f t="shared" ref="P53:P63" si="15">(N53-M53)*24*60</f>
        <v>0</v>
      </c>
      <c r="Q53" s="385"/>
      <c r="R53" s="385"/>
    </row>
    <row r="54" spans="1:18" ht="15.65" customHeight="1">
      <c r="A54" s="594"/>
      <c r="B54" s="373">
        <v>0</v>
      </c>
      <c r="C54" s="402"/>
      <c r="D54" s="440"/>
      <c r="E54" s="404"/>
      <c r="F54" s="377" t="s">
        <v>253</v>
      </c>
      <c r="G54" s="386"/>
      <c r="H54" s="378">
        <f t="shared" si="14"/>
        <v>0</v>
      </c>
      <c r="I54" s="379"/>
      <c r="J54" s="380"/>
      <c r="K54" s="381"/>
      <c r="L54" s="382"/>
      <c r="M54" s="383"/>
      <c r="N54" s="383"/>
      <c r="O54" s="381"/>
      <c r="P54" s="384">
        <f t="shared" si="15"/>
        <v>0</v>
      </c>
      <c r="Q54" s="385"/>
      <c r="R54" s="385"/>
    </row>
    <row r="55" spans="1:18" ht="15.65" customHeight="1">
      <c r="A55" s="594"/>
      <c r="B55" s="373">
        <v>0</v>
      </c>
      <c r="C55" s="402"/>
      <c r="D55" s="407"/>
      <c r="E55" s="413"/>
      <c r="F55" s="377" t="s">
        <v>253</v>
      </c>
      <c r="G55" s="386"/>
      <c r="H55" s="378">
        <f t="shared" si="14"/>
        <v>0</v>
      </c>
      <c r="I55" s="379"/>
      <c r="J55" s="380"/>
      <c r="K55" s="381"/>
      <c r="L55" s="382"/>
      <c r="M55" s="383"/>
      <c r="N55" s="383"/>
      <c r="O55" s="381"/>
      <c r="P55" s="384">
        <f t="shared" si="15"/>
        <v>0</v>
      </c>
      <c r="Q55" s="385"/>
      <c r="R55" s="385"/>
    </row>
    <row r="56" spans="1:18" ht="15.65" customHeight="1">
      <c r="A56" s="594"/>
      <c r="B56" s="373">
        <v>0</v>
      </c>
      <c r="C56" s="442"/>
      <c r="D56" s="443"/>
      <c r="E56" s="413"/>
      <c r="F56" s="377" t="s">
        <v>253</v>
      </c>
      <c r="G56" s="386"/>
      <c r="H56" s="378">
        <f t="shared" si="14"/>
        <v>0</v>
      </c>
      <c r="I56" s="379"/>
      <c r="J56" s="380"/>
      <c r="K56" s="381"/>
      <c r="L56" s="382"/>
      <c r="M56" s="383"/>
      <c r="N56" s="383"/>
      <c r="O56" s="381"/>
      <c r="P56" s="384">
        <f t="shared" si="15"/>
        <v>0</v>
      </c>
      <c r="Q56" s="385"/>
      <c r="R56" s="385"/>
    </row>
    <row r="57" spans="1:18" ht="15.75" customHeight="1">
      <c r="A57" s="594"/>
      <c r="B57" s="373">
        <v>0</v>
      </c>
      <c r="C57" s="444" t="s">
        <v>62</v>
      </c>
      <c r="D57" s="445"/>
      <c r="E57" s="413"/>
      <c r="F57" s="377" t="s">
        <v>253</v>
      </c>
      <c r="G57" s="386"/>
      <c r="H57" s="378">
        <f t="shared" si="14"/>
        <v>0</v>
      </c>
      <c r="I57" s="379"/>
      <c r="J57" s="380"/>
      <c r="K57" s="381"/>
      <c r="L57" s="382"/>
      <c r="M57" s="383"/>
      <c r="N57" s="383"/>
      <c r="O57" s="381"/>
      <c r="P57" s="384">
        <f t="shared" si="15"/>
        <v>0</v>
      </c>
      <c r="Q57" s="385"/>
      <c r="R57" s="385"/>
    </row>
    <row r="58" spans="1:18" ht="15.65" customHeight="1">
      <c r="A58" s="594"/>
      <c r="B58" s="373">
        <v>0</v>
      </c>
      <c r="C58" s="446"/>
      <c r="D58" s="407"/>
      <c r="E58" s="413"/>
      <c r="F58" s="377" t="s">
        <v>253</v>
      </c>
      <c r="G58" s="447"/>
      <c r="H58" s="378">
        <f t="shared" si="14"/>
        <v>0</v>
      </c>
      <c r="I58" s="379"/>
      <c r="J58" s="380"/>
      <c r="K58" s="381"/>
      <c r="L58" s="382"/>
      <c r="M58" s="383"/>
      <c r="N58" s="383"/>
      <c r="O58" s="381"/>
      <c r="P58" s="384">
        <f t="shared" si="15"/>
        <v>0</v>
      </c>
      <c r="Q58" s="385"/>
      <c r="R58" s="385"/>
    </row>
    <row r="59" spans="1:18" ht="15.65" customHeight="1">
      <c r="A59" s="594"/>
      <c r="B59" s="373">
        <v>0</v>
      </c>
      <c r="C59" s="401"/>
      <c r="D59" s="443"/>
      <c r="E59" s="413"/>
      <c r="F59" s="377" t="s">
        <v>253</v>
      </c>
      <c r="G59" s="386"/>
      <c r="H59" s="378">
        <f t="shared" si="14"/>
        <v>0</v>
      </c>
      <c r="I59" s="379"/>
      <c r="J59" s="380"/>
      <c r="K59" s="381"/>
      <c r="L59" s="382"/>
      <c r="M59" s="383"/>
      <c r="N59" s="383"/>
      <c r="O59" s="381"/>
      <c r="P59" s="384">
        <f t="shared" si="15"/>
        <v>0</v>
      </c>
      <c r="Q59" s="385"/>
      <c r="R59" s="385"/>
    </row>
    <row r="60" spans="1:18" ht="15.65" customHeight="1">
      <c r="A60" s="594"/>
      <c r="B60" s="373">
        <v>0</v>
      </c>
      <c r="C60" s="402"/>
      <c r="D60" s="445"/>
      <c r="E60" s="448"/>
      <c r="F60" s="377" t="s">
        <v>253</v>
      </c>
      <c r="G60" s="386"/>
      <c r="H60" s="378">
        <f t="shared" si="14"/>
        <v>0</v>
      </c>
      <c r="I60" s="379"/>
      <c r="J60" s="380"/>
      <c r="K60" s="381"/>
      <c r="L60" s="382"/>
      <c r="M60" s="383"/>
      <c r="N60" s="383"/>
      <c r="O60" s="381"/>
      <c r="P60" s="384">
        <f t="shared" si="15"/>
        <v>0</v>
      </c>
      <c r="Q60" s="385"/>
      <c r="R60" s="385"/>
    </row>
    <row r="61" spans="1:18" ht="15.65" customHeight="1">
      <c r="A61" s="594"/>
      <c r="B61" s="373">
        <v>0</v>
      </c>
      <c r="C61" s="402"/>
      <c r="D61" s="440"/>
      <c r="E61" s="413"/>
      <c r="F61" s="377" t="s">
        <v>253</v>
      </c>
      <c r="G61" s="386"/>
      <c r="H61" s="378">
        <f t="shared" si="14"/>
        <v>0</v>
      </c>
      <c r="I61" s="379"/>
      <c r="J61" s="380"/>
      <c r="K61" s="381"/>
      <c r="L61" s="382"/>
      <c r="M61" s="383"/>
      <c r="N61" s="383"/>
      <c r="O61" s="381"/>
      <c r="P61" s="384">
        <f t="shared" si="15"/>
        <v>0</v>
      </c>
      <c r="Q61" s="385"/>
      <c r="R61" s="385"/>
    </row>
    <row r="62" spans="1:18" ht="15.65" customHeight="1">
      <c r="A62" s="594"/>
      <c r="B62" s="373">
        <v>0</v>
      </c>
      <c r="C62" s="402"/>
      <c r="D62" s="443"/>
      <c r="E62" s="449"/>
      <c r="F62" s="377" t="s">
        <v>253</v>
      </c>
      <c r="G62" s="386"/>
      <c r="H62" s="378">
        <f t="shared" si="14"/>
        <v>0</v>
      </c>
      <c r="I62" s="379"/>
      <c r="J62" s="380"/>
      <c r="K62" s="381"/>
      <c r="L62" s="382"/>
      <c r="M62" s="383"/>
      <c r="N62" s="383"/>
      <c r="O62" s="381"/>
      <c r="P62" s="384">
        <f t="shared" si="15"/>
        <v>0</v>
      </c>
      <c r="Q62" s="385"/>
      <c r="R62" s="385"/>
    </row>
    <row r="63" spans="1:18" ht="15.65" customHeight="1">
      <c r="A63" s="594"/>
      <c r="B63" s="373">
        <v>0</v>
      </c>
      <c r="C63" s="450"/>
      <c r="D63" s="451"/>
      <c r="E63" s="448"/>
      <c r="F63" s="377" t="s">
        <v>253</v>
      </c>
      <c r="G63" s="386"/>
      <c r="H63" s="378">
        <f t="shared" si="3"/>
        <v>0</v>
      </c>
      <c r="I63" s="430"/>
      <c r="J63" s="380"/>
      <c r="K63" s="381"/>
      <c r="L63" s="382"/>
      <c r="M63" s="383"/>
      <c r="N63" s="383"/>
      <c r="O63" s="372"/>
      <c r="P63" s="384">
        <f t="shared" si="15"/>
        <v>0</v>
      </c>
      <c r="Q63" s="385"/>
      <c r="R63" s="385"/>
    </row>
    <row r="64" spans="1:18" ht="15.75" customHeight="1">
      <c r="A64" s="595"/>
      <c r="B64" s="373">
        <v>0</v>
      </c>
      <c r="C64" s="452" t="s">
        <v>270</v>
      </c>
      <c r="D64" s="583" t="s">
        <v>114</v>
      </c>
      <c r="E64" s="583"/>
      <c r="F64" s="392"/>
      <c r="G64" s="397"/>
      <c r="H64" s="436"/>
      <c r="I64" s="437"/>
      <c r="J64" s="396">
        <f>AVERAGE(J52:J63)</f>
        <v>0</v>
      </c>
      <c r="K64" s="396">
        <f>AVERAGE(K52:K63)</f>
        <v>0</v>
      </c>
      <c r="L64" s="397">
        <f>AVERAGE(L52:L63)</f>
        <v>0</v>
      </c>
      <c r="M64" s="383"/>
      <c r="N64" s="383"/>
      <c r="O64" s="372"/>
      <c r="P64" s="372"/>
      <c r="Q64" s="372"/>
      <c r="R64" s="372"/>
    </row>
    <row r="65" spans="1:18" ht="15.65" customHeight="1">
      <c r="A65" s="580" t="s">
        <v>271</v>
      </c>
      <c r="B65" s="373" t="s">
        <v>250</v>
      </c>
      <c r="C65" s="398"/>
      <c r="D65" s="407" t="s">
        <v>308</v>
      </c>
      <c r="E65" s="439"/>
      <c r="F65" s="377">
        <v>25.03</v>
      </c>
      <c r="G65" s="370">
        <v>740</v>
      </c>
      <c r="H65" s="378">
        <f>F65*G65</f>
        <v>18522.2</v>
      </c>
      <c r="I65" s="379"/>
      <c r="J65" s="380">
        <v>4</v>
      </c>
      <c r="K65" s="381">
        <f t="shared" ref="K65:K70" si="16">G65/P65*60</f>
        <v>2960.0000000000027</v>
      </c>
      <c r="L65" s="382">
        <f t="shared" ref="L65:L70" si="17">K65/J65</f>
        <v>740.00000000000068</v>
      </c>
      <c r="M65" s="383">
        <v>0.18055555555555555</v>
      </c>
      <c r="N65" s="383">
        <v>0.19097222222222221</v>
      </c>
      <c r="O65" s="381">
        <v>20</v>
      </c>
      <c r="P65" s="384">
        <f>(N65-M65)*24*60</f>
        <v>14.999999999999986</v>
      </c>
      <c r="Q65" s="385"/>
      <c r="R65" s="385"/>
    </row>
    <row r="66" spans="1:18" ht="15.65" customHeight="1">
      <c r="A66" s="581"/>
      <c r="B66" s="373" t="s">
        <v>250</v>
      </c>
      <c r="C66" s="402"/>
      <c r="D66" s="440" t="s">
        <v>309</v>
      </c>
      <c r="E66" s="441"/>
      <c r="F66" s="377">
        <v>24.82</v>
      </c>
      <c r="G66" s="386">
        <v>925</v>
      </c>
      <c r="H66" s="378">
        <f t="shared" ref="H66:H74" si="18">F66*G66</f>
        <v>22958.5</v>
      </c>
      <c r="I66" s="379"/>
      <c r="J66" s="380">
        <v>4</v>
      </c>
      <c r="K66" s="381">
        <f t="shared" si="16"/>
        <v>2775.0000000000041</v>
      </c>
      <c r="L66" s="382">
        <f t="shared" si="17"/>
        <v>693.75000000000102</v>
      </c>
      <c r="M66" s="383">
        <v>0.20486111111111113</v>
      </c>
      <c r="N66" s="383">
        <v>0.21875</v>
      </c>
      <c r="O66" s="381">
        <v>20</v>
      </c>
      <c r="P66" s="384">
        <f t="shared" ref="P66:P74" si="19">(N66-M66)*24*60</f>
        <v>19.999999999999968</v>
      </c>
      <c r="Q66" s="385"/>
      <c r="R66" s="385"/>
    </row>
    <row r="67" spans="1:18" ht="15.65" customHeight="1">
      <c r="A67" s="581"/>
      <c r="B67" s="373" t="s">
        <v>250</v>
      </c>
      <c r="C67" s="402"/>
      <c r="D67" s="440" t="s">
        <v>310</v>
      </c>
      <c r="E67" s="404"/>
      <c r="F67" s="377">
        <v>25.45</v>
      </c>
      <c r="G67" s="386">
        <v>373</v>
      </c>
      <c r="H67" s="378">
        <f t="shared" si="18"/>
        <v>9492.85</v>
      </c>
      <c r="I67" s="379"/>
      <c r="J67" s="380">
        <v>4</v>
      </c>
      <c r="K67" s="381">
        <f t="shared" si="16"/>
        <v>2237.99999999999</v>
      </c>
      <c r="L67" s="382">
        <f t="shared" si="17"/>
        <v>559.4999999999975</v>
      </c>
      <c r="M67" s="383">
        <v>0.23263888888888887</v>
      </c>
      <c r="N67" s="383">
        <v>0.23958333333333334</v>
      </c>
      <c r="O67" s="381">
        <v>20</v>
      </c>
      <c r="P67" s="384">
        <f t="shared" si="19"/>
        <v>10.000000000000044</v>
      </c>
      <c r="Q67" s="385"/>
      <c r="R67" s="385"/>
    </row>
    <row r="68" spans="1:18" ht="15.65" customHeight="1">
      <c r="A68" s="581"/>
      <c r="B68" s="373" t="s">
        <v>250</v>
      </c>
      <c r="C68" s="402"/>
      <c r="D68" s="407" t="s">
        <v>311</v>
      </c>
      <c r="E68" s="413"/>
      <c r="F68" s="377">
        <v>30</v>
      </c>
      <c r="G68" s="386">
        <v>1548</v>
      </c>
      <c r="H68" s="378">
        <f t="shared" si="18"/>
        <v>46440</v>
      </c>
      <c r="I68" s="379"/>
      <c r="J68" s="380">
        <v>4</v>
      </c>
      <c r="K68" s="381">
        <f t="shared" si="16"/>
        <v>2653.7142857142831</v>
      </c>
      <c r="L68" s="382">
        <f t="shared" si="17"/>
        <v>663.42857142857076</v>
      </c>
      <c r="M68" s="383">
        <v>0.25347222222222221</v>
      </c>
      <c r="N68" s="383">
        <v>0.27777777777777779</v>
      </c>
      <c r="O68" s="381">
        <v>20</v>
      </c>
      <c r="P68" s="384">
        <f t="shared" si="19"/>
        <v>35.000000000000036</v>
      </c>
      <c r="Q68" s="385">
        <v>0.29166666666666669</v>
      </c>
      <c r="R68" s="385">
        <v>0.33333333333333331</v>
      </c>
    </row>
    <row r="69" spans="1:18" ht="15.65" customHeight="1">
      <c r="A69" s="581"/>
      <c r="B69" s="373" t="s">
        <v>250</v>
      </c>
      <c r="C69" s="442"/>
      <c r="D69" s="443" t="s">
        <v>272</v>
      </c>
      <c r="E69" s="413"/>
      <c r="F69" s="377">
        <v>14.285714285714283</v>
      </c>
      <c r="G69" s="386">
        <v>3553</v>
      </c>
      <c r="H69" s="378">
        <f t="shared" si="18"/>
        <v>50757.142857142848</v>
      </c>
      <c r="I69" s="379"/>
      <c r="J69" s="380">
        <v>3</v>
      </c>
      <c r="K69" s="381">
        <f t="shared" si="16"/>
        <v>3045.428571428572</v>
      </c>
      <c r="L69" s="382">
        <f t="shared" si="17"/>
        <v>1015.1428571428573</v>
      </c>
      <c r="M69" s="383">
        <v>0.33333333333333331</v>
      </c>
      <c r="N69" s="383">
        <v>0.38194444444444442</v>
      </c>
      <c r="O69" s="381">
        <v>20</v>
      </c>
      <c r="P69" s="384">
        <f t="shared" si="19"/>
        <v>69.999999999999986</v>
      </c>
      <c r="Q69" s="385"/>
      <c r="R69" s="385"/>
    </row>
    <row r="70" spans="1:18" ht="15.75" customHeight="1">
      <c r="A70" s="581"/>
      <c r="B70" s="373" t="s">
        <v>250</v>
      </c>
      <c r="C70" s="444" t="s">
        <v>62</v>
      </c>
      <c r="D70" s="445" t="s">
        <v>312</v>
      </c>
      <c r="E70" s="413"/>
      <c r="F70" s="377">
        <v>14.03</v>
      </c>
      <c r="G70" s="386">
        <v>2577</v>
      </c>
      <c r="H70" s="378">
        <f t="shared" si="18"/>
        <v>36155.31</v>
      </c>
      <c r="I70" s="379"/>
      <c r="J70" s="380">
        <v>3</v>
      </c>
      <c r="K70" s="381">
        <f t="shared" si="16"/>
        <v>2811.2727272727293</v>
      </c>
      <c r="L70" s="382">
        <f t="shared" si="17"/>
        <v>937.0909090909098</v>
      </c>
      <c r="M70" s="383">
        <v>0.39583333333333331</v>
      </c>
      <c r="N70" s="383">
        <v>0.43402777777777773</v>
      </c>
      <c r="O70" s="381">
        <v>20</v>
      </c>
      <c r="P70" s="384">
        <f t="shared" si="19"/>
        <v>54.999999999999964</v>
      </c>
      <c r="Q70" s="385"/>
      <c r="R70" s="385"/>
    </row>
    <row r="71" spans="1:18" ht="15.65" customHeight="1">
      <c r="A71" s="581"/>
      <c r="B71" s="373">
        <v>0</v>
      </c>
      <c r="C71" s="446"/>
      <c r="D71" s="407"/>
      <c r="E71" s="413"/>
      <c r="F71" s="377" t="s">
        <v>253</v>
      </c>
      <c r="G71" s="447"/>
      <c r="H71" s="378">
        <f t="shared" si="18"/>
        <v>0</v>
      </c>
      <c r="I71" s="379"/>
      <c r="J71" s="380"/>
      <c r="K71" s="381"/>
      <c r="L71" s="382"/>
      <c r="M71" s="383"/>
      <c r="N71" s="383"/>
      <c r="O71" s="381"/>
      <c r="P71" s="384">
        <f t="shared" si="19"/>
        <v>0</v>
      </c>
      <c r="Q71" s="385"/>
      <c r="R71" s="385"/>
    </row>
    <row r="72" spans="1:18" ht="15.65" customHeight="1">
      <c r="A72" s="581"/>
      <c r="B72" s="373">
        <v>0</v>
      </c>
      <c r="C72" s="401"/>
      <c r="D72" s="443"/>
      <c r="E72" s="413"/>
      <c r="F72" s="377" t="s">
        <v>253</v>
      </c>
      <c r="G72" s="386"/>
      <c r="H72" s="378">
        <f t="shared" si="18"/>
        <v>0</v>
      </c>
      <c r="I72" s="379"/>
      <c r="J72" s="380"/>
      <c r="K72" s="381"/>
      <c r="L72" s="382"/>
      <c r="M72" s="383"/>
      <c r="N72" s="383"/>
      <c r="O72" s="381"/>
      <c r="P72" s="384">
        <f t="shared" si="19"/>
        <v>0</v>
      </c>
      <c r="Q72" s="385"/>
      <c r="R72" s="385"/>
    </row>
    <row r="73" spans="1:18" ht="15.65" customHeight="1">
      <c r="A73" s="581"/>
      <c r="B73" s="373">
        <v>0</v>
      </c>
      <c r="C73" s="402"/>
      <c r="D73" s="443"/>
      <c r="E73" s="413"/>
      <c r="F73" s="377" t="s">
        <v>253</v>
      </c>
      <c r="G73" s="386"/>
      <c r="H73" s="378">
        <f t="shared" si="18"/>
        <v>0</v>
      </c>
      <c r="I73" s="379"/>
      <c r="J73" s="380"/>
      <c r="K73" s="381"/>
      <c r="L73" s="382"/>
      <c r="M73" s="383"/>
      <c r="N73" s="383"/>
      <c r="O73" s="381"/>
      <c r="P73" s="384">
        <f t="shared" si="19"/>
        <v>0</v>
      </c>
      <c r="Q73" s="385"/>
      <c r="R73" s="385"/>
    </row>
    <row r="74" spans="1:18" ht="15.65" customHeight="1">
      <c r="A74" s="581"/>
      <c r="B74" s="373">
        <v>0</v>
      </c>
      <c r="C74" s="402"/>
      <c r="D74" s="443"/>
      <c r="E74" s="413"/>
      <c r="F74" s="377" t="s">
        <v>253</v>
      </c>
      <c r="G74" s="386"/>
      <c r="H74" s="378">
        <f t="shared" si="18"/>
        <v>0</v>
      </c>
      <c r="I74" s="379"/>
      <c r="J74" s="380"/>
      <c r="K74" s="381"/>
      <c r="L74" s="382"/>
      <c r="M74" s="383"/>
      <c r="N74" s="383"/>
      <c r="O74" s="381"/>
      <c r="P74" s="384">
        <f t="shared" si="19"/>
        <v>0</v>
      </c>
      <c r="Q74" s="385"/>
      <c r="R74" s="385"/>
    </row>
    <row r="75" spans="1:18" ht="15.75" customHeight="1">
      <c r="A75" s="582"/>
      <c r="B75" s="373">
        <v>0</v>
      </c>
      <c r="C75" s="452" t="s">
        <v>273</v>
      </c>
      <c r="D75" s="583" t="s">
        <v>114</v>
      </c>
      <c r="E75" s="583"/>
      <c r="F75" s="392"/>
      <c r="G75" s="397"/>
      <c r="H75" s="436"/>
      <c r="I75" s="437"/>
      <c r="J75" s="396">
        <f>AVERAGE(J65:J74)</f>
        <v>3.6666666666666665</v>
      </c>
      <c r="K75" s="396">
        <f>AVERAGE(K65:K74)</f>
        <v>2747.2359307359307</v>
      </c>
      <c r="L75" s="397">
        <f>AVERAGE(L65:L74)</f>
        <v>768.1520562770562</v>
      </c>
      <c r="M75" s="383"/>
      <c r="N75" s="383"/>
      <c r="O75" s="372"/>
      <c r="P75" s="372"/>
      <c r="Q75" s="372"/>
      <c r="R75" s="372"/>
    </row>
    <row r="76" spans="1:18" ht="16.25" customHeight="1">
      <c r="A76" s="584" t="s">
        <v>274</v>
      </c>
      <c r="B76" s="373">
        <v>0</v>
      </c>
      <c r="C76" s="453"/>
      <c r="D76" s="566"/>
      <c r="E76" s="567"/>
      <c r="F76" s="377" t="s">
        <v>253</v>
      </c>
      <c r="G76" s="454"/>
      <c r="H76" s="399">
        <f t="shared" si="3"/>
        <v>0</v>
      </c>
      <c r="I76" s="400"/>
      <c r="J76" s="380">
        <v>0</v>
      </c>
      <c r="K76" s="381">
        <v>0</v>
      </c>
      <c r="L76" s="382">
        <v>0</v>
      </c>
      <c r="M76" s="383"/>
      <c r="N76" s="383"/>
      <c r="O76" s="372"/>
      <c r="P76" s="384">
        <f t="shared" si="2"/>
        <v>0</v>
      </c>
      <c r="Q76" s="385"/>
      <c r="R76" s="385"/>
    </row>
    <row r="77" spans="1:18">
      <c r="A77" s="584"/>
      <c r="B77" s="373">
        <v>0</v>
      </c>
      <c r="C77" s="455"/>
      <c r="D77" s="566"/>
      <c r="E77" s="567"/>
      <c r="F77" s="377" t="s">
        <v>253</v>
      </c>
      <c r="G77" s="370"/>
      <c r="H77" s="378">
        <f t="shared" si="3"/>
        <v>0</v>
      </c>
      <c r="I77" s="379"/>
      <c r="J77" s="380"/>
      <c r="K77" s="381"/>
      <c r="L77" s="382"/>
      <c r="M77" s="383"/>
      <c r="N77" s="383"/>
      <c r="O77" s="372"/>
      <c r="P77" s="384">
        <f t="shared" si="2"/>
        <v>0</v>
      </c>
      <c r="Q77" s="372"/>
      <c r="R77" s="372"/>
    </row>
    <row r="78" spans="1:18">
      <c r="A78" s="584"/>
      <c r="B78" s="373">
        <v>0</v>
      </c>
      <c r="C78" s="456"/>
      <c r="D78" s="457"/>
      <c r="E78" s="457"/>
      <c r="F78" s="377" t="s">
        <v>253</v>
      </c>
      <c r="G78" s="417"/>
      <c r="H78" s="378">
        <f t="shared" si="3"/>
        <v>0</v>
      </c>
      <c r="I78" s="379"/>
      <c r="J78" s="380"/>
      <c r="K78" s="381"/>
      <c r="L78" s="382"/>
      <c r="M78" s="383"/>
      <c r="N78" s="383"/>
      <c r="O78" s="372"/>
      <c r="P78" s="384">
        <f t="shared" si="2"/>
        <v>0</v>
      </c>
      <c r="Q78" s="372"/>
      <c r="R78" s="372"/>
    </row>
    <row r="79" spans="1:18">
      <c r="A79" s="584"/>
      <c r="B79" s="373">
        <v>0</v>
      </c>
      <c r="C79" s="456"/>
      <c r="D79" s="457"/>
      <c r="E79" s="457"/>
      <c r="F79" s="377" t="s">
        <v>253</v>
      </c>
      <c r="G79" s="417"/>
      <c r="H79" s="378">
        <f t="shared" si="3"/>
        <v>0</v>
      </c>
      <c r="I79" s="379"/>
      <c r="J79" s="380"/>
      <c r="K79" s="381"/>
      <c r="L79" s="382"/>
      <c r="M79" s="383"/>
      <c r="N79" s="383"/>
      <c r="O79" s="372"/>
      <c r="P79" s="384">
        <f t="shared" si="2"/>
        <v>0</v>
      </c>
      <c r="Q79" s="372"/>
      <c r="R79" s="372"/>
    </row>
    <row r="80" spans="1:18">
      <c r="A80" s="584"/>
      <c r="B80" s="373">
        <v>0</v>
      </c>
      <c r="C80" s="456"/>
      <c r="D80" s="457"/>
      <c r="E80" s="457"/>
      <c r="F80" s="377" t="s">
        <v>253</v>
      </c>
      <c r="G80" s="417"/>
      <c r="H80" s="378">
        <f t="shared" si="3"/>
        <v>0</v>
      </c>
      <c r="I80" s="379"/>
      <c r="J80" s="380"/>
      <c r="K80" s="381"/>
      <c r="L80" s="382"/>
      <c r="M80" s="383"/>
      <c r="N80" s="383"/>
      <c r="O80" s="372"/>
      <c r="P80" s="384">
        <f t="shared" si="2"/>
        <v>0</v>
      </c>
      <c r="Q80" s="372"/>
      <c r="R80" s="372"/>
    </row>
    <row r="81" spans="1:18" ht="15.75" customHeight="1">
      <c r="A81" s="584"/>
      <c r="B81" s="373">
        <v>0</v>
      </c>
      <c r="C81" s="444" t="s">
        <v>62</v>
      </c>
      <c r="D81" s="578" t="s">
        <v>114</v>
      </c>
      <c r="E81" s="578"/>
      <c r="F81" s="392"/>
      <c r="G81" s="458"/>
      <c r="H81" s="394"/>
      <c r="I81" s="395"/>
      <c r="J81" s="396">
        <f>AVERAGE(J76:J80)</f>
        <v>0</v>
      </c>
      <c r="K81" s="396">
        <f>AVERAGE(K76:K80)</f>
        <v>0</v>
      </c>
      <c r="L81" s="397">
        <f>AVERAGE(L76:L80)</f>
        <v>0</v>
      </c>
      <c r="M81" s="383"/>
      <c r="N81" s="383"/>
      <c r="O81" s="372"/>
      <c r="P81" s="372"/>
      <c r="Q81" s="372"/>
      <c r="R81" s="372"/>
    </row>
    <row r="82" spans="1:18" ht="15.65" customHeight="1">
      <c r="A82" s="569" t="s">
        <v>275</v>
      </c>
      <c r="B82" s="373" t="s">
        <v>250</v>
      </c>
      <c r="C82" s="460"/>
      <c r="D82" s="407" t="s">
        <v>313</v>
      </c>
      <c r="E82" s="421"/>
      <c r="F82" s="377">
        <v>18.18</v>
      </c>
      <c r="G82" s="417">
        <v>1140</v>
      </c>
      <c r="H82" s="459">
        <f t="shared" ref="H82:H86" si="20">F82*G82</f>
        <v>20725.2</v>
      </c>
      <c r="I82" s="379"/>
      <c r="J82" s="380">
        <v>3</v>
      </c>
      <c r="K82" s="381">
        <f t="shared" ref="K82:K86" si="21">G82/P82*60</f>
        <v>2735.9999999999923</v>
      </c>
      <c r="L82" s="382">
        <f t="shared" ref="L82:L86" si="22">K82/J82</f>
        <v>911.99999999999739</v>
      </c>
      <c r="M82" s="383">
        <v>0.72222222222222221</v>
      </c>
      <c r="N82" s="383">
        <v>0.73958333333333337</v>
      </c>
      <c r="O82" s="381">
        <v>20</v>
      </c>
      <c r="P82" s="384">
        <f>(N82-M82)*24*60</f>
        <v>25.000000000000071</v>
      </c>
      <c r="Q82" s="385"/>
      <c r="R82" s="385"/>
    </row>
    <row r="83" spans="1:18">
      <c r="A83" s="570"/>
      <c r="B83" s="373" t="s">
        <v>250</v>
      </c>
      <c r="C83" s="460"/>
      <c r="D83" s="407" t="s">
        <v>314</v>
      </c>
      <c r="E83" s="421"/>
      <c r="F83" s="377">
        <v>18.18</v>
      </c>
      <c r="G83" s="417">
        <v>439</v>
      </c>
      <c r="H83" s="459">
        <f t="shared" si="20"/>
        <v>7981.0199999999995</v>
      </c>
      <c r="I83" s="379"/>
      <c r="J83" s="380">
        <v>4</v>
      </c>
      <c r="K83" s="381">
        <f t="shared" si="21"/>
        <v>2634.0000000000091</v>
      </c>
      <c r="L83" s="382">
        <f t="shared" si="22"/>
        <v>658.50000000000227</v>
      </c>
      <c r="M83" s="383">
        <v>0.75347222222222221</v>
      </c>
      <c r="N83" s="383">
        <v>0.76041666666666663</v>
      </c>
      <c r="O83" s="381">
        <v>20</v>
      </c>
      <c r="P83" s="384">
        <f>(N83-M83)*24*60</f>
        <v>9.9999999999999645</v>
      </c>
      <c r="Q83" s="385"/>
      <c r="R83" s="385"/>
    </row>
    <row r="84" spans="1:18">
      <c r="A84" s="570"/>
      <c r="B84" s="373" t="s">
        <v>250</v>
      </c>
      <c r="C84" s="460"/>
      <c r="D84" s="407" t="s">
        <v>276</v>
      </c>
      <c r="E84" s="421"/>
      <c r="F84" s="377">
        <v>16.66</v>
      </c>
      <c r="G84" s="417">
        <v>4657</v>
      </c>
      <c r="H84" s="461">
        <f t="shared" si="20"/>
        <v>77585.62</v>
      </c>
      <c r="I84" s="379"/>
      <c r="J84" s="380">
        <v>4</v>
      </c>
      <c r="K84" s="381">
        <f t="shared" si="21"/>
        <v>2794.1999999999966</v>
      </c>
      <c r="L84" s="382">
        <f t="shared" si="22"/>
        <v>698.54999999999916</v>
      </c>
      <c r="M84" s="383">
        <v>0.77430555555555547</v>
      </c>
      <c r="N84" s="383">
        <v>0.84375</v>
      </c>
      <c r="O84" s="381">
        <v>20</v>
      </c>
      <c r="P84" s="423">
        <f t="shared" ref="P84:P90" si="23">(N84-M84)*24*60</f>
        <v>100.00000000000013</v>
      </c>
      <c r="Q84" s="385">
        <v>0.84375</v>
      </c>
      <c r="R84" s="385">
        <v>0.88541666666666663</v>
      </c>
    </row>
    <row r="85" spans="1:18">
      <c r="A85" s="570"/>
      <c r="B85" s="373" t="s">
        <v>250</v>
      </c>
      <c r="C85" s="460"/>
      <c r="D85" s="407" t="s">
        <v>277</v>
      </c>
      <c r="E85" s="421"/>
      <c r="F85" s="377">
        <v>22.281818181818181</v>
      </c>
      <c r="G85" s="417">
        <v>913</v>
      </c>
      <c r="H85" s="461">
        <f t="shared" si="20"/>
        <v>20343.3</v>
      </c>
      <c r="I85" s="379"/>
      <c r="J85" s="380">
        <v>4</v>
      </c>
      <c r="K85" s="381">
        <f t="shared" si="21"/>
        <v>2738.9999999999659</v>
      </c>
      <c r="L85" s="382">
        <f t="shared" si="22"/>
        <v>684.74999999999147</v>
      </c>
      <c r="M85" s="383">
        <v>0.89930555555555547</v>
      </c>
      <c r="N85" s="383">
        <v>0.91319444444444453</v>
      </c>
      <c r="O85" s="381">
        <v>20</v>
      </c>
      <c r="P85" s="423">
        <f t="shared" si="23"/>
        <v>20.000000000000249</v>
      </c>
      <c r="Q85" s="372"/>
      <c r="R85" s="372"/>
    </row>
    <row r="86" spans="1:18">
      <c r="A86" s="570"/>
      <c r="B86" s="373" t="s">
        <v>250</v>
      </c>
      <c r="C86" s="409"/>
      <c r="D86" s="407" t="s">
        <v>278</v>
      </c>
      <c r="E86" s="421"/>
      <c r="F86" s="377">
        <v>17.890909090909091</v>
      </c>
      <c r="G86" s="370">
        <v>3252</v>
      </c>
      <c r="H86" s="461">
        <f t="shared" si="20"/>
        <v>58181.236363636366</v>
      </c>
      <c r="I86" s="379"/>
      <c r="J86" s="380">
        <v>3</v>
      </c>
      <c r="K86" s="381">
        <f t="shared" si="21"/>
        <v>2787.4285714285688</v>
      </c>
      <c r="L86" s="382">
        <f t="shared" si="22"/>
        <v>929.14285714285631</v>
      </c>
      <c r="M86" s="383">
        <v>0.92708333333333337</v>
      </c>
      <c r="N86" s="463">
        <v>0.97569444444444453</v>
      </c>
      <c r="O86" s="372">
        <v>20</v>
      </c>
      <c r="P86" s="423">
        <f t="shared" si="23"/>
        <v>70.000000000000071</v>
      </c>
      <c r="Q86" s="372"/>
      <c r="R86" s="372"/>
    </row>
    <row r="87" spans="1:18">
      <c r="A87" s="570"/>
      <c r="B87" s="373">
        <v>0</v>
      </c>
      <c r="C87" s="409"/>
      <c r="D87" s="407"/>
      <c r="E87" s="421"/>
      <c r="F87" s="377"/>
      <c r="G87" s="370"/>
      <c r="H87" s="461"/>
      <c r="I87" s="379"/>
      <c r="J87" s="380"/>
      <c r="K87" s="381"/>
      <c r="L87" s="382"/>
      <c r="M87" s="383"/>
      <c r="N87" s="463"/>
      <c r="O87" s="372"/>
      <c r="P87" s="423">
        <f t="shared" si="23"/>
        <v>0</v>
      </c>
      <c r="Q87" s="372"/>
      <c r="R87" s="372"/>
    </row>
    <row r="88" spans="1:18">
      <c r="A88" s="570"/>
      <c r="B88" s="373">
        <v>0</v>
      </c>
      <c r="C88" s="409"/>
      <c r="D88" s="407"/>
      <c r="E88" s="421"/>
      <c r="F88" s="377"/>
      <c r="G88" s="370"/>
      <c r="H88" s="461"/>
      <c r="I88" s="379"/>
      <c r="J88" s="380"/>
      <c r="K88" s="381"/>
      <c r="L88" s="382"/>
      <c r="M88" s="383"/>
      <c r="N88" s="463"/>
      <c r="O88" s="372"/>
      <c r="P88" s="423">
        <f t="shared" si="23"/>
        <v>0</v>
      </c>
      <c r="Q88" s="372"/>
      <c r="R88" s="372"/>
    </row>
    <row r="89" spans="1:18">
      <c r="A89" s="570"/>
      <c r="B89" s="373">
        <v>0</v>
      </c>
      <c r="C89" s="409"/>
      <c r="D89" s="407"/>
      <c r="E89" s="421"/>
      <c r="F89" s="377" t="s">
        <v>253</v>
      </c>
      <c r="G89" s="370"/>
      <c r="H89" s="461">
        <f t="shared" ref="H89:H90" si="24">F89*G89</f>
        <v>0</v>
      </c>
      <c r="I89" s="379"/>
      <c r="J89" s="380"/>
      <c r="K89" s="381"/>
      <c r="L89" s="382"/>
      <c r="M89" s="383"/>
      <c r="N89" s="463"/>
      <c r="O89" s="372"/>
      <c r="P89" s="423">
        <f t="shared" si="23"/>
        <v>0</v>
      </c>
      <c r="Q89" s="372"/>
      <c r="R89" s="372"/>
    </row>
    <row r="90" spans="1:18">
      <c r="A90" s="570"/>
      <c r="B90" s="373">
        <v>0</v>
      </c>
      <c r="C90" s="409"/>
      <c r="D90" s="407"/>
      <c r="E90" s="421"/>
      <c r="F90" s="377" t="s">
        <v>253</v>
      </c>
      <c r="G90" s="370"/>
      <c r="H90" s="461">
        <f t="shared" si="24"/>
        <v>0</v>
      </c>
      <c r="I90" s="379"/>
      <c r="J90" s="380"/>
      <c r="K90" s="381"/>
      <c r="L90" s="382"/>
      <c r="M90" s="383"/>
      <c r="N90" s="463"/>
      <c r="O90" s="372"/>
      <c r="P90" s="423">
        <f t="shared" si="23"/>
        <v>0</v>
      </c>
      <c r="Q90" s="372"/>
      <c r="R90" s="372"/>
    </row>
    <row r="91" spans="1:18" ht="17.399999999999999" customHeight="1">
      <c r="A91" s="570"/>
      <c r="B91" s="373">
        <v>0</v>
      </c>
      <c r="C91" s="12" t="s">
        <v>262</v>
      </c>
      <c r="D91" s="571" t="s">
        <v>114</v>
      </c>
      <c r="E91" s="571"/>
      <c r="F91" s="392"/>
      <c r="G91" s="464"/>
      <c r="H91" s="465"/>
      <c r="I91" s="395"/>
      <c r="J91" s="396">
        <f>AVERAGE(J82:J90)</f>
        <v>3.6</v>
      </c>
      <c r="K91" s="396">
        <f>AVERAGE(K82:K90)</f>
        <v>2738.1257142857066</v>
      </c>
      <c r="L91" s="397">
        <f>AVERAGE(L82:L90)</f>
        <v>776.58857142856937</v>
      </c>
      <c r="M91" s="383"/>
      <c r="N91" s="383"/>
      <c r="O91" s="381"/>
      <c r="P91" s="381"/>
      <c r="Q91" s="382"/>
      <c r="R91" s="382"/>
    </row>
    <row r="92" spans="1:18" ht="16.25" customHeight="1">
      <c r="A92" s="572" t="s">
        <v>279</v>
      </c>
      <c r="B92" s="373" t="s">
        <v>250</v>
      </c>
      <c r="C92" s="466"/>
      <c r="D92" s="443" t="s">
        <v>315</v>
      </c>
      <c r="E92" s="424"/>
      <c r="F92" s="377">
        <v>24.54</v>
      </c>
      <c r="G92" s="370">
        <v>2098</v>
      </c>
      <c r="H92" s="378">
        <f t="shared" ref="H92" si="25">F92*G92</f>
        <v>51484.92</v>
      </c>
      <c r="I92" s="379"/>
      <c r="J92" s="380">
        <v>3</v>
      </c>
      <c r="K92" s="381">
        <f t="shared" ref="K92:K95" si="26">G92/P92*60</f>
        <v>2288.7272727272743</v>
      </c>
      <c r="L92" s="382">
        <f t="shared" ref="L92:L95" si="27">K92/J92</f>
        <v>762.90909090909145</v>
      </c>
      <c r="M92" s="383">
        <v>0.72222222222222221</v>
      </c>
      <c r="N92" s="383">
        <v>0.76041666666666663</v>
      </c>
      <c r="O92" s="372">
        <v>20</v>
      </c>
      <c r="P92" s="384">
        <f>(N92-M92)*24*60</f>
        <v>54.999999999999964</v>
      </c>
      <c r="Q92" s="385"/>
      <c r="R92" s="385"/>
    </row>
    <row r="93" spans="1:18">
      <c r="A93" s="573"/>
      <c r="B93" s="373" t="s">
        <v>250</v>
      </c>
      <c r="C93" s="466"/>
      <c r="D93" s="407" t="s">
        <v>316</v>
      </c>
      <c r="E93" s="421"/>
      <c r="F93" s="377">
        <v>22.48</v>
      </c>
      <c r="G93" s="370">
        <v>2095</v>
      </c>
      <c r="H93" s="378">
        <f>F93*G93</f>
        <v>47095.6</v>
      </c>
      <c r="I93" s="379"/>
      <c r="J93" s="380">
        <v>4</v>
      </c>
      <c r="K93" s="381">
        <f t="shared" si="26"/>
        <v>2285.45454545454</v>
      </c>
      <c r="L93" s="382">
        <f t="shared" si="27"/>
        <v>571.36363636363501</v>
      </c>
      <c r="M93" s="383">
        <v>0.77430555555555547</v>
      </c>
      <c r="N93" s="383">
        <v>0.8125</v>
      </c>
      <c r="O93" s="372">
        <v>20</v>
      </c>
      <c r="P93" s="384">
        <f>(N93-M93)*24*60</f>
        <v>55.000000000000128</v>
      </c>
      <c r="Q93" s="385"/>
      <c r="R93" s="385"/>
    </row>
    <row r="94" spans="1:18">
      <c r="A94" s="573"/>
      <c r="B94" s="373" t="s">
        <v>250</v>
      </c>
      <c r="C94" s="391"/>
      <c r="D94" s="443" t="s">
        <v>317</v>
      </c>
      <c r="E94" s="421"/>
      <c r="F94" s="377">
        <v>16.7</v>
      </c>
      <c r="G94" s="386">
        <v>1380</v>
      </c>
      <c r="H94" s="378">
        <f>F94*G94</f>
        <v>23046</v>
      </c>
      <c r="I94" s="379"/>
      <c r="J94" s="380">
        <v>3</v>
      </c>
      <c r="K94" s="381">
        <f t="shared" si="26"/>
        <v>2759.999999999995</v>
      </c>
      <c r="L94" s="382">
        <f t="shared" si="27"/>
        <v>919.99999999999829</v>
      </c>
      <c r="M94" s="383">
        <v>0.82638888888888884</v>
      </c>
      <c r="N94" s="383">
        <v>0.84722222222222221</v>
      </c>
      <c r="O94" s="372">
        <v>20</v>
      </c>
      <c r="P94" s="384">
        <f>(N94-M94)*24*60</f>
        <v>30.000000000000053</v>
      </c>
      <c r="Q94" s="385"/>
      <c r="R94" s="385"/>
    </row>
    <row r="95" spans="1:18">
      <c r="A95" s="574"/>
      <c r="B95" s="373" t="s">
        <v>250</v>
      </c>
      <c r="C95" s="391"/>
      <c r="D95" s="443" t="s">
        <v>318</v>
      </c>
      <c r="E95" s="448"/>
      <c r="F95" s="377">
        <v>28.57</v>
      </c>
      <c r="G95" s="386">
        <v>2660</v>
      </c>
      <c r="H95" s="378">
        <f>F95*G95</f>
        <v>75996.2</v>
      </c>
      <c r="I95" s="379"/>
      <c r="J95" s="380">
        <v>3</v>
      </c>
      <c r="K95" s="381">
        <f t="shared" si="26"/>
        <v>2901.8181818181924</v>
      </c>
      <c r="L95" s="382">
        <f t="shared" si="27"/>
        <v>967.27272727273078</v>
      </c>
      <c r="M95" s="383">
        <v>0.86111111111111116</v>
      </c>
      <c r="N95" s="383">
        <v>0.89930555555555547</v>
      </c>
      <c r="O95" s="372">
        <v>20</v>
      </c>
      <c r="P95" s="384">
        <f>(N95-M95)*24*60</f>
        <v>54.999999999999801</v>
      </c>
      <c r="Q95" s="385"/>
      <c r="R95" s="385"/>
    </row>
    <row r="96" spans="1:18">
      <c r="A96" s="574"/>
      <c r="B96" s="373">
        <v>0</v>
      </c>
      <c r="C96" s="391"/>
      <c r="D96" s="407"/>
      <c r="E96" s="448"/>
      <c r="F96" s="377"/>
      <c r="G96" s="386"/>
      <c r="H96" s="378"/>
      <c r="I96" s="379"/>
      <c r="J96" s="380"/>
      <c r="K96" s="381"/>
      <c r="L96" s="382"/>
      <c r="M96" s="383"/>
      <c r="N96" s="383"/>
      <c r="O96" s="372"/>
      <c r="P96" s="384"/>
      <c r="Q96" s="385"/>
      <c r="R96" s="385"/>
    </row>
    <row r="97" spans="1:18">
      <c r="A97" s="574"/>
      <c r="B97" s="373">
        <v>0</v>
      </c>
      <c r="C97" s="391"/>
      <c r="D97" s="407"/>
      <c r="E97" s="448"/>
      <c r="F97" s="377"/>
      <c r="G97" s="386"/>
      <c r="H97" s="378"/>
      <c r="I97" s="379"/>
      <c r="J97" s="380"/>
      <c r="K97" s="381"/>
      <c r="L97" s="382"/>
      <c r="M97" s="383"/>
      <c r="N97" s="383"/>
      <c r="O97" s="372"/>
      <c r="P97" s="384"/>
      <c r="Q97" s="385"/>
      <c r="R97" s="385"/>
    </row>
    <row r="98" spans="1:18">
      <c r="A98" s="574"/>
      <c r="B98" s="373">
        <v>0</v>
      </c>
      <c r="C98" s="391"/>
      <c r="D98" s="407"/>
      <c r="E98" s="448"/>
      <c r="F98" s="377"/>
      <c r="G98" s="386"/>
      <c r="H98" s="378"/>
      <c r="I98" s="379"/>
      <c r="J98" s="380"/>
      <c r="K98" s="381"/>
      <c r="L98" s="382"/>
      <c r="M98" s="383"/>
      <c r="N98" s="383"/>
      <c r="O98" s="372"/>
      <c r="P98" s="384"/>
      <c r="Q98" s="385"/>
      <c r="R98" s="385"/>
    </row>
    <row r="99" spans="1:18">
      <c r="A99" s="574"/>
      <c r="B99" s="373">
        <v>0</v>
      </c>
      <c r="C99" s="391"/>
      <c r="D99" s="407"/>
      <c r="E99" s="448"/>
      <c r="F99" s="377" t="s">
        <v>253</v>
      </c>
      <c r="G99" s="386"/>
      <c r="H99" s="378">
        <f>F99*G99</f>
        <v>0</v>
      </c>
      <c r="I99" s="379"/>
      <c r="J99" s="380"/>
      <c r="K99" s="381"/>
      <c r="L99" s="382"/>
      <c r="M99" s="383"/>
      <c r="N99" s="383"/>
      <c r="O99" s="372"/>
      <c r="P99" s="384"/>
      <c r="Q99" s="385"/>
      <c r="R99" s="385"/>
    </row>
    <row r="100" spans="1:18" ht="15.75" customHeight="1">
      <c r="A100" s="574"/>
      <c r="B100" s="373">
        <v>0</v>
      </c>
      <c r="C100" s="12" t="s">
        <v>281</v>
      </c>
      <c r="D100" s="575" t="s">
        <v>114</v>
      </c>
      <c r="E100" s="576"/>
      <c r="F100" s="392"/>
      <c r="G100" s="393"/>
      <c r="H100" s="467"/>
      <c r="I100" s="395"/>
      <c r="J100" s="396">
        <f>AVERAGE(J92:J99)</f>
        <v>3.25</v>
      </c>
      <c r="K100" s="396">
        <f>AVERAGE(K92:K99)</f>
        <v>2559.0000000000005</v>
      </c>
      <c r="L100" s="397">
        <f>AVERAGE(L92:L99)</f>
        <v>805.38636363636385</v>
      </c>
      <c r="M100" s="383"/>
      <c r="N100" s="383"/>
      <c r="O100" s="381"/>
      <c r="P100" s="381"/>
      <c r="Q100" s="382"/>
      <c r="R100" s="382"/>
    </row>
    <row r="101" spans="1:18" ht="16.25" customHeight="1">
      <c r="A101" s="577" t="s">
        <v>282</v>
      </c>
      <c r="B101" s="373" t="s">
        <v>250</v>
      </c>
      <c r="C101" s="12"/>
      <c r="D101" s="475" t="s">
        <v>319</v>
      </c>
      <c r="E101" s="476"/>
      <c r="F101" s="377">
        <v>18.18</v>
      </c>
      <c r="G101" s="370">
        <v>879</v>
      </c>
      <c r="H101" s="378">
        <f t="shared" ref="H101:H110" si="28">F101*G101</f>
        <v>15980.22</v>
      </c>
      <c r="I101" s="379"/>
      <c r="J101" s="380">
        <v>4</v>
      </c>
      <c r="K101" s="381">
        <f>G101/P101*60</f>
        <v>2636.9999999999882</v>
      </c>
      <c r="L101" s="382">
        <f t="shared" ref="L101:L105" si="29">K101/J101</f>
        <v>659.24999999999704</v>
      </c>
      <c r="M101" s="383">
        <v>0.72222222222222221</v>
      </c>
      <c r="N101" s="383">
        <v>0.73611111111111116</v>
      </c>
      <c r="O101" s="372">
        <v>20</v>
      </c>
      <c r="P101" s="381">
        <f t="shared" ref="P101:P110" si="30">(N101-M101)*24*60</f>
        <v>20.000000000000089</v>
      </c>
      <c r="Q101" s="382"/>
      <c r="R101" s="385"/>
    </row>
    <row r="102" spans="1:18">
      <c r="A102" s="577"/>
      <c r="B102" s="373" t="s">
        <v>250</v>
      </c>
      <c r="C102" s="12"/>
      <c r="D102" s="475" t="s">
        <v>320</v>
      </c>
      <c r="E102" s="476"/>
      <c r="F102" s="377">
        <v>14.03</v>
      </c>
      <c r="G102" s="370">
        <v>5150</v>
      </c>
      <c r="H102" s="378">
        <f t="shared" si="28"/>
        <v>72254.5</v>
      </c>
      <c r="I102" s="379"/>
      <c r="J102" s="380">
        <v>3</v>
      </c>
      <c r="K102" s="381">
        <f t="shared" ref="K102:K105" si="31">G102/P102*60</f>
        <v>3089.9999999999964</v>
      </c>
      <c r="L102" s="382">
        <f t="shared" si="29"/>
        <v>1029.9999999999989</v>
      </c>
      <c r="M102" s="383">
        <v>0.75</v>
      </c>
      <c r="N102" s="383">
        <v>0.81944444444444453</v>
      </c>
      <c r="O102" s="372">
        <v>20</v>
      </c>
      <c r="P102" s="381">
        <f t="shared" si="30"/>
        <v>100.00000000000013</v>
      </c>
      <c r="Q102" s="385">
        <v>0.81944444444444453</v>
      </c>
      <c r="R102" s="385">
        <v>0.86111111111111116</v>
      </c>
    </row>
    <row r="103" spans="1:18">
      <c r="A103" s="577"/>
      <c r="B103" s="373" t="s">
        <v>250</v>
      </c>
      <c r="C103" s="468"/>
      <c r="D103" s="448" t="s">
        <v>283</v>
      </c>
      <c r="E103" s="411"/>
      <c r="F103" s="377">
        <v>25.03</v>
      </c>
      <c r="G103" s="370">
        <v>1093</v>
      </c>
      <c r="H103" s="378">
        <f t="shared" si="28"/>
        <v>27357.79</v>
      </c>
      <c r="I103" s="379"/>
      <c r="J103" s="380">
        <v>4</v>
      </c>
      <c r="K103" s="381">
        <f t="shared" si="31"/>
        <v>3279.0000000000118</v>
      </c>
      <c r="L103" s="382">
        <f t="shared" si="29"/>
        <v>819.75000000000296</v>
      </c>
      <c r="M103" s="383">
        <v>0.875</v>
      </c>
      <c r="N103" s="383">
        <v>0.88888888888888884</v>
      </c>
      <c r="O103" s="372">
        <v>20</v>
      </c>
      <c r="P103" s="381">
        <f t="shared" si="30"/>
        <v>19.999999999999929</v>
      </c>
      <c r="Q103" s="385"/>
      <c r="R103" s="385"/>
    </row>
    <row r="104" spans="1:18">
      <c r="A104" s="577"/>
      <c r="B104" s="373" t="s">
        <v>250</v>
      </c>
      <c r="C104" s="468"/>
      <c r="D104" s="411" t="s">
        <v>284</v>
      </c>
      <c r="E104" s="448"/>
      <c r="F104" s="377">
        <v>24.82</v>
      </c>
      <c r="G104" s="370">
        <v>1552</v>
      </c>
      <c r="H104" s="378">
        <f t="shared" si="28"/>
        <v>38520.639999999999</v>
      </c>
      <c r="I104" s="379"/>
      <c r="J104" s="380">
        <v>4</v>
      </c>
      <c r="K104" s="381">
        <f t="shared" si="31"/>
        <v>3103.9999999999945</v>
      </c>
      <c r="L104" s="382">
        <f t="shared" si="29"/>
        <v>775.99999999999864</v>
      </c>
      <c r="M104" s="383">
        <v>0.90277777777777779</v>
      </c>
      <c r="N104" s="383">
        <v>0.92361111111111116</v>
      </c>
      <c r="O104" s="372">
        <v>20</v>
      </c>
      <c r="P104" s="381">
        <f>(N104-M104)*24*60</f>
        <v>30.000000000000053</v>
      </c>
      <c r="Q104" s="382"/>
      <c r="R104" s="385"/>
    </row>
    <row r="105" spans="1:18">
      <c r="A105" s="577"/>
      <c r="B105" s="373" t="s">
        <v>250</v>
      </c>
      <c r="C105" s="468"/>
      <c r="D105" s="411" t="s">
        <v>285</v>
      </c>
      <c r="E105" s="462"/>
      <c r="F105" s="377">
        <v>14.285714285714283</v>
      </c>
      <c r="G105" s="370">
        <v>7214</v>
      </c>
      <c r="H105" s="378">
        <f t="shared" si="28"/>
        <v>103057.14285714284</v>
      </c>
      <c r="I105" s="379"/>
      <c r="J105" s="380">
        <v>3</v>
      </c>
      <c r="K105" s="381">
        <f t="shared" si="31"/>
        <v>2792.5161289903108</v>
      </c>
      <c r="L105" s="382">
        <f t="shared" si="29"/>
        <v>930.83870966343693</v>
      </c>
      <c r="M105" s="383">
        <v>46023.9375</v>
      </c>
      <c r="N105" s="463">
        <v>46024.045138888891</v>
      </c>
      <c r="O105" s="372">
        <v>20</v>
      </c>
      <c r="P105" s="381">
        <f>(N105-M105)*24*60</f>
        <v>155.00000000232831</v>
      </c>
      <c r="Q105" s="382"/>
      <c r="R105" s="385"/>
    </row>
    <row r="106" spans="1:18">
      <c r="A106" s="577"/>
      <c r="B106" s="373">
        <v>0</v>
      </c>
      <c r="C106" s="468"/>
      <c r="D106" s="475"/>
      <c r="E106" s="476"/>
      <c r="F106" s="377" t="s">
        <v>253</v>
      </c>
      <c r="G106" s="386"/>
      <c r="H106" s="378">
        <f t="shared" si="28"/>
        <v>0</v>
      </c>
      <c r="I106" s="379"/>
      <c r="J106" s="380"/>
      <c r="K106" s="381"/>
      <c r="L106" s="382"/>
      <c r="M106" s="383"/>
      <c r="N106" s="383"/>
      <c r="O106" s="381"/>
      <c r="P106" s="381">
        <f t="shared" si="30"/>
        <v>0</v>
      </c>
      <c r="Q106" s="382"/>
      <c r="R106" s="385"/>
    </row>
    <row r="107" spans="1:18">
      <c r="A107" s="577"/>
      <c r="B107" s="373">
        <v>0</v>
      </c>
      <c r="C107" s="468"/>
      <c r="D107" s="411"/>
      <c r="E107" s="462"/>
      <c r="F107" s="377" t="s">
        <v>253</v>
      </c>
      <c r="G107" s="370"/>
      <c r="H107" s="378">
        <f t="shared" si="28"/>
        <v>0</v>
      </c>
      <c r="I107" s="379"/>
      <c r="J107" s="380"/>
      <c r="K107" s="381"/>
      <c r="L107" s="382"/>
      <c r="M107" s="383"/>
      <c r="N107" s="383"/>
      <c r="O107" s="381"/>
      <c r="P107" s="381">
        <f t="shared" si="30"/>
        <v>0</v>
      </c>
      <c r="Q107" s="382"/>
      <c r="R107" s="385"/>
    </row>
    <row r="108" spans="1:18">
      <c r="A108" s="577"/>
      <c r="B108" s="373">
        <v>0</v>
      </c>
      <c r="C108" s="468"/>
      <c r="D108" s="411"/>
      <c r="E108" s="462"/>
      <c r="F108" s="377" t="s">
        <v>253</v>
      </c>
      <c r="G108" s="370"/>
      <c r="H108" s="378">
        <f t="shared" si="28"/>
        <v>0</v>
      </c>
      <c r="I108" s="379"/>
      <c r="J108" s="380"/>
      <c r="K108" s="381"/>
      <c r="L108" s="382"/>
      <c r="M108" s="383"/>
      <c r="N108" s="383"/>
      <c r="O108" s="381"/>
      <c r="P108" s="381">
        <f t="shared" si="30"/>
        <v>0</v>
      </c>
      <c r="Q108" s="382"/>
      <c r="R108" s="385"/>
    </row>
    <row r="109" spans="1:18">
      <c r="A109" s="577"/>
      <c r="B109" s="373">
        <v>0</v>
      </c>
      <c r="C109" s="469"/>
      <c r="D109" s="411"/>
      <c r="E109" s="462"/>
      <c r="F109" s="377" t="s">
        <v>253</v>
      </c>
      <c r="G109" s="370"/>
      <c r="H109" s="378">
        <f t="shared" si="28"/>
        <v>0</v>
      </c>
      <c r="I109" s="379"/>
      <c r="J109" s="380"/>
      <c r="K109" s="381"/>
      <c r="L109" s="382"/>
      <c r="M109" s="383"/>
      <c r="N109" s="383"/>
      <c r="O109" s="381"/>
      <c r="P109" s="381">
        <f t="shared" si="30"/>
        <v>0</v>
      </c>
      <c r="Q109" s="382"/>
      <c r="R109" s="385"/>
    </row>
    <row r="110" spans="1:18">
      <c r="A110" s="577"/>
      <c r="B110" s="373">
        <v>0</v>
      </c>
      <c r="C110" s="469"/>
      <c r="D110" s="411"/>
      <c r="E110" s="462"/>
      <c r="F110" s="377" t="s">
        <v>253</v>
      </c>
      <c r="G110" s="370"/>
      <c r="H110" s="378">
        <f t="shared" si="28"/>
        <v>0</v>
      </c>
      <c r="I110" s="379"/>
      <c r="J110" s="380"/>
      <c r="K110" s="381"/>
      <c r="L110" s="382"/>
      <c r="M110" s="383"/>
      <c r="N110" s="383"/>
      <c r="O110" s="381"/>
      <c r="P110" s="381">
        <f t="shared" si="30"/>
        <v>0</v>
      </c>
      <c r="Q110" s="382"/>
      <c r="R110" s="385"/>
    </row>
    <row r="111" spans="1:18" ht="15.75" customHeight="1">
      <c r="A111" s="577"/>
      <c r="B111" s="373">
        <v>0</v>
      </c>
      <c r="C111" s="452" t="s">
        <v>270</v>
      </c>
      <c r="D111" s="578" t="s">
        <v>114</v>
      </c>
      <c r="E111" s="579"/>
      <c r="F111" s="470"/>
      <c r="G111" s="471"/>
      <c r="H111" s="394"/>
      <c r="I111" s="395"/>
      <c r="J111" s="396">
        <f>AVERAGE(J101:J110)</f>
        <v>3.6</v>
      </c>
      <c r="K111" s="396">
        <f>AVERAGE(K101:K110)</f>
        <v>2980.5032257980602</v>
      </c>
      <c r="L111" s="397">
        <f>AVERAGE(L101:L110)</f>
        <v>843.16774193268679</v>
      </c>
      <c r="M111" s="383"/>
      <c r="N111" s="383"/>
      <c r="O111" s="381"/>
      <c r="P111" s="381"/>
      <c r="Q111" s="382"/>
      <c r="R111" s="372"/>
    </row>
    <row r="112" spans="1:18" ht="16.25" customHeight="1">
      <c r="A112" s="565" t="s">
        <v>286</v>
      </c>
      <c r="B112" s="373">
        <v>0</v>
      </c>
      <c r="C112" s="12"/>
      <c r="D112" s="477"/>
      <c r="E112" s="478"/>
      <c r="F112" s="377" t="s">
        <v>253</v>
      </c>
      <c r="G112" s="370"/>
      <c r="H112" s="459">
        <f t="shared" si="3"/>
        <v>0</v>
      </c>
      <c r="I112" s="379"/>
      <c r="J112" s="380">
        <v>0</v>
      </c>
      <c r="K112" s="381">
        <v>0</v>
      </c>
      <c r="L112" s="382">
        <v>0</v>
      </c>
      <c r="M112" s="383"/>
      <c r="N112" s="383"/>
      <c r="O112" s="372"/>
      <c r="P112" s="384">
        <f t="shared" ref="P112:P123" si="32">(N112-M112)*24*60</f>
        <v>0</v>
      </c>
      <c r="Q112" s="372"/>
      <c r="R112" s="372"/>
    </row>
    <row r="113" spans="1:18">
      <c r="A113" s="565"/>
      <c r="B113" s="373">
        <v>0</v>
      </c>
      <c r="C113" s="460"/>
      <c r="D113" s="475"/>
      <c r="E113" s="457"/>
      <c r="F113" s="377" t="s">
        <v>253</v>
      </c>
      <c r="G113" s="370"/>
      <c r="H113" s="459">
        <f t="shared" si="3"/>
        <v>0</v>
      </c>
      <c r="I113" s="379"/>
      <c r="J113" s="380"/>
      <c r="K113" s="381"/>
      <c r="L113" s="382"/>
      <c r="M113" s="383"/>
      <c r="N113" s="383"/>
      <c r="O113" s="372"/>
      <c r="P113" s="384">
        <f t="shared" si="32"/>
        <v>0</v>
      </c>
      <c r="Q113" s="385"/>
      <c r="R113" s="385"/>
    </row>
    <row r="114" spans="1:18">
      <c r="A114" s="565"/>
      <c r="B114" s="373">
        <v>0</v>
      </c>
      <c r="C114" s="460"/>
      <c r="D114" s="448"/>
      <c r="E114" s="411"/>
      <c r="F114" s="377" t="s">
        <v>253</v>
      </c>
      <c r="G114" s="370"/>
      <c r="H114" s="459">
        <f>F114*G114</f>
        <v>0</v>
      </c>
      <c r="I114" s="379"/>
      <c r="J114" s="380"/>
      <c r="K114" s="381"/>
      <c r="L114" s="382"/>
      <c r="M114" s="383"/>
      <c r="N114" s="383"/>
      <c r="O114" s="372"/>
      <c r="P114" s="384">
        <f t="shared" si="32"/>
        <v>0</v>
      </c>
      <c r="Q114" s="385"/>
      <c r="R114" s="385"/>
    </row>
    <row r="115" spans="1:18">
      <c r="A115" s="565"/>
      <c r="B115" s="373">
        <v>0</v>
      </c>
      <c r="C115" s="409"/>
      <c r="D115" s="411"/>
      <c r="E115" s="448"/>
      <c r="F115" s="377" t="s">
        <v>253</v>
      </c>
      <c r="G115" s="370"/>
      <c r="H115" s="459">
        <f t="shared" ref="H115:H123" si="33">F115*G115</f>
        <v>0</v>
      </c>
      <c r="I115" s="379"/>
      <c r="J115" s="380"/>
      <c r="K115" s="381"/>
      <c r="L115" s="382"/>
      <c r="M115" s="383"/>
      <c r="N115" s="383"/>
      <c r="O115" s="372"/>
      <c r="P115" s="384">
        <f t="shared" si="32"/>
        <v>0</v>
      </c>
      <c r="Q115" s="385"/>
      <c r="R115" s="385"/>
    </row>
    <row r="116" spans="1:18">
      <c r="A116" s="565"/>
      <c r="B116" s="373">
        <v>0</v>
      </c>
      <c r="C116" s="409"/>
      <c r="D116" s="411"/>
      <c r="E116" s="462"/>
      <c r="F116" s="377" t="s">
        <v>253</v>
      </c>
      <c r="G116" s="370"/>
      <c r="H116" s="459">
        <f t="shared" si="33"/>
        <v>0</v>
      </c>
      <c r="I116" s="379"/>
      <c r="J116" s="380"/>
      <c r="K116" s="381"/>
      <c r="L116" s="382"/>
      <c r="M116" s="383"/>
      <c r="N116" s="463"/>
      <c r="O116" s="372"/>
      <c r="P116" s="384">
        <f t="shared" si="32"/>
        <v>0</v>
      </c>
      <c r="Q116" s="385"/>
      <c r="R116" s="385"/>
    </row>
    <row r="117" spans="1:18">
      <c r="A117" s="565"/>
      <c r="B117" s="373">
        <v>0</v>
      </c>
      <c r="C117" s="460"/>
      <c r="D117" s="443"/>
      <c r="E117" s="441"/>
      <c r="F117" s="377" t="s">
        <v>253</v>
      </c>
      <c r="G117" s="370"/>
      <c r="H117" s="459">
        <f t="shared" si="33"/>
        <v>0</v>
      </c>
      <c r="I117" s="379"/>
      <c r="J117" s="380"/>
      <c r="K117" s="381"/>
      <c r="L117" s="382"/>
      <c r="M117" s="383"/>
      <c r="N117" s="383"/>
      <c r="O117" s="381"/>
      <c r="P117" s="384">
        <f t="shared" si="32"/>
        <v>0</v>
      </c>
      <c r="Q117" s="385"/>
      <c r="R117" s="385"/>
    </row>
    <row r="118" spans="1:18">
      <c r="A118" s="565"/>
      <c r="B118" s="373">
        <v>0</v>
      </c>
      <c r="C118" s="460"/>
      <c r="D118" s="443"/>
      <c r="E118" s="441"/>
      <c r="F118" s="377" t="s">
        <v>253</v>
      </c>
      <c r="G118" s="370"/>
      <c r="H118" s="459">
        <f t="shared" si="33"/>
        <v>0</v>
      </c>
      <c r="I118" s="379"/>
      <c r="J118" s="380"/>
      <c r="K118" s="381"/>
      <c r="L118" s="382"/>
      <c r="M118" s="383"/>
      <c r="N118" s="383"/>
      <c r="O118" s="372"/>
      <c r="P118" s="384">
        <f t="shared" si="32"/>
        <v>0</v>
      </c>
      <c r="Q118" s="385"/>
      <c r="R118" s="385"/>
    </row>
    <row r="119" spans="1:18">
      <c r="A119" s="565"/>
      <c r="B119" s="373">
        <v>0</v>
      </c>
      <c r="C119" s="409"/>
      <c r="D119" s="443"/>
      <c r="E119" s="441"/>
      <c r="F119" s="377" t="s">
        <v>253</v>
      </c>
      <c r="G119" s="370"/>
      <c r="H119" s="459">
        <f t="shared" si="33"/>
        <v>0</v>
      </c>
      <c r="I119" s="379"/>
      <c r="J119" s="380"/>
      <c r="K119" s="381"/>
      <c r="L119" s="382"/>
      <c r="M119" s="383"/>
      <c r="N119" s="383"/>
      <c r="O119" s="372"/>
      <c r="P119" s="384">
        <f t="shared" si="32"/>
        <v>0</v>
      </c>
      <c r="Q119" s="385"/>
      <c r="R119" s="385"/>
    </row>
    <row r="120" spans="1:18">
      <c r="A120" s="565"/>
      <c r="B120" s="373">
        <v>0</v>
      </c>
      <c r="C120" s="409"/>
      <c r="D120" s="443"/>
      <c r="E120" s="441"/>
      <c r="F120" s="377" t="s">
        <v>253</v>
      </c>
      <c r="G120" s="370"/>
      <c r="H120" s="459"/>
      <c r="I120" s="379"/>
      <c r="J120" s="380"/>
      <c r="K120" s="381"/>
      <c r="L120" s="382"/>
      <c r="M120" s="383"/>
      <c r="N120" s="383"/>
      <c r="O120" s="372"/>
      <c r="P120" s="384"/>
      <c r="Q120" s="385"/>
      <c r="R120" s="385"/>
    </row>
    <row r="121" spans="1:18">
      <c r="A121" s="565"/>
      <c r="B121" s="373">
        <v>0</v>
      </c>
      <c r="C121" s="460"/>
      <c r="D121" s="443"/>
      <c r="E121" s="441"/>
      <c r="F121" s="377" t="s">
        <v>253</v>
      </c>
      <c r="G121" s="370"/>
      <c r="H121" s="459"/>
      <c r="I121" s="379"/>
      <c r="J121" s="380"/>
      <c r="K121" s="381"/>
      <c r="L121" s="382"/>
      <c r="M121" s="383"/>
      <c r="N121" s="383"/>
      <c r="O121" s="372"/>
      <c r="P121" s="384"/>
      <c r="Q121" s="385"/>
      <c r="R121" s="385"/>
    </row>
    <row r="122" spans="1:18">
      <c r="A122" s="565"/>
      <c r="B122" s="373">
        <v>0</v>
      </c>
      <c r="C122" s="460"/>
      <c r="D122" s="443"/>
      <c r="E122" s="441"/>
      <c r="F122" s="377" t="s">
        <v>253</v>
      </c>
      <c r="G122" s="370"/>
      <c r="H122" s="459"/>
      <c r="I122" s="379"/>
      <c r="J122" s="380"/>
      <c r="K122" s="381"/>
      <c r="L122" s="382"/>
      <c r="M122" s="383"/>
      <c r="N122" s="383"/>
      <c r="O122" s="372"/>
      <c r="P122" s="384">
        <f t="shared" si="32"/>
        <v>0</v>
      </c>
      <c r="Q122" s="385"/>
      <c r="R122" s="385"/>
    </row>
    <row r="123" spans="1:18">
      <c r="A123" s="565"/>
      <c r="B123" s="373">
        <v>0</v>
      </c>
      <c r="C123" s="409"/>
      <c r="D123" s="443"/>
      <c r="E123" s="441"/>
      <c r="F123" s="377" t="s">
        <v>253</v>
      </c>
      <c r="G123" s="370"/>
      <c r="H123" s="459">
        <f t="shared" si="33"/>
        <v>0</v>
      </c>
      <c r="I123" s="379"/>
      <c r="J123" s="380"/>
      <c r="K123" s="381"/>
      <c r="L123" s="382"/>
      <c r="M123" s="383"/>
      <c r="N123" s="383"/>
      <c r="O123" s="372"/>
      <c r="P123" s="384">
        <f t="shared" si="32"/>
        <v>0</v>
      </c>
      <c r="Q123" s="385"/>
      <c r="R123" s="385"/>
    </row>
    <row r="124" spans="1:18" ht="17.399999999999999" customHeight="1">
      <c r="A124" s="565"/>
      <c r="B124" s="472">
        <v>0</v>
      </c>
      <c r="C124" s="13" t="s">
        <v>273</v>
      </c>
      <c r="D124" s="568" t="s">
        <v>114</v>
      </c>
      <c r="E124" s="568"/>
      <c r="F124" s="392"/>
      <c r="G124" s="464"/>
      <c r="H124" s="465"/>
      <c r="I124" s="395"/>
      <c r="J124" s="396">
        <f>AVERAGE(J112:J123)</f>
        <v>0</v>
      </c>
      <c r="K124" s="396">
        <f>AVERAGE(K112:K123)</f>
        <v>0</v>
      </c>
      <c r="L124" s="397">
        <f>AVERAGE(L112:L123)</f>
        <v>0</v>
      </c>
      <c r="M124" s="383"/>
      <c r="N124" s="383"/>
      <c r="O124" s="381"/>
      <c r="P124" s="381"/>
      <c r="Q124" s="382"/>
      <c r="R124" s="382"/>
    </row>
    <row r="125" spans="1:18">
      <c r="C125" s="409"/>
    </row>
    <row r="126" spans="1:18">
      <c r="C126" s="13"/>
    </row>
  </sheetData>
  <mergeCells count="46"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3:E13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1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28" activePane="bottomLeft" state="frozen"/>
      <selection activeCell="AB119" sqref="AB119:AC119"/>
      <selection pane="bottomLeft" activeCell="AB119" sqref="AB119:AC119"/>
    </sheetView>
  </sheetViews>
  <sheetFormatPr defaultColWidth="7.90625" defaultRowHeight="15.5"/>
  <cols>
    <col min="1" max="1" width="14.1796875" style="70" customWidth="1"/>
    <col min="2" max="2" width="12.81640625" style="70" customWidth="1"/>
    <col min="3" max="3" width="12.81640625" style="70" hidden="1" customWidth="1"/>
    <col min="4" max="4" width="14.1796875" style="70" customWidth="1"/>
    <col min="5" max="5" width="15" style="70" customWidth="1"/>
    <col min="6" max="6" width="8.90625" style="70" customWidth="1"/>
    <col min="7" max="7" width="20.1796875" style="70" bestFit="1" customWidth="1"/>
    <col min="8" max="8" width="16.36328125" style="70" customWidth="1"/>
    <col min="9" max="9" width="6.36328125" style="70" customWidth="1"/>
    <col min="10" max="10" width="10.08984375" style="70" customWidth="1"/>
    <col min="11" max="11" width="10.6328125" style="70" customWidth="1"/>
    <col min="12" max="12" width="14.453125" style="70" customWidth="1"/>
    <col min="13" max="13" width="10.08984375" style="70" customWidth="1"/>
    <col min="14" max="14" width="9.1796875" style="70" customWidth="1"/>
    <col min="15" max="15" width="11.90625" style="70" customWidth="1"/>
    <col min="16" max="16" width="6" style="70" customWidth="1"/>
    <col min="17" max="18" width="9.1796875" style="70" customWidth="1"/>
    <col min="19" max="19" width="8.6328125" style="70" customWidth="1"/>
    <col min="20" max="21" width="7.6328125" style="70" bestFit="1" customWidth="1"/>
    <col min="22" max="22" width="10.6328125" style="70" customWidth="1"/>
    <col min="23" max="23" width="8.6328125" style="344" customWidth="1"/>
    <col min="24" max="25" width="7.08984375" style="70" customWidth="1"/>
    <col min="26" max="27" width="9.453125" style="70" customWidth="1"/>
    <col min="28" max="28" width="12.6328125" style="70" customWidth="1"/>
    <col min="29" max="29" width="12.453125" style="70" customWidth="1"/>
    <col min="30" max="31" width="9.453125" style="70" customWidth="1"/>
    <col min="32" max="32" width="13.08984375" style="70" customWidth="1"/>
    <col min="33" max="33" width="10.36328125" style="70" customWidth="1"/>
    <col min="34" max="34" width="9.1796875" style="70" customWidth="1"/>
    <col min="35" max="35" width="7.90625" style="70" customWidth="1"/>
    <col min="36" max="36" width="24.453125" style="70" bestFit="1" customWidth="1"/>
    <col min="37" max="16384" width="7.90625" style="70"/>
  </cols>
  <sheetData>
    <row r="1" spans="1:34" ht="26.25" customHeight="1">
      <c r="A1" s="62" t="s">
        <v>193</v>
      </c>
      <c r="B1" s="62"/>
      <c r="C1" s="62"/>
      <c r="D1" s="63" t="s">
        <v>194</v>
      </c>
      <c r="E1" s="64">
        <f>SUM(G5:G173)</f>
        <v>132563.20000000001</v>
      </c>
      <c r="F1" s="65" t="s">
        <v>2</v>
      </c>
      <c r="G1" s="66">
        <f>SUM(H5:H173)</f>
        <v>5252267.2502973825</v>
      </c>
      <c r="H1" s="67" t="s">
        <v>83</v>
      </c>
      <c r="I1" s="68">
        <f>M17+M30+M43+M56+M69+M82+M95+M108+M121+M134+M147+M160+M173</f>
        <v>198.6563492063492</v>
      </c>
      <c r="J1" s="700" t="s">
        <v>84</v>
      </c>
      <c r="K1" s="700"/>
      <c r="L1" s="700"/>
      <c r="M1" s="700" t="s">
        <v>85</v>
      </c>
      <c r="N1" s="700"/>
      <c r="O1" s="700"/>
      <c r="P1" s="700" t="s">
        <v>195</v>
      </c>
      <c r="Q1" s="700"/>
      <c r="R1" s="700"/>
      <c r="S1" s="700"/>
      <c r="T1" s="700" t="s">
        <v>196</v>
      </c>
      <c r="U1" s="700"/>
      <c r="V1" s="700"/>
      <c r="W1" s="700"/>
      <c r="X1" s="700"/>
      <c r="Y1" s="700"/>
      <c r="Z1" s="69" t="s">
        <v>197</v>
      </c>
      <c r="AA1" s="69" t="s">
        <v>198</v>
      </c>
      <c r="AB1" s="701" t="s">
        <v>199</v>
      </c>
      <c r="AC1" s="702"/>
      <c r="AD1" s="69" t="s">
        <v>197</v>
      </c>
      <c r="AE1" s="69" t="s">
        <v>200</v>
      </c>
      <c r="AF1" s="700" t="s">
        <v>201</v>
      </c>
      <c r="AG1" s="705"/>
      <c r="AH1" s="705"/>
    </row>
    <row r="2" spans="1:34" ht="26.25" customHeight="1">
      <c r="A2" s="699" t="s">
        <v>239</v>
      </c>
      <c r="B2" s="699"/>
      <c r="C2" s="63"/>
      <c r="D2" s="63" t="s">
        <v>27</v>
      </c>
      <c r="E2" s="71">
        <f>AVERAGE(O17,O30,O43,O56,O69,O82,O95,O108,O121,O134,O147,O160,O173)</f>
        <v>120.24353835606182</v>
      </c>
      <c r="F2" s="72" t="s">
        <v>88</v>
      </c>
      <c r="G2" s="73">
        <f>G1/E1</f>
        <v>39.62085443243209</v>
      </c>
      <c r="H2" s="67" t="s">
        <v>89</v>
      </c>
      <c r="I2" s="67">
        <f>COUNT(I5:I173)</f>
        <v>8</v>
      </c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4">
        <f>Z17+Z30+Z43+Z56+Z69+Z82+Z95+Z108+Z121+Z134+Z147+Z160+Z173</f>
        <v>0</v>
      </c>
      <c r="AA2" s="74">
        <f>AA17+AA30+AA43+AA56+AA69+AA82+AA95+AA108+AA121+AA134+AA147+AA160+AA173</f>
        <v>0</v>
      </c>
      <c r="AB2" s="703"/>
      <c r="AC2" s="704"/>
      <c r="AD2" s="75">
        <f>AD17+AD30+AD43+AD56+AD69+AD82+AD95+AD108+AD121+AD134+AD147+AD160+AD173</f>
        <v>4</v>
      </c>
      <c r="AE2" s="75">
        <f>AE17+AE30+AE43+AE56+AE69+AE82+AE95+AE108+AE121+AE134+AE147+AE160+AE173</f>
        <v>2</v>
      </c>
      <c r="AF2" s="705"/>
      <c r="AG2" s="705"/>
      <c r="AH2" s="705"/>
    </row>
    <row r="3" spans="1:34" ht="30.65" customHeight="1">
      <c r="A3" s="644" t="s">
        <v>202</v>
      </c>
      <c r="B3" s="644" t="s">
        <v>91</v>
      </c>
      <c r="C3" s="637"/>
      <c r="D3" s="644" t="s">
        <v>203</v>
      </c>
      <c r="E3" s="644"/>
      <c r="F3" s="637" t="s">
        <v>93</v>
      </c>
      <c r="G3" s="695" t="s">
        <v>94</v>
      </c>
      <c r="H3" s="637" t="s">
        <v>95</v>
      </c>
      <c r="I3" s="697" t="s">
        <v>204</v>
      </c>
      <c r="J3" s="698" t="s">
        <v>97</v>
      </c>
      <c r="K3" s="690" t="s">
        <v>98</v>
      </c>
      <c r="L3" s="677" t="s">
        <v>64</v>
      </c>
      <c r="M3" s="695" t="s">
        <v>97</v>
      </c>
      <c r="N3" s="690" t="s">
        <v>205</v>
      </c>
      <c r="O3" s="677" t="s">
        <v>27</v>
      </c>
      <c r="P3" s="698" t="s">
        <v>206</v>
      </c>
      <c r="Q3" s="677" t="s">
        <v>27</v>
      </c>
      <c r="R3" s="691" t="s">
        <v>207</v>
      </c>
      <c r="S3" s="674" t="s">
        <v>208</v>
      </c>
      <c r="T3" s="695" t="s">
        <v>101</v>
      </c>
      <c r="U3" s="695"/>
      <c r="V3" s="696" t="s">
        <v>102</v>
      </c>
      <c r="W3" s="697" t="s">
        <v>209</v>
      </c>
      <c r="X3" s="695" t="s">
        <v>210</v>
      </c>
      <c r="Y3" s="695"/>
      <c r="Z3" s="712" t="s">
        <v>211</v>
      </c>
      <c r="AA3" s="713"/>
      <c r="AB3" s="686" t="s">
        <v>212</v>
      </c>
      <c r="AC3" s="687"/>
      <c r="AD3" s="688" t="s">
        <v>213</v>
      </c>
      <c r="AE3" s="689"/>
      <c r="AF3" s="690" t="s">
        <v>205</v>
      </c>
      <c r="AG3" s="691" t="s">
        <v>207</v>
      </c>
      <c r="AH3" s="674" t="s">
        <v>208</v>
      </c>
    </row>
    <row r="4" spans="1:34" ht="30.65" customHeight="1">
      <c r="A4" s="637"/>
      <c r="B4" s="644"/>
      <c r="C4" s="654"/>
      <c r="D4" s="644"/>
      <c r="E4" s="644"/>
      <c r="F4" s="654"/>
      <c r="G4" s="695"/>
      <c r="H4" s="654"/>
      <c r="I4" s="697"/>
      <c r="J4" s="698"/>
      <c r="K4" s="690"/>
      <c r="L4" s="677"/>
      <c r="M4" s="695"/>
      <c r="N4" s="690"/>
      <c r="O4" s="677"/>
      <c r="P4" s="698"/>
      <c r="Q4" s="677"/>
      <c r="R4" s="691"/>
      <c r="S4" s="674"/>
      <c r="T4" s="76" t="s">
        <v>105</v>
      </c>
      <c r="U4" s="76" t="s">
        <v>106</v>
      </c>
      <c r="V4" s="695"/>
      <c r="W4" s="697"/>
      <c r="X4" s="65" t="s">
        <v>214</v>
      </c>
      <c r="Y4" s="65" t="s">
        <v>65</v>
      </c>
      <c r="Z4" s="76" t="s">
        <v>215</v>
      </c>
      <c r="AA4" s="76" t="s">
        <v>216</v>
      </c>
      <c r="AB4" s="687"/>
      <c r="AC4" s="687"/>
      <c r="AD4" s="76" t="s">
        <v>217</v>
      </c>
      <c r="AE4" s="77" t="s">
        <v>218</v>
      </c>
      <c r="AF4" s="690"/>
      <c r="AG4" s="691"/>
      <c r="AH4" s="674"/>
    </row>
    <row r="5" spans="1:34" ht="17.399999999999999" customHeight="1">
      <c r="A5" s="692" t="s">
        <v>219</v>
      </c>
      <c r="B5" s="78" t="s">
        <v>246</v>
      </c>
      <c r="C5" s="79"/>
      <c r="D5" s="80" t="s">
        <v>108</v>
      </c>
      <c r="E5" s="81"/>
      <c r="F5" s="82">
        <v>37.94</v>
      </c>
      <c r="G5" s="83">
        <v>1737</v>
      </c>
      <c r="H5" s="84">
        <f t="shared" ref="H5:H16" si="0">F5*G5</f>
        <v>65901.78</v>
      </c>
      <c r="I5" s="85"/>
      <c r="J5" s="86">
        <v>20</v>
      </c>
      <c r="K5" s="83">
        <v>2400</v>
      </c>
      <c r="L5" s="87">
        <v>120</v>
      </c>
      <c r="M5" s="88">
        <v>19</v>
      </c>
      <c r="N5" s="83">
        <f t="shared" ref="N5:N12" si="1">G5/W5*60</f>
        <v>2217.4468085106387</v>
      </c>
      <c r="O5" s="87">
        <f t="shared" ref="O5:O12" si="2">N5/M5</f>
        <v>116.70772676371783</v>
      </c>
      <c r="P5" s="89">
        <f t="shared" ref="P5:P12" si="3">M5-J5</f>
        <v>-1</v>
      </c>
      <c r="Q5" s="90">
        <f t="shared" ref="Q5:Q12" si="4">O5-L5</f>
        <v>-3.2922732362821705</v>
      </c>
      <c r="R5" s="91">
        <f t="shared" ref="R5:R12" si="5">O5/L5</f>
        <v>0.97256438969764858</v>
      </c>
      <c r="S5" s="659">
        <f>R17</f>
        <v>0.83655495253534395</v>
      </c>
      <c r="T5" s="92">
        <v>0.29166666666666669</v>
      </c>
      <c r="U5" s="92">
        <v>0.32430555555555557</v>
      </c>
      <c r="V5" s="65">
        <v>5</v>
      </c>
      <c r="W5" s="85">
        <f>(U5-T5)*24*60</f>
        <v>46.999999999999993</v>
      </c>
      <c r="X5" s="65"/>
      <c r="Y5" s="65"/>
      <c r="Z5" s="93"/>
      <c r="AA5" s="93"/>
      <c r="AB5" s="644"/>
      <c r="AC5" s="644"/>
      <c r="AD5" s="94"/>
      <c r="AE5" s="94"/>
      <c r="AF5" s="89">
        <f t="shared" ref="AF5:AF70" si="6">N5-K5</f>
        <v>-182.55319148936132</v>
      </c>
      <c r="AG5" s="91">
        <f t="shared" ref="AG5:AG70" si="7">N5/K5</f>
        <v>0.92393617021276608</v>
      </c>
      <c r="AH5" s="659">
        <f>AG17</f>
        <v>0.84922380047200308</v>
      </c>
    </row>
    <row r="6" spans="1:34" ht="18" customHeight="1">
      <c r="A6" s="693"/>
      <c r="B6" s="78" t="s">
        <v>246</v>
      </c>
      <c r="C6" s="79"/>
      <c r="D6" s="80" t="s">
        <v>109</v>
      </c>
      <c r="E6" s="81"/>
      <c r="F6" s="82">
        <v>31.266131815044861</v>
      </c>
      <c r="G6" s="83">
        <v>1091.3</v>
      </c>
      <c r="H6" s="84">
        <f t="shared" si="0"/>
        <v>34120.729649758454</v>
      </c>
      <c r="I6" s="85"/>
      <c r="J6" s="86">
        <v>18</v>
      </c>
      <c r="K6" s="83">
        <v>3000</v>
      </c>
      <c r="L6" s="87">
        <v>166.66666666666666</v>
      </c>
      <c r="M6" s="88">
        <v>19</v>
      </c>
      <c r="N6" s="83">
        <f t="shared" si="1"/>
        <v>2518.3846153846166</v>
      </c>
      <c r="O6" s="87">
        <f t="shared" si="2"/>
        <v>132.5465587044535</v>
      </c>
      <c r="P6" s="89">
        <f t="shared" si="3"/>
        <v>1</v>
      </c>
      <c r="Q6" s="90">
        <f t="shared" si="4"/>
        <v>-34.120107962213154</v>
      </c>
      <c r="R6" s="91">
        <f t="shared" si="5"/>
        <v>0.79527935222672108</v>
      </c>
      <c r="S6" s="659"/>
      <c r="T6" s="92">
        <v>0.32847222222222222</v>
      </c>
      <c r="U6" s="92">
        <v>0.34652777777777777</v>
      </c>
      <c r="V6" s="65">
        <v>6</v>
      </c>
      <c r="W6" s="85">
        <f t="shared" ref="W6:W17" si="8">(U6-T6)*24*60</f>
        <v>25.999999999999986</v>
      </c>
      <c r="X6" s="95"/>
      <c r="Y6" s="95"/>
      <c r="Z6" s="96"/>
      <c r="AA6" s="96"/>
      <c r="AB6" s="644"/>
      <c r="AC6" s="644"/>
      <c r="AD6" s="97"/>
      <c r="AE6" s="97"/>
      <c r="AF6" s="89">
        <f t="shared" si="6"/>
        <v>-481.61538461538339</v>
      </c>
      <c r="AG6" s="91">
        <f t="shared" si="7"/>
        <v>0.83946153846153881</v>
      </c>
      <c r="AH6" s="659"/>
    </row>
    <row r="7" spans="1:34" ht="18" customHeight="1">
      <c r="A7" s="693"/>
      <c r="B7" s="78" t="s">
        <v>246</v>
      </c>
      <c r="C7" s="79"/>
      <c r="D7" s="80" t="s">
        <v>110</v>
      </c>
      <c r="E7" s="81"/>
      <c r="F7" s="82">
        <v>38.630952380952372</v>
      </c>
      <c r="G7" s="83">
        <v>2284</v>
      </c>
      <c r="H7" s="84">
        <f t="shared" si="0"/>
        <v>88233.095238095222</v>
      </c>
      <c r="I7" s="85"/>
      <c r="J7" s="86">
        <v>18</v>
      </c>
      <c r="K7" s="83">
        <v>3000</v>
      </c>
      <c r="L7" s="87">
        <v>166.66666666666666</v>
      </c>
      <c r="M7" s="88">
        <v>19</v>
      </c>
      <c r="N7" s="83">
        <f t="shared" si="1"/>
        <v>2491.6363636363617</v>
      </c>
      <c r="O7" s="87">
        <f t="shared" si="2"/>
        <v>131.13875598086113</v>
      </c>
      <c r="P7" s="89">
        <f t="shared" si="3"/>
        <v>1</v>
      </c>
      <c r="Q7" s="90">
        <f t="shared" si="4"/>
        <v>-35.527910685805523</v>
      </c>
      <c r="R7" s="91">
        <f t="shared" si="5"/>
        <v>0.78683253588516688</v>
      </c>
      <c r="S7" s="659"/>
      <c r="T7" s="92">
        <v>0.36319444444444443</v>
      </c>
      <c r="U7" s="92">
        <v>0.40138888888888891</v>
      </c>
      <c r="V7" s="65">
        <v>24</v>
      </c>
      <c r="W7" s="85">
        <f t="shared" si="8"/>
        <v>55.000000000000043</v>
      </c>
      <c r="X7" s="95">
        <v>0.35000000000000003</v>
      </c>
      <c r="Y7" s="95">
        <v>0.36041666666666666</v>
      </c>
      <c r="Z7" s="96"/>
      <c r="AA7" s="96"/>
      <c r="AB7" s="644"/>
      <c r="AC7" s="644"/>
      <c r="AD7" s="97"/>
      <c r="AE7" s="97"/>
      <c r="AF7" s="89">
        <f t="shared" si="6"/>
        <v>-508.36363636363831</v>
      </c>
      <c r="AG7" s="91">
        <f t="shared" si="7"/>
        <v>0.83054545454545392</v>
      </c>
      <c r="AH7" s="659"/>
    </row>
    <row r="8" spans="1:34" ht="18" customHeight="1">
      <c r="A8" s="693"/>
      <c r="B8" s="78" t="s">
        <v>246</v>
      </c>
      <c r="C8" s="79"/>
      <c r="D8" s="80" t="s">
        <v>111</v>
      </c>
      <c r="E8" s="81"/>
      <c r="F8" s="82">
        <v>38</v>
      </c>
      <c r="G8" s="83">
        <v>3306</v>
      </c>
      <c r="H8" s="84">
        <f t="shared" si="0"/>
        <v>125628</v>
      </c>
      <c r="I8" s="85"/>
      <c r="J8" s="86">
        <v>19</v>
      </c>
      <c r="K8" s="83">
        <v>3000</v>
      </c>
      <c r="L8" s="87">
        <v>157.89473684210526</v>
      </c>
      <c r="M8" s="88">
        <v>19</v>
      </c>
      <c r="N8" s="83">
        <f t="shared" si="1"/>
        <v>2543.0769230769215</v>
      </c>
      <c r="O8" s="87">
        <f t="shared" si="2"/>
        <v>133.84615384615375</v>
      </c>
      <c r="P8" s="89">
        <f t="shared" si="3"/>
        <v>0</v>
      </c>
      <c r="Q8" s="90">
        <f t="shared" si="4"/>
        <v>-24.048582995951506</v>
      </c>
      <c r="R8" s="91">
        <f t="shared" si="5"/>
        <v>0.84769230769230708</v>
      </c>
      <c r="S8" s="659"/>
      <c r="T8" s="92">
        <v>0.40555555555555556</v>
      </c>
      <c r="U8" s="92">
        <v>0.45972222222222225</v>
      </c>
      <c r="V8" s="65">
        <v>6</v>
      </c>
      <c r="W8" s="85">
        <f t="shared" si="8"/>
        <v>78.000000000000043</v>
      </c>
      <c r="X8" s="95"/>
      <c r="Y8" s="95"/>
      <c r="Z8" s="96"/>
      <c r="AA8" s="96"/>
      <c r="AB8" s="644"/>
      <c r="AC8" s="644"/>
      <c r="AD8" s="97"/>
      <c r="AE8" s="97"/>
      <c r="AF8" s="89">
        <f t="shared" si="6"/>
        <v>-456.9230769230785</v>
      </c>
      <c r="AG8" s="91">
        <f t="shared" si="7"/>
        <v>0.84769230769230719</v>
      </c>
      <c r="AH8" s="659"/>
    </row>
    <row r="9" spans="1:34" ht="20" customHeight="1">
      <c r="A9" s="693"/>
      <c r="B9" s="78" t="s">
        <v>246</v>
      </c>
      <c r="C9" s="98"/>
      <c r="D9" s="80" t="s">
        <v>108</v>
      </c>
      <c r="E9" s="99"/>
      <c r="F9" s="82">
        <v>37.94</v>
      </c>
      <c r="G9" s="100">
        <v>1158</v>
      </c>
      <c r="H9" s="84">
        <f t="shared" si="0"/>
        <v>43934.52</v>
      </c>
      <c r="I9" s="97">
        <v>2</v>
      </c>
      <c r="J9" s="86">
        <v>20</v>
      </c>
      <c r="K9" s="83">
        <v>2400</v>
      </c>
      <c r="L9" s="87">
        <v>120</v>
      </c>
      <c r="M9" s="88">
        <v>19</v>
      </c>
      <c r="N9" s="83">
        <f t="shared" si="1"/>
        <v>2241.2903225806417</v>
      </c>
      <c r="O9" s="87">
        <f t="shared" si="2"/>
        <v>117.96264855687588</v>
      </c>
      <c r="P9" s="89">
        <f t="shared" si="3"/>
        <v>-1</v>
      </c>
      <c r="Q9" s="90">
        <f t="shared" si="4"/>
        <v>-2.0373514431241233</v>
      </c>
      <c r="R9" s="91">
        <f t="shared" si="5"/>
        <v>0.98302207130729902</v>
      </c>
      <c r="S9" s="659"/>
      <c r="T9" s="92">
        <v>0.50138888888888888</v>
      </c>
      <c r="U9" s="92">
        <v>0.5229166666666667</v>
      </c>
      <c r="V9" s="65">
        <v>7</v>
      </c>
      <c r="W9" s="85">
        <f t="shared" si="8"/>
        <v>31.00000000000005</v>
      </c>
      <c r="X9" s="95"/>
      <c r="Y9" s="95"/>
      <c r="Z9" s="96"/>
      <c r="AA9" s="96"/>
      <c r="AB9" s="644"/>
      <c r="AC9" s="644"/>
      <c r="AD9" s="97"/>
      <c r="AE9" s="97"/>
      <c r="AF9" s="89">
        <f t="shared" si="6"/>
        <v>-158.70967741935829</v>
      </c>
      <c r="AG9" s="91">
        <f t="shared" si="7"/>
        <v>0.93387096774193401</v>
      </c>
      <c r="AH9" s="659"/>
    </row>
    <row r="10" spans="1:34" ht="18" customHeight="1">
      <c r="A10" s="694"/>
      <c r="B10" s="78" t="s">
        <v>246</v>
      </c>
      <c r="C10" s="79"/>
      <c r="D10" s="80" t="s">
        <v>109</v>
      </c>
      <c r="E10" s="81"/>
      <c r="F10" s="82">
        <v>31.266131815044861</v>
      </c>
      <c r="G10" s="83">
        <v>467.7</v>
      </c>
      <c r="H10" s="84">
        <f t="shared" si="0"/>
        <v>14623.169849896482</v>
      </c>
      <c r="I10" s="85">
        <v>2</v>
      </c>
      <c r="J10" s="86">
        <v>18</v>
      </c>
      <c r="K10" s="83">
        <v>3000</v>
      </c>
      <c r="L10" s="87">
        <v>166.66666666666666</v>
      </c>
      <c r="M10" s="88">
        <v>19</v>
      </c>
      <c r="N10" s="83">
        <f t="shared" si="1"/>
        <v>2338.5000000000082</v>
      </c>
      <c r="O10" s="87">
        <f t="shared" si="2"/>
        <v>123.07894736842148</v>
      </c>
      <c r="P10" s="89">
        <f t="shared" si="3"/>
        <v>1</v>
      </c>
      <c r="Q10" s="90">
        <f t="shared" si="4"/>
        <v>-43.587719298245176</v>
      </c>
      <c r="R10" s="91">
        <f t="shared" si="5"/>
        <v>0.73847368421052895</v>
      </c>
      <c r="S10" s="662"/>
      <c r="T10" s="92">
        <v>0.52847222222222223</v>
      </c>
      <c r="U10" s="92">
        <v>0.53680555555555554</v>
      </c>
      <c r="V10" s="65">
        <v>8</v>
      </c>
      <c r="W10" s="85">
        <f t="shared" si="8"/>
        <v>11.999999999999957</v>
      </c>
      <c r="X10" s="95"/>
      <c r="Y10" s="95"/>
      <c r="Z10" s="96"/>
      <c r="AA10" s="96"/>
      <c r="AB10" s="644"/>
      <c r="AC10" s="644"/>
      <c r="AD10" s="97"/>
      <c r="AE10" s="97"/>
      <c r="AF10" s="89">
        <f t="shared" si="6"/>
        <v>-661.49999999999181</v>
      </c>
      <c r="AG10" s="91">
        <f t="shared" si="7"/>
        <v>0.77950000000000275</v>
      </c>
      <c r="AH10" s="662"/>
    </row>
    <row r="11" spans="1:34" ht="18" customHeight="1">
      <c r="A11" s="694"/>
      <c r="B11" s="78" t="s">
        <v>247</v>
      </c>
      <c r="C11" s="79"/>
      <c r="D11" s="80" t="s">
        <v>112</v>
      </c>
      <c r="E11" s="81"/>
      <c r="F11" s="82">
        <v>54.25</v>
      </c>
      <c r="G11" s="83">
        <v>648.68999999999994</v>
      </c>
      <c r="H11" s="84">
        <f t="shared" si="0"/>
        <v>35191.432499999995</v>
      </c>
      <c r="I11" s="85">
        <v>2</v>
      </c>
      <c r="J11" s="86">
        <v>21</v>
      </c>
      <c r="K11" s="83">
        <v>1385</v>
      </c>
      <c r="L11" s="87">
        <v>65.952380952380949</v>
      </c>
      <c r="M11" s="88">
        <v>20</v>
      </c>
      <c r="N11" s="83">
        <f t="shared" si="1"/>
        <v>1144.7470588235278</v>
      </c>
      <c r="O11" s="87">
        <f t="shared" si="2"/>
        <v>57.23735294117639</v>
      </c>
      <c r="P11" s="89">
        <f t="shared" si="3"/>
        <v>-1</v>
      </c>
      <c r="Q11" s="90">
        <f t="shared" si="4"/>
        <v>-8.7150280112045593</v>
      </c>
      <c r="R11" s="91">
        <f t="shared" si="5"/>
        <v>0.86785878105754821</v>
      </c>
      <c r="S11" s="662"/>
      <c r="T11" s="92">
        <v>0.54166666666666663</v>
      </c>
      <c r="U11" s="92">
        <v>0.56527777777777777</v>
      </c>
      <c r="V11" s="65">
        <v>7</v>
      </c>
      <c r="W11" s="85">
        <f t="shared" si="8"/>
        <v>34.000000000000043</v>
      </c>
      <c r="X11" s="95"/>
      <c r="Y11" s="95"/>
      <c r="Z11" s="96"/>
      <c r="AA11" s="96"/>
      <c r="AB11" s="644"/>
      <c r="AC11" s="644"/>
      <c r="AD11" s="97"/>
      <c r="AE11" s="97"/>
      <c r="AF11" s="89">
        <f t="shared" si="6"/>
        <v>-240.25294117647218</v>
      </c>
      <c r="AG11" s="91">
        <f t="shared" si="7"/>
        <v>0.82653217243576016</v>
      </c>
      <c r="AH11" s="662"/>
    </row>
    <row r="12" spans="1:34" ht="18" customHeight="1">
      <c r="A12" s="694"/>
      <c r="B12" s="78" t="s">
        <v>248</v>
      </c>
      <c r="C12" s="79"/>
      <c r="D12" s="80" t="s">
        <v>113</v>
      </c>
      <c r="E12" s="81"/>
      <c r="F12" s="82">
        <v>38.39</v>
      </c>
      <c r="G12" s="83">
        <v>780.14</v>
      </c>
      <c r="H12" s="84">
        <f t="shared" si="0"/>
        <v>29949.5746</v>
      </c>
      <c r="I12" s="85">
        <v>2</v>
      </c>
      <c r="J12" s="86">
        <v>17</v>
      </c>
      <c r="K12" s="83">
        <v>1636</v>
      </c>
      <c r="L12" s="87">
        <v>96.235294117647058</v>
      </c>
      <c r="M12" s="88">
        <v>18</v>
      </c>
      <c r="N12" s="83">
        <f t="shared" si="1"/>
        <v>1337.3828571428558</v>
      </c>
      <c r="O12" s="87">
        <f t="shared" si="2"/>
        <v>74.299047619047542</v>
      </c>
      <c r="P12" s="89">
        <f t="shared" si="3"/>
        <v>1</v>
      </c>
      <c r="Q12" s="90">
        <f t="shared" si="4"/>
        <v>-21.936246498599516</v>
      </c>
      <c r="R12" s="91">
        <f t="shared" si="5"/>
        <v>0.77205611829083631</v>
      </c>
      <c r="S12" s="662"/>
      <c r="T12" s="92">
        <v>0.56944444444444442</v>
      </c>
      <c r="U12" s="92">
        <v>0.59375</v>
      </c>
      <c r="V12" s="65">
        <v>6</v>
      </c>
      <c r="W12" s="85">
        <f t="shared" si="8"/>
        <v>35.000000000000036</v>
      </c>
      <c r="X12" s="95"/>
      <c r="Y12" s="95"/>
      <c r="Z12" s="96"/>
      <c r="AA12" s="96"/>
      <c r="AB12" s="644"/>
      <c r="AC12" s="644"/>
      <c r="AD12" s="97"/>
      <c r="AE12" s="97"/>
      <c r="AF12" s="89"/>
      <c r="AG12" s="91"/>
      <c r="AH12" s="662"/>
    </row>
    <row r="13" spans="1:34" ht="18" customHeight="1">
      <c r="A13" s="694"/>
      <c r="B13" s="78">
        <v>0</v>
      </c>
      <c r="C13" s="101"/>
      <c r="D13" s="102"/>
      <c r="E13" s="103"/>
      <c r="F13" s="82" t="s">
        <v>253</v>
      </c>
      <c r="G13" s="104"/>
      <c r="H13" s="84">
        <f t="shared" si="0"/>
        <v>0</v>
      </c>
      <c r="I13" s="105"/>
      <c r="J13" s="86"/>
      <c r="K13" s="83"/>
      <c r="L13" s="87"/>
      <c r="M13" s="106"/>
      <c r="N13" s="83"/>
      <c r="O13" s="87"/>
      <c r="P13" s="89"/>
      <c r="Q13" s="90"/>
      <c r="R13" s="91"/>
      <c r="S13" s="662"/>
      <c r="T13" s="107"/>
      <c r="U13" s="107"/>
      <c r="V13" s="105"/>
      <c r="W13" s="85">
        <f t="shared" si="8"/>
        <v>0</v>
      </c>
      <c r="X13" s="108"/>
      <c r="Y13" s="108"/>
      <c r="Z13" s="96"/>
      <c r="AA13" s="96"/>
      <c r="AB13" s="641"/>
      <c r="AC13" s="642"/>
      <c r="AD13" s="97"/>
      <c r="AE13" s="97"/>
      <c r="AF13" s="118"/>
      <c r="AG13" s="125"/>
      <c r="AH13" s="662"/>
    </row>
    <row r="14" spans="1:34" ht="18" customHeight="1">
      <c r="A14" s="694"/>
      <c r="B14" s="78">
        <v>0</v>
      </c>
      <c r="C14" s="109"/>
      <c r="D14" s="80"/>
      <c r="E14" s="81"/>
      <c r="F14" s="82" t="s">
        <v>253</v>
      </c>
      <c r="G14" s="104"/>
      <c r="H14" s="84">
        <f t="shared" si="0"/>
        <v>0</v>
      </c>
      <c r="I14" s="105"/>
      <c r="J14" s="86"/>
      <c r="K14" s="83"/>
      <c r="L14" s="87"/>
      <c r="M14" s="106"/>
      <c r="N14" s="83"/>
      <c r="O14" s="87"/>
      <c r="P14" s="89"/>
      <c r="Q14" s="90"/>
      <c r="R14" s="91"/>
      <c r="S14" s="662"/>
      <c r="T14" s="107"/>
      <c r="U14" s="107"/>
      <c r="V14" s="105"/>
      <c r="W14" s="85">
        <f t="shared" si="8"/>
        <v>0</v>
      </c>
      <c r="X14" s="108"/>
      <c r="Y14" s="108"/>
      <c r="Z14" s="96"/>
      <c r="AA14" s="96"/>
      <c r="AB14" s="641"/>
      <c r="AC14" s="642"/>
      <c r="AD14" s="97"/>
      <c r="AE14" s="97"/>
      <c r="AF14" s="118"/>
      <c r="AG14" s="125"/>
      <c r="AH14" s="662"/>
    </row>
    <row r="15" spans="1:34" ht="18" customHeight="1">
      <c r="A15" s="694"/>
      <c r="B15" s="110">
        <v>0</v>
      </c>
      <c r="C15" s="101"/>
      <c r="D15" s="102"/>
      <c r="E15" s="103"/>
      <c r="F15" s="82" t="s">
        <v>253</v>
      </c>
      <c r="G15" s="104"/>
      <c r="H15" s="84">
        <f t="shared" si="0"/>
        <v>0</v>
      </c>
      <c r="I15" s="105"/>
      <c r="J15" s="86"/>
      <c r="K15" s="83"/>
      <c r="L15" s="87"/>
      <c r="M15" s="106"/>
      <c r="N15" s="111"/>
      <c r="O15" s="87"/>
      <c r="P15" s="89"/>
      <c r="Q15" s="90"/>
      <c r="R15" s="91"/>
      <c r="S15" s="662"/>
      <c r="T15" s="107"/>
      <c r="U15" s="107"/>
      <c r="V15" s="105"/>
      <c r="W15" s="85">
        <f t="shared" si="8"/>
        <v>0</v>
      </c>
      <c r="X15" s="108"/>
      <c r="Y15" s="108"/>
      <c r="Z15" s="96"/>
      <c r="AA15" s="96"/>
      <c r="AB15" s="641"/>
      <c r="AC15" s="642"/>
      <c r="AD15" s="97"/>
      <c r="AE15" s="97"/>
      <c r="AF15" s="118"/>
      <c r="AG15" s="125"/>
      <c r="AH15" s="662"/>
    </row>
    <row r="16" spans="1:34" ht="18" customHeight="1">
      <c r="A16" s="694"/>
      <c r="B16" s="110">
        <v>0</v>
      </c>
      <c r="C16" s="101"/>
      <c r="D16" s="102"/>
      <c r="E16" s="103"/>
      <c r="F16" s="82" t="s">
        <v>253</v>
      </c>
      <c r="G16" s="104"/>
      <c r="H16" s="84">
        <f t="shared" si="0"/>
        <v>0</v>
      </c>
      <c r="I16" s="105"/>
      <c r="J16" s="86"/>
      <c r="K16" s="83"/>
      <c r="L16" s="87"/>
      <c r="M16" s="106"/>
      <c r="N16" s="111"/>
      <c r="O16" s="87"/>
      <c r="P16" s="89"/>
      <c r="Q16" s="90"/>
      <c r="R16" s="91"/>
      <c r="S16" s="662"/>
      <c r="T16" s="107"/>
      <c r="U16" s="107"/>
      <c r="V16" s="105"/>
      <c r="W16" s="85">
        <f t="shared" si="8"/>
        <v>0</v>
      </c>
      <c r="X16" s="108"/>
      <c r="Y16" s="108"/>
      <c r="Z16" s="96"/>
      <c r="AA16" s="96"/>
      <c r="AB16" s="641"/>
      <c r="AC16" s="642"/>
      <c r="AD16" s="97"/>
      <c r="AE16" s="97"/>
      <c r="AF16" s="118"/>
      <c r="AG16" s="125"/>
      <c r="AH16" s="662"/>
    </row>
    <row r="17" spans="1:34" ht="18" customHeight="1">
      <c r="A17" s="694"/>
      <c r="B17" s="112">
        <v>0</v>
      </c>
      <c r="C17" s="112" t="s">
        <v>13</v>
      </c>
      <c r="D17" s="635" t="s">
        <v>220</v>
      </c>
      <c r="E17" s="635"/>
      <c r="F17" s="113"/>
      <c r="G17" s="114"/>
      <c r="H17" s="115"/>
      <c r="I17" s="116"/>
      <c r="J17" s="114">
        <v>18.875</v>
      </c>
      <c r="K17" s="114">
        <v>2477.625</v>
      </c>
      <c r="L17" s="117">
        <v>132.51030148901663</v>
      </c>
      <c r="M17" s="114">
        <f t="shared" ref="M17:O17" si="9">AVERAGE(M5:M16)</f>
        <v>19</v>
      </c>
      <c r="N17" s="114">
        <f t="shared" si="9"/>
        <v>2104.0581186444465</v>
      </c>
      <c r="O17" s="117">
        <f t="shared" si="9"/>
        <v>110.85214897258842</v>
      </c>
      <c r="P17" s="118">
        <f t="shared" ref="P17:P22" si="10">M17-J17</f>
        <v>0.125</v>
      </c>
      <c r="Q17" s="119">
        <f t="shared" ref="Q17:Q22" si="11">O17-L17</f>
        <v>-21.658152516428203</v>
      </c>
      <c r="R17" s="120">
        <f>O17/L17</f>
        <v>0.83655495253534395</v>
      </c>
      <c r="S17" s="662"/>
      <c r="T17" s="107"/>
      <c r="U17" s="107"/>
      <c r="V17" s="105"/>
      <c r="W17" s="121">
        <f t="shared" si="8"/>
        <v>0</v>
      </c>
      <c r="X17" s="122"/>
      <c r="Y17" s="122"/>
      <c r="Z17" s="123">
        <f>SUM(Z5:Z16)</f>
        <v>0</v>
      </c>
      <c r="AA17" s="123">
        <f>SUM(AA5:AA16)</f>
        <v>0</v>
      </c>
      <c r="AB17" s="637"/>
      <c r="AC17" s="637"/>
      <c r="AD17" s="124">
        <f>SUM(AD5:AD16)</f>
        <v>0</v>
      </c>
      <c r="AE17" s="124">
        <f>SUM(AE5:AE16)</f>
        <v>0</v>
      </c>
      <c r="AF17" s="118">
        <f t="shared" si="6"/>
        <v>-373.56688135555351</v>
      </c>
      <c r="AG17" s="125">
        <f t="shared" si="7"/>
        <v>0.84922380047200308</v>
      </c>
      <c r="AH17" s="662"/>
    </row>
    <row r="18" spans="1:34" ht="18" customHeight="1">
      <c r="A18" s="631" t="s">
        <v>221</v>
      </c>
      <c r="B18" s="346" t="s">
        <v>246</v>
      </c>
      <c r="C18" s="127"/>
      <c r="D18" s="168" t="s">
        <v>115</v>
      </c>
      <c r="E18" s="169"/>
      <c r="F18" s="347">
        <v>36.86</v>
      </c>
      <c r="G18" s="100">
        <v>1501</v>
      </c>
      <c r="H18" s="129">
        <f t="shared" ref="H18:H29" si="12">F18*G18</f>
        <v>55326.86</v>
      </c>
      <c r="I18" s="97"/>
      <c r="J18" s="348">
        <v>20</v>
      </c>
      <c r="K18" s="100">
        <v>2250</v>
      </c>
      <c r="L18" s="131">
        <v>112.5</v>
      </c>
      <c r="M18" s="130">
        <v>20</v>
      </c>
      <c r="N18" s="100">
        <f t="shared" ref="N18:N22" si="13">G18/W18*60</f>
        <v>2001.3333333333333</v>
      </c>
      <c r="O18" s="131">
        <f t="shared" ref="O18:O22" si="14">N18/M18</f>
        <v>100.06666666666666</v>
      </c>
      <c r="P18" s="96">
        <f t="shared" si="10"/>
        <v>0</v>
      </c>
      <c r="Q18" s="132">
        <f t="shared" si="11"/>
        <v>-12.433333333333337</v>
      </c>
      <c r="R18" s="133">
        <f t="shared" ref="R18:R22" si="15">O18/L18</f>
        <v>0.88948148148148143</v>
      </c>
      <c r="S18" s="632">
        <f>R30</f>
        <v>0.85107300177630851</v>
      </c>
      <c r="T18" s="134">
        <v>0.16666666666666666</v>
      </c>
      <c r="U18" s="134">
        <v>0.19791666666666666</v>
      </c>
      <c r="V18" s="97">
        <v>5</v>
      </c>
      <c r="W18" s="135">
        <f>(U18-T18)*24*60</f>
        <v>45</v>
      </c>
      <c r="X18" s="131"/>
      <c r="Y18" s="131"/>
      <c r="Z18" s="96"/>
      <c r="AA18" s="96"/>
      <c r="AB18" s="664"/>
      <c r="AC18" s="707"/>
      <c r="AD18" s="97"/>
      <c r="AE18" s="97"/>
      <c r="AF18" s="349">
        <f t="shared" si="6"/>
        <v>-248.66666666666674</v>
      </c>
      <c r="AG18" s="350">
        <f t="shared" si="7"/>
        <v>0.88948148148148143</v>
      </c>
      <c r="AH18" s="708">
        <f>AG30</f>
        <v>0.85251748806930938</v>
      </c>
    </row>
    <row r="19" spans="1:34" ht="18" customHeight="1">
      <c r="A19" s="631"/>
      <c r="B19" s="351" t="s">
        <v>248</v>
      </c>
      <c r="C19" s="219"/>
      <c r="D19" s="168" t="s">
        <v>116</v>
      </c>
      <c r="E19" s="169"/>
      <c r="F19" s="82">
        <v>56.43</v>
      </c>
      <c r="G19" s="100">
        <v>2545</v>
      </c>
      <c r="H19" s="129">
        <f t="shared" si="12"/>
        <v>143614.35</v>
      </c>
      <c r="I19" s="97"/>
      <c r="J19" s="352">
        <v>18</v>
      </c>
      <c r="K19" s="83">
        <v>1500</v>
      </c>
      <c r="L19" s="87">
        <v>83.333333333333329</v>
      </c>
      <c r="M19" s="130">
        <v>18</v>
      </c>
      <c r="N19" s="151">
        <f t="shared" si="13"/>
        <v>1316.3793103448272</v>
      </c>
      <c r="O19" s="154">
        <f t="shared" si="14"/>
        <v>73.13218390804596</v>
      </c>
      <c r="P19" s="96">
        <f t="shared" si="10"/>
        <v>0</v>
      </c>
      <c r="Q19" s="132">
        <f t="shared" si="11"/>
        <v>-10.201149425287369</v>
      </c>
      <c r="R19" s="133">
        <f t="shared" si="15"/>
        <v>0.87758620689655154</v>
      </c>
      <c r="S19" s="632"/>
      <c r="T19" s="134">
        <v>0.21319444444444444</v>
      </c>
      <c r="U19" s="134">
        <v>0.29375000000000001</v>
      </c>
      <c r="V19" s="97">
        <v>22</v>
      </c>
      <c r="W19" s="135">
        <f>(U19-T19)*24*60</f>
        <v>116.00000000000003</v>
      </c>
      <c r="X19" s="136">
        <v>0.20138888888888887</v>
      </c>
      <c r="Y19" s="136">
        <v>0.21041666666666667</v>
      </c>
      <c r="Z19" s="96"/>
      <c r="AA19" s="96"/>
      <c r="AB19" s="642"/>
      <c r="AC19" s="644"/>
      <c r="AD19" s="97"/>
      <c r="AE19" s="97"/>
      <c r="AF19" s="89">
        <f t="shared" si="6"/>
        <v>-183.62068965517278</v>
      </c>
      <c r="AG19" s="91">
        <f t="shared" si="7"/>
        <v>0.87758620689655142</v>
      </c>
      <c r="AH19" s="709"/>
    </row>
    <row r="20" spans="1:34" ht="18" customHeight="1">
      <c r="A20" s="631"/>
      <c r="B20" s="351" t="s">
        <v>248</v>
      </c>
      <c r="C20" s="98"/>
      <c r="D20" s="80" t="s">
        <v>113</v>
      </c>
      <c r="E20" s="169"/>
      <c r="F20" s="82">
        <v>38.39</v>
      </c>
      <c r="G20" s="100">
        <v>3325.86</v>
      </c>
      <c r="H20" s="129">
        <f t="shared" si="12"/>
        <v>127679.7654</v>
      </c>
      <c r="I20" s="97"/>
      <c r="J20" s="352">
        <v>17</v>
      </c>
      <c r="K20" s="83">
        <v>1636</v>
      </c>
      <c r="L20" s="87">
        <v>96.235294117647058</v>
      </c>
      <c r="M20" s="130">
        <v>18</v>
      </c>
      <c r="N20" s="151">
        <f t="shared" si="13"/>
        <v>1339.2724832214769</v>
      </c>
      <c r="O20" s="154">
        <f t="shared" si="14"/>
        <v>74.404026845637603</v>
      </c>
      <c r="P20" s="96">
        <f t="shared" si="10"/>
        <v>1</v>
      </c>
      <c r="Q20" s="132">
        <f t="shared" si="11"/>
        <v>-21.831267272009455</v>
      </c>
      <c r="R20" s="133">
        <f t="shared" si="15"/>
        <v>0.77314697822484058</v>
      </c>
      <c r="S20" s="632"/>
      <c r="T20" s="134">
        <v>0.30833333333333335</v>
      </c>
      <c r="U20" s="134">
        <v>0.41180555555555554</v>
      </c>
      <c r="V20" s="97">
        <v>21</v>
      </c>
      <c r="W20" s="135">
        <f t="shared" ref="W20:W29" si="16">(U20-T20)*24*60</f>
        <v>148.99999999999994</v>
      </c>
      <c r="X20" s="136">
        <v>0.29722222222222222</v>
      </c>
      <c r="Y20" s="136">
        <v>0.30555555555555552</v>
      </c>
      <c r="Z20" s="96"/>
      <c r="AA20" s="96"/>
      <c r="AB20" s="642"/>
      <c r="AC20" s="644"/>
      <c r="AD20" s="97"/>
      <c r="AE20" s="97"/>
      <c r="AF20" s="89">
        <f t="shared" si="6"/>
        <v>-296.72751677852307</v>
      </c>
      <c r="AG20" s="91">
        <f t="shared" si="7"/>
        <v>0.81862621223806653</v>
      </c>
      <c r="AH20" s="709"/>
    </row>
    <row r="21" spans="1:34" ht="18" customHeight="1">
      <c r="A21" s="631"/>
      <c r="B21" s="351" t="s">
        <v>247</v>
      </c>
      <c r="C21" s="176"/>
      <c r="D21" s="165" t="s">
        <v>117</v>
      </c>
      <c r="E21" s="81"/>
      <c r="F21" s="82">
        <v>43.14</v>
      </c>
      <c r="G21" s="83">
        <v>593</v>
      </c>
      <c r="H21" s="129">
        <f t="shared" si="12"/>
        <v>25582.02</v>
      </c>
      <c r="I21" s="65"/>
      <c r="J21" s="352">
        <v>17</v>
      </c>
      <c r="K21" s="83">
        <v>1440</v>
      </c>
      <c r="L21" s="87">
        <v>84.705882352941174</v>
      </c>
      <c r="M21" s="88">
        <v>17</v>
      </c>
      <c r="N21" s="151">
        <f t="shared" si="13"/>
        <v>1111.8750000000014</v>
      </c>
      <c r="O21" s="154">
        <f t="shared" si="14"/>
        <v>65.404411764705969</v>
      </c>
      <c r="P21" s="96">
        <f t="shared" si="10"/>
        <v>0</v>
      </c>
      <c r="Q21" s="132">
        <f t="shared" si="11"/>
        <v>-19.301470588235205</v>
      </c>
      <c r="R21" s="133">
        <f t="shared" si="15"/>
        <v>0.77213541666666774</v>
      </c>
      <c r="S21" s="632"/>
      <c r="T21" s="134">
        <v>0.45347222222222217</v>
      </c>
      <c r="U21" s="134">
        <v>0.47569444444444436</v>
      </c>
      <c r="V21" s="97">
        <v>7</v>
      </c>
      <c r="W21" s="135">
        <f t="shared" si="16"/>
        <v>31.999999999999964</v>
      </c>
      <c r="X21" s="136"/>
      <c r="Y21" s="136"/>
      <c r="Z21" s="96"/>
      <c r="AA21" s="96"/>
      <c r="AB21" s="642"/>
      <c r="AC21" s="644"/>
      <c r="AD21" s="97"/>
      <c r="AE21" s="97"/>
      <c r="AF21" s="89">
        <f t="shared" si="6"/>
        <v>-328.12499999999864</v>
      </c>
      <c r="AG21" s="91">
        <f t="shared" si="7"/>
        <v>0.77213541666666763</v>
      </c>
      <c r="AH21" s="710"/>
    </row>
    <row r="22" spans="1:34" ht="18" customHeight="1">
      <c r="A22" s="631"/>
      <c r="B22" s="351" t="s">
        <v>248</v>
      </c>
      <c r="C22" s="176"/>
      <c r="D22" s="80" t="s">
        <v>118</v>
      </c>
      <c r="E22" s="81"/>
      <c r="F22" s="82">
        <v>44.3</v>
      </c>
      <c r="G22" s="83">
        <v>1686</v>
      </c>
      <c r="H22" s="129">
        <f t="shared" si="12"/>
        <v>74689.799999999988</v>
      </c>
      <c r="I22" s="65"/>
      <c r="J22" s="352">
        <v>18</v>
      </c>
      <c r="K22" s="83">
        <v>1636</v>
      </c>
      <c r="L22" s="87">
        <v>90.888888888888886</v>
      </c>
      <c r="M22" s="130">
        <v>17</v>
      </c>
      <c r="N22" s="151">
        <f t="shared" si="13"/>
        <v>1445.1428571428573</v>
      </c>
      <c r="O22" s="154">
        <f t="shared" si="14"/>
        <v>85.008403361344548</v>
      </c>
      <c r="P22" s="96">
        <f t="shared" si="10"/>
        <v>-1</v>
      </c>
      <c r="Q22" s="132">
        <f t="shared" si="11"/>
        <v>-5.8804855275443373</v>
      </c>
      <c r="R22" s="133">
        <f t="shared" si="15"/>
        <v>0.93530028148178601</v>
      </c>
      <c r="S22" s="632"/>
      <c r="T22" s="134">
        <v>0.47986111111111102</v>
      </c>
      <c r="U22" s="134">
        <v>0.52847222222222212</v>
      </c>
      <c r="V22" s="97">
        <v>6</v>
      </c>
      <c r="W22" s="135">
        <f t="shared" si="16"/>
        <v>69.999999999999986</v>
      </c>
      <c r="X22" s="136"/>
      <c r="Y22" s="136"/>
      <c r="Z22" s="96"/>
      <c r="AA22" s="96"/>
      <c r="AB22" s="642"/>
      <c r="AC22" s="644"/>
      <c r="AD22" s="97"/>
      <c r="AE22" s="97"/>
      <c r="AF22" s="89">
        <f t="shared" si="6"/>
        <v>-190.85714285714266</v>
      </c>
      <c r="AG22" s="91">
        <f t="shared" si="7"/>
        <v>0.88333915473279789</v>
      </c>
      <c r="AH22" s="710"/>
    </row>
    <row r="23" spans="1:34" ht="18" customHeight="1">
      <c r="A23" s="631"/>
      <c r="B23" s="351">
        <v>0</v>
      </c>
      <c r="C23" s="176"/>
      <c r="D23" s="80"/>
      <c r="E23" s="81"/>
      <c r="F23" s="82" t="s">
        <v>253</v>
      </c>
      <c r="G23" s="83"/>
      <c r="H23" s="129">
        <f t="shared" si="12"/>
        <v>0</v>
      </c>
      <c r="I23" s="65"/>
      <c r="J23" s="352"/>
      <c r="K23" s="83"/>
      <c r="L23" s="87"/>
      <c r="M23" s="130"/>
      <c r="N23" s="151"/>
      <c r="O23" s="154"/>
      <c r="P23" s="96"/>
      <c r="Q23" s="132"/>
      <c r="R23" s="133"/>
      <c r="S23" s="632"/>
      <c r="T23" s="134"/>
      <c r="U23" s="134"/>
      <c r="V23" s="97"/>
      <c r="W23" s="135"/>
      <c r="X23" s="136"/>
      <c r="Y23" s="136"/>
      <c r="Z23" s="96"/>
      <c r="AA23" s="96"/>
      <c r="AB23" s="642"/>
      <c r="AC23" s="644"/>
      <c r="AD23" s="97"/>
      <c r="AE23" s="97"/>
      <c r="AF23" s="89"/>
      <c r="AG23" s="91"/>
      <c r="AH23" s="710"/>
    </row>
    <row r="24" spans="1:34" ht="18" customHeight="1">
      <c r="A24" s="631"/>
      <c r="B24" s="351">
        <v>0</v>
      </c>
      <c r="C24" s="127"/>
      <c r="D24" s="168"/>
      <c r="E24" s="169"/>
      <c r="F24" s="82" t="s">
        <v>253</v>
      </c>
      <c r="G24" s="100"/>
      <c r="H24" s="129">
        <f t="shared" si="12"/>
        <v>0</v>
      </c>
      <c r="I24" s="135"/>
      <c r="J24" s="352"/>
      <c r="K24" s="83"/>
      <c r="L24" s="87"/>
      <c r="M24" s="130"/>
      <c r="N24" s="151"/>
      <c r="O24" s="154"/>
      <c r="P24" s="96"/>
      <c r="Q24" s="132"/>
      <c r="R24" s="133"/>
      <c r="S24" s="632"/>
      <c r="T24" s="134"/>
      <c r="U24" s="134"/>
      <c r="V24" s="97"/>
      <c r="W24" s="135"/>
      <c r="X24" s="97"/>
      <c r="Y24" s="97"/>
      <c r="Z24" s="96"/>
      <c r="AA24" s="96"/>
      <c r="AB24" s="642"/>
      <c r="AC24" s="644"/>
      <c r="AD24" s="97"/>
      <c r="AE24" s="97"/>
      <c r="AF24" s="89">
        <f t="shared" si="6"/>
        <v>0</v>
      </c>
      <c r="AG24" s="91"/>
      <c r="AH24" s="710"/>
    </row>
    <row r="25" spans="1:34" ht="18" customHeight="1">
      <c r="A25" s="631"/>
      <c r="B25" s="351">
        <v>0</v>
      </c>
      <c r="C25" s="127"/>
      <c r="D25" s="168"/>
      <c r="E25" s="169"/>
      <c r="F25" s="82" t="s">
        <v>253</v>
      </c>
      <c r="G25" s="100"/>
      <c r="H25" s="129"/>
      <c r="I25" s="135"/>
      <c r="J25" s="130"/>
      <c r="K25" s="100"/>
      <c r="L25" s="131"/>
      <c r="M25" s="130"/>
      <c r="N25" s="100"/>
      <c r="O25" s="131"/>
      <c r="P25" s="96"/>
      <c r="Q25" s="132"/>
      <c r="R25" s="133"/>
      <c r="S25" s="632"/>
      <c r="T25" s="134"/>
      <c r="U25" s="134"/>
      <c r="V25" s="97"/>
      <c r="W25" s="135">
        <f t="shared" si="16"/>
        <v>0</v>
      </c>
      <c r="X25" s="97"/>
      <c r="Y25" s="97"/>
      <c r="Z25" s="96"/>
      <c r="AA25" s="96"/>
      <c r="AB25" s="642"/>
      <c r="AC25" s="644"/>
      <c r="AD25" s="97"/>
      <c r="AE25" s="97"/>
      <c r="AF25" s="89">
        <f t="shared" si="6"/>
        <v>0</v>
      </c>
      <c r="AG25" s="91"/>
      <c r="AH25" s="710"/>
    </row>
    <row r="26" spans="1:34" ht="18" customHeight="1">
      <c r="A26" s="631"/>
      <c r="B26" s="351">
        <v>0</v>
      </c>
      <c r="C26" s="127"/>
      <c r="D26" s="168"/>
      <c r="E26" s="169"/>
      <c r="F26" s="82" t="s">
        <v>253</v>
      </c>
      <c r="G26" s="100"/>
      <c r="H26" s="84"/>
      <c r="I26" s="135"/>
      <c r="J26" s="130"/>
      <c r="K26" s="100"/>
      <c r="L26" s="131"/>
      <c r="M26" s="130"/>
      <c r="N26" s="100"/>
      <c r="O26" s="131"/>
      <c r="P26" s="96"/>
      <c r="Q26" s="132"/>
      <c r="R26" s="133"/>
      <c r="S26" s="632"/>
      <c r="T26" s="134"/>
      <c r="U26" s="134"/>
      <c r="V26" s="97"/>
      <c r="W26" s="135">
        <f t="shared" si="16"/>
        <v>0</v>
      </c>
      <c r="X26" s="97"/>
      <c r="Y26" s="97"/>
      <c r="Z26" s="96"/>
      <c r="AA26" s="96"/>
      <c r="AB26" s="642"/>
      <c r="AC26" s="644"/>
      <c r="AD26" s="97"/>
      <c r="AE26" s="97"/>
      <c r="AF26" s="89">
        <f t="shared" si="6"/>
        <v>0</v>
      </c>
      <c r="AG26" s="91"/>
      <c r="AH26" s="710"/>
    </row>
    <row r="27" spans="1:34" ht="18" customHeight="1">
      <c r="A27" s="631"/>
      <c r="B27" s="346">
        <v>0</v>
      </c>
      <c r="C27" s="127"/>
      <c r="D27" s="168"/>
      <c r="E27" s="169"/>
      <c r="F27" s="128" t="s">
        <v>253</v>
      </c>
      <c r="G27" s="100"/>
      <c r="H27" s="129">
        <f t="shared" si="12"/>
        <v>0</v>
      </c>
      <c r="I27" s="135"/>
      <c r="J27" s="130"/>
      <c r="K27" s="100"/>
      <c r="L27" s="131"/>
      <c r="M27" s="130"/>
      <c r="N27" s="100"/>
      <c r="O27" s="131"/>
      <c r="P27" s="96"/>
      <c r="Q27" s="132"/>
      <c r="R27" s="133"/>
      <c r="S27" s="632"/>
      <c r="T27" s="134"/>
      <c r="U27" s="134"/>
      <c r="V27" s="97"/>
      <c r="W27" s="135">
        <f t="shared" si="16"/>
        <v>0</v>
      </c>
      <c r="X27" s="97"/>
      <c r="Y27" s="97"/>
      <c r="Z27" s="96"/>
      <c r="AA27" s="96"/>
      <c r="AB27" s="642"/>
      <c r="AC27" s="644"/>
      <c r="AD27" s="97"/>
      <c r="AE27" s="97"/>
      <c r="AF27" s="89">
        <f t="shared" si="6"/>
        <v>0</v>
      </c>
      <c r="AG27" s="91"/>
      <c r="AH27" s="710"/>
    </row>
    <row r="28" spans="1:34" ht="18" customHeight="1">
      <c r="A28" s="631"/>
      <c r="B28" s="346">
        <v>0</v>
      </c>
      <c r="C28" s="127"/>
      <c r="D28" s="168"/>
      <c r="E28" s="169"/>
      <c r="F28" s="128" t="s">
        <v>253</v>
      </c>
      <c r="G28" s="100"/>
      <c r="H28" s="129">
        <f t="shared" si="12"/>
        <v>0</v>
      </c>
      <c r="I28" s="135"/>
      <c r="J28" s="130"/>
      <c r="K28" s="100"/>
      <c r="L28" s="131"/>
      <c r="M28" s="130"/>
      <c r="N28" s="100"/>
      <c r="O28" s="131"/>
      <c r="P28" s="96"/>
      <c r="Q28" s="132"/>
      <c r="R28" s="133"/>
      <c r="S28" s="632"/>
      <c r="T28" s="134"/>
      <c r="U28" s="134"/>
      <c r="V28" s="97"/>
      <c r="W28" s="135">
        <f t="shared" si="16"/>
        <v>0</v>
      </c>
      <c r="X28" s="97"/>
      <c r="Y28" s="97"/>
      <c r="Z28" s="96"/>
      <c r="AA28" s="96"/>
      <c r="AB28" s="642"/>
      <c r="AC28" s="644"/>
      <c r="AD28" s="97"/>
      <c r="AE28" s="97"/>
      <c r="AF28" s="89">
        <f t="shared" si="6"/>
        <v>0</v>
      </c>
      <c r="AG28" s="91"/>
      <c r="AH28" s="710"/>
    </row>
    <row r="29" spans="1:34" ht="18" customHeight="1">
      <c r="A29" s="631"/>
      <c r="B29" s="346">
        <v>0</v>
      </c>
      <c r="C29" s="127"/>
      <c r="D29" s="168"/>
      <c r="E29" s="169"/>
      <c r="F29" s="128" t="s">
        <v>253</v>
      </c>
      <c r="G29" s="100"/>
      <c r="H29" s="129">
        <f t="shared" si="12"/>
        <v>0</v>
      </c>
      <c r="I29" s="135"/>
      <c r="J29" s="130"/>
      <c r="K29" s="100"/>
      <c r="L29" s="131"/>
      <c r="M29" s="130"/>
      <c r="N29" s="100"/>
      <c r="O29" s="131"/>
      <c r="P29" s="96"/>
      <c r="Q29" s="132"/>
      <c r="R29" s="133"/>
      <c r="S29" s="632"/>
      <c r="T29" s="134"/>
      <c r="U29" s="134"/>
      <c r="V29" s="97"/>
      <c r="W29" s="135">
        <f t="shared" si="16"/>
        <v>0</v>
      </c>
      <c r="X29" s="97"/>
      <c r="Y29" s="97"/>
      <c r="Z29" s="96"/>
      <c r="AA29" s="96"/>
      <c r="AB29" s="642"/>
      <c r="AC29" s="644"/>
      <c r="AD29" s="97"/>
      <c r="AE29" s="97"/>
      <c r="AF29" s="89">
        <f t="shared" si="6"/>
        <v>0</v>
      </c>
      <c r="AG29" s="91"/>
      <c r="AH29" s="710"/>
    </row>
    <row r="30" spans="1:34" ht="18" customHeight="1">
      <c r="A30" s="631"/>
      <c r="B30" s="353">
        <v>0</v>
      </c>
      <c r="C30" s="138" t="s">
        <v>222</v>
      </c>
      <c r="D30" s="685" t="s">
        <v>220</v>
      </c>
      <c r="E30" s="685"/>
      <c r="F30" s="139"/>
      <c r="G30" s="140"/>
      <c r="H30" s="141"/>
      <c r="I30" s="142"/>
      <c r="J30" s="140">
        <v>18</v>
      </c>
      <c r="K30" s="140">
        <v>1692.4</v>
      </c>
      <c r="L30" s="143">
        <v>93.532679738562095</v>
      </c>
      <c r="M30" s="140">
        <f t="shared" ref="M30:O30" si="17">AVERAGE(M18:M29)</f>
        <v>18</v>
      </c>
      <c r="N30" s="140">
        <f t="shared" si="17"/>
        <v>1442.8005968084992</v>
      </c>
      <c r="O30" s="143">
        <f t="shared" si="17"/>
        <v>79.603138509280157</v>
      </c>
      <c r="P30" s="96">
        <f t="shared" ref="P30:P37" si="18">M30-J30</f>
        <v>0</v>
      </c>
      <c r="Q30" s="132">
        <f t="shared" ref="Q30:Q37" si="19">O30-L30</f>
        <v>-13.929541229281938</v>
      </c>
      <c r="R30" s="144">
        <f t="shared" ref="R30:R37" si="20">O30/L30</f>
        <v>0.85107300177630851</v>
      </c>
      <c r="S30" s="632"/>
      <c r="T30" s="134"/>
      <c r="U30" s="134"/>
      <c r="V30" s="100"/>
      <c r="W30" s="100"/>
      <c r="X30" s="131"/>
      <c r="Y30" s="131"/>
      <c r="Z30" s="145">
        <f>SUM(Z18:Z29)</f>
        <v>0</v>
      </c>
      <c r="AA30" s="145">
        <f>SUM(AA18:AA29)</f>
        <v>0</v>
      </c>
      <c r="AB30" s="706"/>
      <c r="AC30" s="657"/>
      <c r="AD30" s="146">
        <f>SUM(AD18:AD29)</f>
        <v>0</v>
      </c>
      <c r="AE30" s="146">
        <f>SUM(AE18:AE29)</f>
        <v>0</v>
      </c>
      <c r="AF30" s="238">
        <f t="shared" si="6"/>
        <v>-249.59940319150087</v>
      </c>
      <c r="AG30" s="240">
        <f t="shared" ref="AG30" si="21">N30/K30</f>
        <v>0.85251748806930938</v>
      </c>
      <c r="AH30" s="711"/>
    </row>
    <row r="31" spans="1:34" ht="18" customHeight="1">
      <c r="A31" s="682" t="s">
        <v>223</v>
      </c>
      <c r="B31" s="147" t="s">
        <v>249</v>
      </c>
      <c r="C31" s="109"/>
      <c r="D31" s="148" t="s">
        <v>119</v>
      </c>
      <c r="E31" s="149"/>
      <c r="F31" s="150">
        <v>34.229999999999997</v>
      </c>
      <c r="G31" s="151">
        <v>1980</v>
      </c>
      <c r="H31" s="152">
        <f t="shared" ref="H31:H40" si="22">F31*G31</f>
        <v>67775.399999999994</v>
      </c>
      <c r="I31" s="94"/>
      <c r="J31" s="153">
        <v>14</v>
      </c>
      <c r="K31" s="151">
        <v>2118</v>
      </c>
      <c r="L31" s="154">
        <v>151.28571428571428</v>
      </c>
      <c r="M31" s="155">
        <v>14</v>
      </c>
      <c r="N31" s="156">
        <f t="shared" ref="N31:N37" si="23">G31/W31*60</f>
        <v>2013.5593220338988</v>
      </c>
      <c r="O31" s="157">
        <f t="shared" ref="O31:O37" si="24">N31/M31</f>
        <v>143.8256658595642</v>
      </c>
      <c r="P31" s="158">
        <f t="shared" si="18"/>
        <v>0</v>
      </c>
      <c r="Q31" s="159">
        <f t="shared" si="19"/>
        <v>-7.460048426150081</v>
      </c>
      <c r="R31" s="160">
        <f t="shared" si="20"/>
        <v>0.9506890094588758</v>
      </c>
      <c r="S31" s="684">
        <f>R43</f>
        <v>0.90549931400688033</v>
      </c>
      <c r="T31" s="161">
        <v>0.16666666666666666</v>
      </c>
      <c r="U31" s="161">
        <v>0.20763888888888887</v>
      </c>
      <c r="V31" s="94">
        <v>5</v>
      </c>
      <c r="W31" s="162">
        <f t="shared" ref="W31:W42" si="25">(U31-T31)*24*60</f>
        <v>58.999999999999993</v>
      </c>
      <c r="X31" s="94"/>
      <c r="Y31" s="94"/>
      <c r="Z31" s="93"/>
      <c r="AA31" s="93"/>
      <c r="AB31" s="645"/>
      <c r="AC31" s="654"/>
      <c r="AD31" s="94"/>
      <c r="AE31" s="94"/>
      <c r="AF31" s="158">
        <f t="shared" si="6"/>
        <v>-104.44067796610125</v>
      </c>
      <c r="AG31" s="163">
        <f t="shared" si="7"/>
        <v>0.95068900945887569</v>
      </c>
      <c r="AH31" s="661">
        <f>AG43</f>
        <v>0.88015162087509835</v>
      </c>
    </row>
    <row r="32" spans="1:34" ht="18" customHeight="1">
      <c r="A32" s="683"/>
      <c r="B32" s="126" t="s">
        <v>250</v>
      </c>
      <c r="C32" s="164"/>
      <c r="D32" s="165" t="s">
        <v>120</v>
      </c>
      <c r="E32" s="81"/>
      <c r="F32" s="82">
        <v>35.33</v>
      </c>
      <c r="G32" s="83">
        <v>2379</v>
      </c>
      <c r="H32" s="129">
        <f t="shared" si="22"/>
        <v>84050.069999999992</v>
      </c>
      <c r="I32" s="85"/>
      <c r="J32" s="86">
        <v>13</v>
      </c>
      <c r="K32" s="83">
        <v>2118</v>
      </c>
      <c r="L32" s="87">
        <v>162.92307692307693</v>
      </c>
      <c r="M32" s="88">
        <v>13</v>
      </c>
      <c r="N32" s="83">
        <f t="shared" si="23"/>
        <v>2010.4225352112669</v>
      </c>
      <c r="O32" s="87">
        <f t="shared" si="24"/>
        <v>154.64788732394362</v>
      </c>
      <c r="P32" s="89">
        <f t="shared" si="18"/>
        <v>0</v>
      </c>
      <c r="Q32" s="90">
        <f t="shared" si="19"/>
        <v>-8.2751895991333129</v>
      </c>
      <c r="R32" s="91">
        <f t="shared" si="20"/>
        <v>0.94920799585045657</v>
      </c>
      <c r="S32" s="632"/>
      <c r="T32" s="134">
        <v>0.21180555555555555</v>
      </c>
      <c r="U32" s="134">
        <v>0.26111111111111113</v>
      </c>
      <c r="V32" s="97">
        <v>6</v>
      </c>
      <c r="W32" s="135">
        <f t="shared" si="25"/>
        <v>71.000000000000028</v>
      </c>
      <c r="X32" s="166"/>
      <c r="Y32" s="166"/>
      <c r="Z32" s="167"/>
      <c r="AA32" s="167"/>
      <c r="AB32" s="642"/>
      <c r="AC32" s="644"/>
      <c r="AD32" s="97"/>
      <c r="AE32" s="97"/>
      <c r="AF32" s="89">
        <f t="shared" si="6"/>
        <v>-107.5774647887331</v>
      </c>
      <c r="AG32" s="91">
        <f t="shared" si="7"/>
        <v>0.94920799585045657</v>
      </c>
      <c r="AH32" s="659"/>
    </row>
    <row r="33" spans="1:34" ht="18" customHeight="1">
      <c r="A33" s="683"/>
      <c r="B33" s="126" t="s">
        <v>250</v>
      </c>
      <c r="C33" s="97"/>
      <c r="D33" s="168" t="s">
        <v>121</v>
      </c>
      <c r="E33" s="169"/>
      <c r="F33" s="82">
        <v>36.409999999999997</v>
      </c>
      <c r="G33" s="100">
        <v>3164.85</v>
      </c>
      <c r="H33" s="129">
        <f t="shared" si="22"/>
        <v>115232.18849999999</v>
      </c>
      <c r="I33" s="97"/>
      <c r="J33" s="86">
        <v>11</v>
      </c>
      <c r="K33" s="83">
        <v>2118</v>
      </c>
      <c r="L33" s="87">
        <v>192.54545454545453</v>
      </c>
      <c r="M33" s="137">
        <v>11</v>
      </c>
      <c r="N33" s="83">
        <f t="shared" si="23"/>
        <v>1978.0312500000005</v>
      </c>
      <c r="O33" s="87">
        <f t="shared" si="24"/>
        <v>179.82102272727278</v>
      </c>
      <c r="P33" s="89">
        <f t="shared" si="18"/>
        <v>0</v>
      </c>
      <c r="Q33" s="90">
        <f t="shared" si="19"/>
        <v>-12.724431818181756</v>
      </c>
      <c r="R33" s="91">
        <f t="shared" si="20"/>
        <v>0.93391466005665758</v>
      </c>
      <c r="S33" s="632"/>
      <c r="T33" s="134">
        <v>0.27777777777777779</v>
      </c>
      <c r="U33" s="134">
        <v>0.34444444444444444</v>
      </c>
      <c r="V33" s="97">
        <v>24</v>
      </c>
      <c r="W33" s="135">
        <f t="shared" si="25"/>
        <v>95.999999999999972</v>
      </c>
      <c r="X33" s="166">
        <v>0.26458333333333334</v>
      </c>
      <c r="Y33" s="166">
        <v>0.27499999999999997</v>
      </c>
      <c r="Z33" s="167"/>
      <c r="AA33" s="167"/>
      <c r="AB33" s="642"/>
      <c r="AC33" s="644"/>
      <c r="AD33" s="97"/>
      <c r="AE33" s="97"/>
      <c r="AF33" s="89">
        <f t="shared" si="6"/>
        <v>-139.96874999999955</v>
      </c>
      <c r="AG33" s="170">
        <f t="shared" si="7"/>
        <v>0.93391466005665746</v>
      </c>
      <c r="AH33" s="659"/>
    </row>
    <row r="34" spans="1:34" ht="18" customHeight="1">
      <c r="A34" s="683"/>
      <c r="B34" s="126" t="s">
        <v>247</v>
      </c>
      <c r="C34" s="171"/>
      <c r="D34" s="168" t="s">
        <v>122</v>
      </c>
      <c r="E34" s="169"/>
      <c r="F34" s="82">
        <v>29.113149847094796</v>
      </c>
      <c r="G34" s="100">
        <v>2246.64</v>
      </c>
      <c r="H34" s="129">
        <f t="shared" si="22"/>
        <v>65406.766972477046</v>
      </c>
      <c r="I34" s="97"/>
      <c r="J34" s="86">
        <v>19</v>
      </c>
      <c r="K34" s="83">
        <v>1500</v>
      </c>
      <c r="L34" s="87">
        <v>78.94736842105263</v>
      </c>
      <c r="M34" s="137">
        <v>18</v>
      </c>
      <c r="N34" s="83">
        <f t="shared" si="23"/>
        <v>1214.3999999999999</v>
      </c>
      <c r="O34" s="87">
        <f t="shared" si="24"/>
        <v>67.466666666666654</v>
      </c>
      <c r="P34" s="89">
        <f t="shared" si="18"/>
        <v>-1</v>
      </c>
      <c r="Q34" s="90">
        <f t="shared" si="19"/>
        <v>-11.480701754385976</v>
      </c>
      <c r="R34" s="91">
        <f t="shared" si="20"/>
        <v>0.85457777777777766</v>
      </c>
      <c r="S34" s="632"/>
      <c r="T34" s="134">
        <v>0.36041666666666666</v>
      </c>
      <c r="U34" s="134">
        <v>0.4375</v>
      </c>
      <c r="V34" s="97">
        <v>23</v>
      </c>
      <c r="W34" s="135">
        <f t="shared" si="25"/>
        <v>111</v>
      </c>
      <c r="X34" s="166">
        <v>0.34791666666666665</v>
      </c>
      <c r="Y34" s="166">
        <v>0.3576388888888889</v>
      </c>
      <c r="Z34" s="167"/>
      <c r="AA34" s="167"/>
      <c r="AB34" s="642"/>
      <c r="AC34" s="644"/>
      <c r="AD34" s="97"/>
      <c r="AE34" s="97"/>
      <c r="AF34" s="89">
        <f t="shared" si="6"/>
        <v>-285.60000000000014</v>
      </c>
      <c r="AG34" s="170">
        <f t="shared" si="7"/>
        <v>0.80959999999999988</v>
      </c>
      <c r="AH34" s="659"/>
    </row>
    <row r="35" spans="1:34" ht="18" customHeight="1">
      <c r="A35" s="683"/>
      <c r="B35" s="126" t="s">
        <v>248</v>
      </c>
      <c r="C35" s="79"/>
      <c r="D35" s="80" t="s">
        <v>123</v>
      </c>
      <c r="E35" s="81"/>
      <c r="F35" s="82">
        <v>49.9</v>
      </c>
      <c r="G35" s="172">
        <v>585</v>
      </c>
      <c r="H35" s="129">
        <f t="shared" si="22"/>
        <v>29191.5</v>
      </c>
      <c r="I35" s="65"/>
      <c r="J35" s="86">
        <v>18</v>
      </c>
      <c r="K35" s="83">
        <v>1500</v>
      </c>
      <c r="L35" s="87">
        <v>83.333333333333329</v>
      </c>
      <c r="M35" s="137">
        <v>18</v>
      </c>
      <c r="N35" s="83">
        <f t="shared" si="23"/>
        <v>1132.2580645161272</v>
      </c>
      <c r="O35" s="87">
        <f t="shared" si="24"/>
        <v>62.903225806451509</v>
      </c>
      <c r="P35" s="89">
        <f t="shared" si="18"/>
        <v>0</v>
      </c>
      <c r="Q35" s="90">
        <f t="shared" si="19"/>
        <v>-20.43010752688182</v>
      </c>
      <c r="R35" s="91">
        <f t="shared" si="20"/>
        <v>0.75483870967741817</v>
      </c>
      <c r="S35" s="632"/>
      <c r="T35" s="134">
        <v>0.47916666666666663</v>
      </c>
      <c r="U35" s="134">
        <v>0.50069444444444444</v>
      </c>
      <c r="V35" s="97">
        <v>7</v>
      </c>
      <c r="W35" s="135">
        <f t="shared" si="25"/>
        <v>31.00000000000005</v>
      </c>
      <c r="X35" s="166"/>
      <c r="Y35" s="166"/>
      <c r="Z35" s="167"/>
      <c r="AA35" s="167"/>
      <c r="AB35" s="642"/>
      <c r="AC35" s="644"/>
      <c r="AD35" s="97"/>
      <c r="AE35" s="97"/>
      <c r="AF35" s="89">
        <f t="shared" si="6"/>
        <v>-367.74193548387279</v>
      </c>
      <c r="AG35" s="170">
        <f t="shared" si="7"/>
        <v>0.75483870967741817</v>
      </c>
      <c r="AH35" s="662"/>
    </row>
    <row r="36" spans="1:34" ht="18" customHeight="1">
      <c r="A36" s="683"/>
      <c r="B36" s="126" t="s">
        <v>248</v>
      </c>
      <c r="C36" s="173"/>
      <c r="D36" s="80" t="s">
        <v>124</v>
      </c>
      <c r="E36" s="169"/>
      <c r="F36" s="82">
        <v>57.3</v>
      </c>
      <c r="G36" s="100">
        <v>619</v>
      </c>
      <c r="H36" s="129">
        <f t="shared" si="22"/>
        <v>35468.699999999997</v>
      </c>
      <c r="I36" s="97"/>
      <c r="J36" s="86">
        <v>19</v>
      </c>
      <c r="K36" s="83">
        <v>1385</v>
      </c>
      <c r="L36" s="87">
        <v>72.89473684210526</v>
      </c>
      <c r="M36" s="137">
        <v>18</v>
      </c>
      <c r="N36" s="83">
        <f t="shared" si="23"/>
        <v>1198.0645161290304</v>
      </c>
      <c r="O36" s="87">
        <f t="shared" si="24"/>
        <v>66.559139784946126</v>
      </c>
      <c r="P36" s="89">
        <f t="shared" si="18"/>
        <v>-1</v>
      </c>
      <c r="Q36" s="90">
        <f t="shared" si="19"/>
        <v>-6.3355970571591342</v>
      </c>
      <c r="R36" s="91">
        <f t="shared" si="20"/>
        <v>0.9130856721400552</v>
      </c>
      <c r="S36" s="632"/>
      <c r="T36" s="134">
        <v>0.50624999999999998</v>
      </c>
      <c r="U36" s="134">
        <v>0.52777777777777779</v>
      </c>
      <c r="V36" s="97">
        <v>8</v>
      </c>
      <c r="W36" s="135">
        <f t="shared" si="25"/>
        <v>31.00000000000005</v>
      </c>
      <c r="X36" s="166"/>
      <c r="Y36" s="166"/>
      <c r="Z36" s="167"/>
      <c r="AA36" s="167"/>
      <c r="AB36" s="642"/>
      <c r="AC36" s="644"/>
      <c r="AD36" s="97"/>
      <c r="AE36" s="97"/>
      <c r="AF36" s="89">
        <f t="shared" si="6"/>
        <v>-186.93548387096962</v>
      </c>
      <c r="AG36" s="170">
        <f t="shared" si="7"/>
        <v>0.86502853150110492</v>
      </c>
      <c r="AH36" s="662"/>
    </row>
    <row r="37" spans="1:34" ht="18" customHeight="1">
      <c r="A37" s="683"/>
      <c r="B37" s="126" t="s">
        <v>247</v>
      </c>
      <c r="C37" s="173"/>
      <c r="D37" s="168" t="s">
        <v>122</v>
      </c>
      <c r="E37" s="169"/>
      <c r="F37" s="82">
        <v>29.113149847094796</v>
      </c>
      <c r="G37" s="100">
        <v>306.36</v>
      </c>
      <c r="H37" s="129">
        <f t="shared" si="22"/>
        <v>8919.1045871559618</v>
      </c>
      <c r="I37" s="97">
        <v>2</v>
      </c>
      <c r="J37" s="86">
        <v>19</v>
      </c>
      <c r="K37" s="83">
        <v>1500</v>
      </c>
      <c r="L37" s="87">
        <v>78.94736842105263</v>
      </c>
      <c r="M37" s="137">
        <v>18</v>
      </c>
      <c r="N37" s="83">
        <f t="shared" si="23"/>
        <v>1225.4400000000044</v>
      </c>
      <c r="O37" s="87">
        <f t="shared" si="24"/>
        <v>68.08000000000024</v>
      </c>
      <c r="P37" s="89">
        <f t="shared" si="18"/>
        <v>-1</v>
      </c>
      <c r="Q37" s="90">
        <f t="shared" si="19"/>
        <v>-10.86736842105239</v>
      </c>
      <c r="R37" s="91">
        <f t="shared" si="20"/>
        <v>0.8623466666666697</v>
      </c>
      <c r="S37" s="632"/>
      <c r="T37" s="134">
        <v>0.53194444444444444</v>
      </c>
      <c r="U37" s="134">
        <v>0.54236111111111107</v>
      </c>
      <c r="V37" s="97">
        <v>6</v>
      </c>
      <c r="W37" s="135">
        <f t="shared" si="25"/>
        <v>14.999999999999947</v>
      </c>
      <c r="X37" s="166"/>
      <c r="Y37" s="166"/>
      <c r="Z37" s="167"/>
      <c r="AA37" s="167"/>
      <c r="AB37" s="642"/>
      <c r="AC37" s="644"/>
      <c r="AD37" s="97"/>
      <c r="AE37" s="97"/>
      <c r="AF37" s="89">
        <f t="shared" si="6"/>
        <v>-274.55999999999563</v>
      </c>
      <c r="AG37" s="170">
        <f t="shared" si="7"/>
        <v>0.81696000000000291</v>
      </c>
      <c r="AH37" s="662"/>
    </row>
    <row r="38" spans="1:34" ht="18" customHeight="1">
      <c r="A38" s="683"/>
      <c r="B38" s="126">
        <v>0</v>
      </c>
      <c r="C38" s="173"/>
      <c r="D38" s="168"/>
      <c r="E38" s="169"/>
      <c r="F38" s="82" t="s">
        <v>253</v>
      </c>
      <c r="G38" s="100"/>
      <c r="H38" s="129">
        <f t="shared" si="22"/>
        <v>0</v>
      </c>
      <c r="I38" s="97"/>
      <c r="J38" s="86"/>
      <c r="K38" s="83"/>
      <c r="L38" s="87"/>
      <c r="M38" s="137"/>
      <c r="N38" s="83"/>
      <c r="O38" s="87"/>
      <c r="P38" s="89"/>
      <c r="Q38" s="90"/>
      <c r="R38" s="91"/>
      <c r="S38" s="632"/>
      <c r="T38" s="134"/>
      <c r="U38" s="134"/>
      <c r="V38" s="97"/>
      <c r="W38" s="135"/>
      <c r="X38" s="166"/>
      <c r="Y38" s="166"/>
      <c r="Z38" s="167"/>
      <c r="AA38" s="167"/>
      <c r="AB38" s="642"/>
      <c r="AC38" s="644"/>
      <c r="AD38" s="97"/>
      <c r="AE38" s="97"/>
      <c r="AF38" s="89">
        <f t="shared" si="6"/>
        <v>0</v>
      </c>
      <c r="AG38" s="170" t="e">
        <f t="shared" si="7"/>
        <v>#DIV/0!</v>
      </c>
      <c r="AH38" s="662"/>
    </row>
    <row r="39" spans="1:34" ht="18" customHeight="1">
      <c r="A39" s="683"/>
      <c r="B39" s="126">
        <v>0</v>
      </c>
      <c r="C39" s="171"/>
      <c r="D39" s="80"/>
      <c r="E39" s="81"/>
      <c r="F39" s="82" t="s">
        <v>253</v>
      </c>
      <c r="G39" s="100"/>
      <c r="H39" s="129">
        <f t="shared" si="22"/>
        <v>0</v>
      </c>
      <c r="I39" s="97"/>
      <c r="J39" s="86"/>
      <c r="K39" s="83"/>
      <c r="L39" s="87"/>
      <c r="M39" s="137"/>
      <c r="N39" s="83"/>
      <c r="O39" s="87"/>
      <c r="P39" s="89"/>
      <c r="Q39" s="90"/>
      <c r="R39" s="91"/>
      <c r="S39" s="632"/>
      <c r="T39" s="134"/>
      <c r="U39" s="134"/>
      <c r="V39" s="97"/>
      <c r="W39" s="135"/>
      <c r="X39" s="166"/>
      <c r="Y39" s="166"/>
      <c r="Z39" s="167"/>
      <c r="AA39" s="167"/>
      <c r="AB39" s="642"/>
      <c r="AC39" s="644"/>
      <c r="AD39" s="97"/>
      <c r="AE39" s="97"/>
      <c r="AF39" s="89"/>
      <c r="AG39" s="174"/>
      <c r="AH39" s="662"/>
    </row>
    <row r="40" spans="1:34" ht="18" customHeight="1">
      <c r="A40" s="683"/>
      <c r="B40" s="175">
        <v>0</v>
      </c>
      <c r="C40" s="176"/>
      <c r="D40" s="80"/>
      <c r="E40" s="81"/>
      <c r="F40" s="82" t="s">
        <v>253</v>
      </c>
      <c r="G40" s="83"/>
      <c r="H40" s="129">
        <f t="shared" si="22"/>
        <v>0</v>
      </c>
      <c r="I40" s="65"/>
      <c r="J40" s="177"/>
      <c r="K40" s="178"/>
      <c r="L40" s="179"/>
      <c r="M40" s="88"/>
      <c r="N40" s="83"/>
      <c r="O40" s="87"/>
      <c r="P40" s="89"/>
      <c r="Q40" s="90"/>
      <c r="R40" s="91"/>
      <c r="S40" s="632"/>
      <c r="T40" s="134"/>
      <c r="U40" s="134"/>
      <c r="V40" s="97"/>
      <c r="W40" s="135">
        <f t="shared" si="25"/>
        <v>0</v>
      </c>
      <c r="X40" s="166"/>
      <c r="Y40" s="166"/>
      <c r="Z40" s="167"/>
      <c r="AA40" s="167"/>
      <c r="AB40" s="642"/>
      <c r="AC40" s="644"/>
      <c r="AD40" s="97"/>
      <c r="AE40" s="97"/>
      <c r="AF40" s="89"/>
      <c r="AG40" s="174"/>
      <c r="AH40" s="662"/>
    </row>
    <row r="41" spans="1:34" ht="18" customHeight="1">
      <c r="A41" s="683"/>
      <c r="B41" s="97">
        <v>0</v>
      </c>
      <c r="C41" s="98"/>
      <c r="D41" s="168"/>
      <c r="E41" s="169"/>
      <c r="F41" s="82" t="s">
        <v>253</v>
      </c>
      <c r="G41" s="100"/>
      <c r="H41" s="129"/>
      <c r="I41" s="97"/>
      <c r="J41" s="130"/>
      <c r="K41" s="100"/>
      <c r="L41" s="131"/>
      <c r="M41" s="137"/>
      <c r="N41" s="100"/>
      <c r="O41" s="131"/>
      <c r="P41" s="96"/>
      <c r="Q41" s="132"/>
      <c r="R41" s="133"/>
      <c r="S41" s="632"/>
      <c r="T41" s="134"/>
      <c r="U41" s="134"/>
      <c r="V41" s="97"/>
      <c r="W41" s="135">
        <f t="shared" si="25"/>
        <v>0</v>
      </c>
      <c r="X41" s="166"/>
      <c r="Y41" s="166"/>
      <c r="Z41" s="167"/>
      <c r="AA41" s="167"/>
      <c r="AB41" s="642"/>
      <c r="AC41" s="644"/>
      <c r="AD41" s="97"/>
      <c r="AE41" s="97"/>
      <c r="AF41" s="89"/>
      <c r="AG41" s="174"/>
      <c r="AH41" s="662"/>
    </row>
    <row r="42" spans="1:34" ht="18" customHeight="1">
      <c r="A42" s="683"/>
      <c r="B42" s="97">
        <v>0</v>
      </c>
      <c r="C42" s="98"/>
      <c r="D42" s="168"/>
      <c r="E42" s="169"/>
      <c r="F42" s="180" t="s">
        <v>253</v>
      </c>
      <c r="G42" s="100"/>
      <c r="H42" s="129">
        <f>F42*G42</f>
        <v>0</v>
      </c>
      <c r="I42" s="97"/>
      <c r="J42" s="130"/>
      <c r="K42" s="100"/>
      <c r="L42" s="131"/>
      <c r="M42" s="137"/>
      <c r="N42" s="100"/>
      <c r="O42" s="131"/>
      <c r="P42" s="96"/>
      <c r="Q42" s="132"/>
      <c r="R42" s="133"/>
      <c r="S42" s="632"/>
      <c r="T42" s="134"/>
      <c r="U42" s="134"/>
      <c r="V42" s="97"/>
      <c r="W42" s="135">
        <f t="shared" si="25"/>
        <v>0</v>
      </c>
      <c r="X42" s="166"/>
      <c r="Y42" s="166"/>
      <c r="Z42" s="167"/>
      <c r="AA42" s="167"/>
      <c r="AB42" s="642"/>
      <c r="AC42" s="644"/>
      <c r="AD42" s="97"/>
      <c r="AE42" s="97"/>
      <c r="AF42" s="89"/>
      <c r="AG42" s="174"/>
      <c r="AH42" s="662"/>
    </row>
    <row r="43" spans="1:34" ht="18" customHeight="1">
      <c r="A43" s="683"/>
      <c r="B43" s="126">
        <v>0</v>
      </c>
      <c r="C43" s="138" t="s">
        <v>15</v>
      </c>
      <c r="D43" s="630" t="s">
        <v>220</v>
      </c>
      <c r="E43" s="630"/>
      <c r="F43" s="139"/>
      <c r="G43" s="140"/>
      <c r="H43" s="141"/>
      <c r="I43" s="142"/>
      <c r="J43" s="140">
        <v>16.142857142857142</v>
      </c>
      <c r="K43" s="140">
        <v>1748.4285714285713</v>
      </c>
      <c r="L43" s="143">
        <v>117.26815039596995</v>
      </c>
      <c r="M43" s="140">
        <f t="shared" ref="M43:O43" si="26">AVERAGE(M31:M42)</f>
        <v>15.714285714285714</v>
      </c>
      <c r="N43" s="140">
        <f t="shared" si="26"/>
        <v>1538.8822411271897</v>
      </c>
      <c r="O43" s="143">
        <f t="shared" si="26"/>
        <v>106.18622973840647</v>
      </c>
      <c r="P43" s="96">
        <f>M43-J43</f>
        <v>-0.42857142857142883</v>
      </c>
      <c r="Q43" s="132">
        <f>N43-K43</f>
        <v>-209.54633030138166</v>
      </c>
      <c r="R43" s="144">
        <f t="shared" ref="R43:R50" si="27">O43/L43</f>
        <v>0.90549931400688033</v>
      </c>
      <c r="S43" s="632"/>
      <c r="T43" s="134"/>
      <c r="U43" s="134"/>
      <c r="V43" s="97"/>
      <c r="W43" s="97"/>
      <c r="X43" s="166"/>
      <c r="Y43" s="166"/>
      <c r="Z43" s="181">
        <f>SUM(Z31:Z42)</f>
        <v>0</v>
      </c>
      <c r="AA43" s="181">
        <f>SUM(AA31:AA42)</f>
        <v>0</v>
      </c>
      <c r="AB43" s="642"/>
      <c r="AC43" s="644"/>
      <c r="AD43" s="146">
        <f>SUM(AD31:AD42)</f>
        <v>0</v>
      </c>
      <c r="AE43" s="146">
        <f>SUM(AE31:AE42)</f>
        <v>0</v>
      </c>
      <c r="AF43" s="89">
        <f t="shared" ref="AF43:AF52" si="28">N43-K43</f>
        <v>-209.54633030138166</v>
      </c>
      <c r="AG43" s="125">
        <f t="shared" si="7"/>
        <v>0.88015162087509835</v>
      </c>
      <c r="AH43" s="662"/>
    </row>
    <row r="44" spans="1:34" s="196" customFormat="1" ht="18" customHeight="1">
      <c r="A44" s="678" t="s">
        <v>224</v>
      </c>
      <c r="B44" s="176" t="s">
        <v>250</v>
      </c>
      <c r="C44" s="182"/>
      <c r="D44" s="80" t="s">
        <v>125</v>
      </c>
      <c r="E44" s="81"/>
      <c r="F44" s="183">
        <v>24.73</v>
      </c>
      <c r="G44" s="184">
        <v>2602</v>
      </c>
      <c r="H44" s="84">
        <f>F44*G44</f>
        <v>64347.46</v>
      </c>
      <c r="I44" s="185"/>
      <c r="J44" s="186">
        <v>4</v>
      </c>
      <c r="K44" s="187">
        <v>2000</v>
      </c>
      <c r="L44" s="188">
        <v>500</v>
      </c>
      <c r="M44" s="106">
        <v>5</v>
      </c>
      <c r="N44" s="187">
        <f>G44/W44*60</f>
        <v>2138.6301369863013</v>
      </c>
      <c r="O44" s="188">
        <f>N44/M44</f>
        <v>427.72602739726028</v>
      </c>
      <c r="P44" s="93">
        <f>M44-J44</f>
        <v>1</v>
      </c>
      <c r="Q44" s="189">
        <f>O44-L44</f>
        <v>-72.273972602739718</v>
      </c>
      <c r="R44" s="190">
        <f t="shared" si="27"/>
        <v>0.85545205479452058</v>
      </c>
      <c r="S44" s="659">
        <f>R56</f>
        <v>0.85558137812237445</v>
      </c>
      <c r="T44" s="191">
        <v>0.16666666666666666</v>
      </c>
      <c r="U44" s="191">
        <v>0.21736111111111112</v>
      </c>
      <c r="V44" s="192">
        <v>5</v>
      </c>
      <c r="W44" s="193">
        <f t="shared" ref="W44:W56" si="29">(U44-T44)*24*60</f>
        <v>73.000000000000014</v>
      </c>
      <c r="X44" s="166"/>
      <c r="Y44" s="166"/>
      <c r="Z44" s="167"/>
      <c r="AA44" s="167"/>
      <c r="AB44" s="644"/>
      <c r="AC44" s="644"/>
      <c r="AD44" s="97"/>
      <c r="AE44" s="97"/>
      <c r="AF44" s="194">
        <f t="shared" si="28"/>
        <v>138.6301369863013</v>
      </c>
      <c r="AG44" s="195">
        <f t="shared" si="7"/>
        <v>1.0693150684931507</v>
      </c>
      <c r="AH44" s="681">
        <f>AG56</f>
        <v>0.99486223918396766</v>
      </c>
    </row>
    <row r="45" spans="1:34" s="196" customFormat="1" ht="18" customHeight="1">
      <c r="A45" s="679"/>
      <c r="B45" s="176" t="s">
        <v>250</v>
      </c>
      <c r="C45" s="182"/>
      <c r="D45" s="80" t="s">
        <v>126</v>
      </c>
      <c r="E45" s="81"/>
      <c r="F45" s="183">
        <v>24.73</v>
      </c>
      <c r="G45" s="184">
        <v>2339</v>
      </c>
      <c r="H45" s="84">
        <f>F45*G45</f>
        <v>57843.47</v>
      </c>
      <c r="I45" s="197"/>
      <c r="J45" s="186">
        <v>4</v>
      </c>
      <c r="K45" s="187">
        <v>2000</v>
      </c>
      <c r="L45" s="188">
        <v>500</v>
      </c>
      <c r="M45" s="106">
        <v>5</v>
      </c>
      <c r="N45" s="187">
        <f>G45/W45*60</f>
        <v>2126.363636363636</v>
      </c>
      <c r="O45" s="188">
        <f>N45/M45</f>
        <v>425.2727272727272</v>
      </c>
      <c r="P45" s="93">
        <f>M45-J45</f>
        <v>1</v>
      </c>
      <c r="Q45" s="189">
        <f>O45-L45</f>
        <v>-74.727272727272805</v>
      </c>
      <c r="R45" s="190">
        <f t="shared" si="27"/>
        <v>0.85054545454545438</v>
      </c>
      <c r="S45" s="659"/>
      <c r="T45" s="191">
        <v>0.22083333333333333</v>
      </c>
      <c r="U45" s="191">
        <v>0.26666666666666666</v>
      </c>
      <c r="V45" s="192">
        <v>5</v>
      </c>
      <c r="W45" s="193">
        <f t="shared" si="29"/>
        <v>66</v>
      </c>
      <c r="X45" s="166"/>
      <c r="Y45" s="166"/>
      <c r="Z45" s="167"/>
      <c r="AA45" s="167"/>
      <c r="AB45" s="644"/>
      <c r="AC45" s="644"/>
      <c r="AD45" s="97"/>
      <c r="AE45" s="97"/>
      <c r="AF45" s="194">
        <f t="shared" si="28"/>
        <v>126.36363636363603</v>
      </c>
      <c r="AG45" s="195">
        <f t="shared" si="7"/>
        <v>1.063181818181818</v>
      </c>
      <c r="AH45" s="681"/>
    </row>
    <row r="46" spans="1:34" s="196" customFormat="1" ht="18" customHeight="1">
      <c r="A46" s="679"/>
      <c r="B46" s="176" t="s">
        <v>250</v>
      </c>
      <c r="C46" s="182"/>
      <c r="D46" s="80" t="s">
        <v>127</v>
      </c>
      <c r="E46" s="81"/>
      <c r="F46" s="183">
        <v>22.83</v>
      </c>
      <c r="G46" s="184">
        <v>973</v>
      </c>
      <c r="H46" s="84">
        <f t="shared" ref="H46:H51" si="30">F46*G46</f>
        <v>22213.59</v>
      </c>
      <c r="I46" s="197"/>
      <c r="J46" s="186">
        <v>6</v>
      </c>
      <c r="K46" s="187">
        <v>2000</v>
      </c>
      <c r="L46" s="188">
        <v>333.33333333333331</v>
      </c>
      <c r="M46" s="106">
        <v>7</v>
      </c>
      <c r="N46" s="187">
        <f>G46/W46*60</f>
        <v>1717.058823529414</v>
      </c>
      <c r="O46" s="188">
        <f>N46/M46</f>
        <v>245.29411764705915</v>
      </c>
      <c r="P46" s="93">
        <f>M46-J46</f>
        <v>1</v>
      </c>
      <c r="Q46" s="189">
        <f>O46-L46</f>
        <v>-88.039215686274161</v>
      </c>
      <c r="R46" s="190">
        <f t="shared" si="27"/>
        <v>0.73588235294117754</v>
      </c>
      <c r="S46" s="659"/>
      <c r="T46" s="191">
        <v>0.27013888888888887</v>
      </c>
      <c r="U46" s="191">
        <v>0.29374999999999996</v>
      </c>
      <c r="V46" s="192">
        <v>5</v>
      </c>
      <c r="W46" s="193">
        <f t="shared" si="29"/>
        <v>33.999999999999957</v>
      </c>
      <c r="X46" s="166"/>
      <c r="Y46" s="166"/>
      <c r="Z46" s="167"/>
      <c r="AA46" s="167"/>
      <c r="AB46" s="644"/>
      <c r="AC46" s="644"/>
      <c r="AD46" s="97">
        <v>2</v>
      </c>
      <c r="AE46" s="97">
        <v>1</v>
      </c>
      <c r="AF46" s="194">
        <f t="shared" si="28"/>
        <v>-282.94117647058602</v>
      </c>
      <c r="AG46" s="195">
        <f t="shared" si="7"/>
        <v>0.85852941176470698</v>
      </c>
      <c r="AH46" s="681"/>
    </row>
    <row r="47" spans="1:34" s="196" customFormat="1" ht="18" customHeight="1">
      <c r="A47" s="679"/>
      <c r="B47" s="176" t="s">
        <v>247</v>
      </c>
      <c r="C47" s="182"/>
      <c r="D47" s="198" t="s">
        <v>128</v>
      </c>
      <c r="E47" s="199"/>
      <c r="F47" s="183">
        <v>11.6</v>
      </c>
      <c r="G47" s="187">
        <v>2245</v>
      </c>
      <c r="H47" s="84">
        <f t="shared" si="30"/>
        <v>26042</v>
      </c>
      <c r="I47" s="197"/>
      <c r="J47" s="186">
        <v>6</v>
      </c>
      <c r="K47" s="187">
        <v>1500</v>
      </c>
      <c r="L47" s="188">
        <v>250</v>
      </c>
      <c r="M47" s="200">
        <v>7</v>
      </c>
      <c r="N47" s="187">
        <f t="shared" ref="N47:N50" si="31">G47/W47*60</f>
        <v>1448.3870967741939</v>
      </c>
      <c r="O47" s="188">
        <f t="shared" ref="O47:O50" si="32">N47/M47</f>
        <v>206.91244239631342</v>
      </c>
      <c r="P47" s="93">
        <f t="shared" ref="P47:P50" si="33">M47-J47</f>
        <v>1</v>
      </c>
      <c r="Q47" s="189">
        <f t="shared" ref="Q47:Q50" si="34">O47-L47</f>
        <v>-43.087557603686577</v>
      </c>
      <c r="R47" s="190">
        <f t="shared" si="27"/>
        <v>0.82764976958525371</v>
      </c>
      <c r="S47" s="659"/>
      <c r="T47" s="191">
        <v>0.31111111111111106</v>
      </c>
      <c r="U47" s="191">
        <v>0.37569444444444439</v>
      </c>
      <c r="V47" s="187">
        <v>25</v>
      </c>
      <c r="W47" s="193">
        <f t="shared" si="29"/>
        <v>92.999999999999986</v>
      </c>
      <c r="X47" s="166">
        <v>0.29722222222222222</v>
      </c>
      <c r="Y47" s="166">
        <v>0.30833333333333335</v>
      </c>
      <c r="Z47" s="167"/>
      <c r="AA47" s="167"/>
      <c r="AB47" s="644"/>
      <c r="AC47" s="644"/>
      <c r="AD47" s="97"/>
      <c r="AE47" s="97"/>
      <c r="AF47" s="194">
        <f t="shared" si="28"/>
        <v>-51.612903225806122</v>
      </c>
      <c r="AG47" s="195">
        <f t="shared" si="7"/>
        <v>0.96559139784946257</v>
      </c>
      <c r="AH47" s="681"/>
    </row>
    <row r="48" spans="1:34" s="196" customFormat="1" ht="18" customHeight="1">
      <c r="A48" s="679"/>
      <c r="B48" s="176" t="s">
        <v>251</v>
      </c>
      <c r="C48" s="182"/>
      <c r="D48" s="201" t="s">
        <v>129</v>
      </c>
      <c r="E48" s="199"/>
      <c r="F48" s="183">
        <v>10.09</v>
      </c>
      <c r="G48" s="187">
        <v>3468.72</v>
      </c>
      <c r="H48" s="84">
        <f t="shared" si="30"/>
        <v>34999.3848</v>
      </c>
      <c r="I48" s="197"/>
      <c r="J48" s="186">
        <v>6</v>
      </c>
      <c r="K48" s="187">
        <v>1500</v>
      </c>
      <c r="L48" s="188">
        <v>250</v>
      </c>
      <c r="M48" s="200">
        <v>6</v>
      </c>
      <c r="N48" s="187">
        <f t="shared" si="31"/>
        <v>1435.3324137931029</v>
      </c>
      <c r="O48" s="188">
        <f t="shared" si="32"/>
        <v>239.22206896551714</v>
      </c>
      <c r="P48" s="93">
        <f t="shared" si="33"/>
        <v>0</v>
      </c>
      <c r="Q48" s="189">
        <f t="shared" si="34"/>
        <v>-10.777931034482862</v>
      </c>
      <c r="R48" s="190">
        <f t="shared" si="27"/>
        <v>0.95688827586206859</v>
      </c>
      <c r="S48" s="659"/>
      <c r="T48" s="191">
        <v>0.38124999999999992</v>
      </c>
      <c r="U48" s="191">
        <v>0.4819444444444444</v>
      </c>
      <c r="V48" s="187">
        <v>8</v>
      </c>
      <c r="W48" s="193">
        <f t="shared" si="29"/>
        <v>145.00000000000006</v>
      </c>
      <c r="X48" s="166"/>
      <c r="Y48" s="166"/>
      <c r="Z48" s="167"/>
      <c r="AA48" s="167"/>
      <c r="AB48" s="644"/>
      <c r="AC48" s="644"/>
      <c r="AD48" s="97"/>
      <c r="AE48" s="97"/>
      <c r="AF48" s="194">
        <f t="shared" si="28"/>
        <v>-64.667586206897113</v>
      </c>
      <c r="AG48" s="195">
        <f t="shared" si="7"/>
        <v>0.95688827586206859</v>
      </c>
      <c r="AH48" s="681"/>
    </row>
    <row r="49" spans="1:34" s="196" customFormat="1" ht="18" customHeight="1">
      <c r="A49" s="679"/>
      <c r="B49" s="176" t="s">
        <v>251</v>
      </c>
      <c r="C49" s="182"/>
      <c r="D49" s="201" t="s">
        <v>129</v>
      </c>
      <c r="E49" s="199"/>
      <c r="F49" s="183">
        <v>10.09</v>
      </c>
      <c r="G49" s="187">
        <v>3324.19</v>
      </c>
      <c r="H49" s="84">
        <f t="shared" si="30"/>
        <v>33541.077100000002</v>
      </c>
      <c r="I49" s="197"/>
      <c r="J49" s="186">
        <v>6</v>
      </c>
      <c r="K49" s="187">
        <v>1500</v>
      </c>
      <c r="L49" s="188">
        <v>250</v>
      </c>
      <c r="M49" s="200">
        <v>6</v>
      </c>
      <c r="N49" s="187">
        <f t="shared" si="31"/>
        <v>1445.3000000000002</v>
      </c>
      <c r="O49" s="188">
        <f t="shared" si="32"/>
        <v>240.88333333333335</v>
      </c>
      <c r="P49" s="93">
        <f t="shared" si="33"/>
        <v>0</v>
      </c>
      <c r="Q49" s="189">
        <f t="shared" si="34"/>
        <v>-9.1166666666666458</v>
      </c>
      <c r="R49" s="190">
        <f t="shared" si="27"/>
        <v>0.96353333333333346</v>
      </c>
      <c r="S49" s="659"/>
      <c r="T49" s="202">
        <v>0.52013888888888882</v>
      </c>
      <c r="U49" s="202">
        <v>0.61597222222222214</v>
      </c>
      <c r="V49" s="184">
        <v>8</v>
      </c>
      <c r="W49" s="193">
        <f t="shared" si="29"/>
        <v>138</v>
      </c>
      <c r="X49" s="166"/>
      <c r="Y49" s="166"/>
      <c r="Z49" s="167"/>
      <c r="AA49" s="167"/>
      <c r="AB49" s="644"/>
      <c r="AC49" s="644"/>
      <c r="AD49" s="97"/>
      <c r="AE49" s="97"/>
      <c r="AF49" s="194">
        <f t="shared" si="28"/>
        <v>-54.699999999999818</v>
      </c>
      <c r="AG49" s="195">
        <f t="shared" si="7"/>
        <v>0.96353333333333346</v>
      </c>
      <c r="AH49" s="681"/>
    </row>
    <row r="50" spans="1:34" s="196" customFormat="1" ht="18" customHeight="1">
      <c r="A50" s="679"/>
      <c r="B50" s="176" t="s">
        <v>250</v>
      </c>
      <c r="C50" s="182"/>
      <c r="D50" s="201" t="s">
        <v>130</v>
      </c>
      <c r="E50" s="199"/>
      <c r="F50" s="183">
        <v>21.74</v>
      </c>
      <c r="G50" s="184">
        <v>602</v>
      </c>
      <c r="H50" s="84">
        <f t="shared" si="30"/>
        <v>13087.48</v>
      </c>
      <c r="I50" s="197"/>
      <c r="J50" s="186">
        <v>4</v>
      </c>
      <c r="K50" s="187">
        <v>2000</v>
      </c>
      <c r="L50" s="188">
        <v>500</v>
      </c>
      <c r="M50" s="200">
        <v>5</v>
      </c>
      <c r="N50" s="187">
        <f t="shared" si="31"/>
        <v>2124.7058823529487</v>
      </c>
      <c r="O50" s="188">
        <f t="shared" si="32"/>
        <v>424.94117647058977</v>
      </c>
      <c r="P50" s="93">
        <f t="shared" si="33"/>
        <v>1</v>
      </c>
      <c r="Q50" s="189">
        <f t="shared" si="34"/>
        <v>-75.058823529410233</v>
      </c>
      <c r="R50" s="190">
        <f t="shared" si="27"/>
        <v>0.84988235294117953</v>
      </c>
      <c r="S50" s="659"/>
      <c r="T50" s="202">
        <v>0.61874999999999991</v>
      </c>
      <c r="U50" s="202">
        <v>0.63055555555555542</v>
      </c>
      <c r="V50" s="184">
        <v>4</v>
      </c>
      <c r="W50" s="193">
        <f t="shared" si="29"/>
        <v>16.99999999999994</v>
      </c>
      <c r="X50" s="203"/>
      <c r="Y50" s="203"/>
      <c r="Z50" s="204"/>
      <c r="AA50" s="204"/>
      <c r="AB50" s="644"/>
      <c r="AC50" s="644"/>
      <c r="AD50" s="97"/>
      <c r="AE50" s="97"/>
      <c r="AF50" s="194">
        <f t="shared" si="28"/>
        <v>124.70588235294872</v>
      </c>
      <c r="AG50" s="195">
        <f t="shared" si="7"/>
        <v>1.0623529411764743</v>
      </c>
      <c r="AH50" s="681"/>
    </row>
    <row r="51" spans="1:34" s="196" customFormat="1" ht="18" customHeight="1">
      <c r="A51" s="679"/>
      <c r="B51" s="176">
        <v>0</v>
      </c>
      <c r="C51" s="182"/>
      <c r="D51" s="201"/>
      <c r="E51" s="199"/>
      <c r="F51" s="183" t="s">
        <v>253</v>
      </c>
      <c r="G51" s="184"/>
      <c r="H51" s="84">
        <f t="shared" si="30"/>
        <v>0</v>
      </c>
      <c r="I51" s="197"/>
      <c r="J51" s="186"/>
      <c r="K51" s="187"/>
      <c r="L51" s="188"/>
      <c r="M51" s="200"/>
      <c r="N51" s="187"/>
      <c r="O51" s="188"/>
      <c r="P51" s="93"/>
      <c r="Q51" s="189"/>
      <c r="R51" s="190"/>
      <c r="S51" s="659"/>
      <c r="T51" s="202"/>
      <c r="U51" s="202"/>
      <c r="V51" s="184"/>
      <c r="W51" s="193"/>
      <c r="X51" s="203"/>
      <c r="Y51" s="203"/>
      <c r="Z51" s="204"/>
      <c r="AA51" s="204"/>
      <c r="AB51" s="644"/>
      <c r="AC51" s="644"/>
      <c r="AD51" s="97"/>
      <c r="AE51" s="97"/>
      <c r="AF51" s="194">
        <f t="shared" si="28"/>
        <v>0</v>
      </c>
      <c r="AG51" s="195" t="e">
        <f t="shared" si="7"/>
        <v>#DIV/0!</v>
      </c>
      <c r="AH51" s="681"/>
    </row>
    <row r="52" spans="1:34" s="196" customFormat="1" ht="18" customHeight="1">
      <c r="A52" s="679"/>
      <c r="B52" s="176">
        <v>0</v>
      </c>
      <c r="C52" s="182"/>
      <c r="D52" s="201"/>
      <c r="E52" s="199"/>
      <c r="F52" s="183" t="s">
        <v>253</v>
      </c>
      <c r="G52" s="184"/>
      <c r="H52" s="205">
        <f>F52*G52</f>
        <v>0</v>
      </c>
      <c r="I52" s="197"/>
      <c r="J52" s="200"/>
      <c r="K52" s="184"/>
      <c r="L52" s="206"/>
      <c r="M52" s="200"/>
      <c r="N52" s="184"/>
      <c r="O52" s="206"/>
      <c r="P52" s="96"/>
      <c r="Q52" s="132"/>
      <c r="R52" s="133"/>
      <c r="S52" s="659"/>
      <c r="T52" s="202"/>
      <c r="U52" s="202"/>
      <c r="V52" s="184"/>
      <c r="W52" s="193">
        <f t="shared" si="29"/>
        <v>0</v>
      </c>
      <c r="X52" s="203"/>
      <c r="Y52" s="203"/>
      <c r="Z52" s="204"/>
      <c r="AA52" s="204"/>
      <c r="AB52" s="644"/>
      <c r="AC52" s="644"/>
      <c r="AD52" s="97"/>
      <c r="AE52" s="97"/>
      <c r="AF52" s="194">
        <f t="shared" si="28"/>
        <v>0</v>
      </c>
      <c r="AG52" s="195" t="e">
        <f t="shared" si="7"/>
        <v>#DIV/0!</v>
      </c>
      <c r="AH52" s="681"/>
    </row>
    <row r="53" spans="1:34" s="196" customFormat="1" ht="18" customHeight="1">
      <c r="A53" s="679"/>
      <c r="B53" s="207">
        <v>0</v>
      </c>
      <c r="C53" s="182"/>
      <c r="D53" s="201"/>
      <c r="E53" s="199"/>
      <c r="F53" s="183" t="s">
        <v>253</v>
      </c>
      <c r="G53" s="184"/>
      <c r="H53" s="205">
        <f>F53*G53</f>
        <v>0</v>
      </c>
      <c r="I53" s="197"/>
      <c r="J53" s="200"/>
      <c r="K53" s="184"/>
      <c r="L53" s="206"/>
      <c r="M53" s="200"/>
      <c r="N53" s="184"/>
      <c r="O53" s="206"/>
      <c r="P53" s="96"/>
      <c r="Q53" s="132"/>
      <c r="R53" s="133"/>
      <c r="S53" s="659"/>
      <c r="T53" s="202"/>
      <c r="U53" s="202"/>
      <c r="V53" s="184"/>
      <c r="W53" s="193">
        <f t="shared" si="29"/>
        <v>0</v>
      </c>
      <c r="X53" s="203"/>
      <c r="Y53" s="203"/>
      <c r="Z53" s="204"/>
      <c r="AA53" s="204"/>
      <c r="AB53" s="644"/>
      <c r="AC53" s="644"/>
      <c r="AD53" s="97"/>
      <c r="AE53" s="97"/>
      <c r="AF53" s="194"/>
      <c r="AG53" s="195"/>
      <c r="AH53" s="681"/>
    </row>
    <row r="54" spans="1:34" s="196" customFormat="1" ht="18" customHeight="1">
      <c r="A54" s="679"/>
      <c r="B54" s="207">
        <v>0</v>
      </c>
      <c r="C54" s="182"/>
      <c r="D54" s="201"/>
      <c r="E54" s="199"/>
      <c r="F54" s="208" t="s">
        <v>253</v>
      </c>
      <c r="G54" s="184"/>
      <c r="H54" s="205">
        <f>F54*G54</f>
        <v>0</v>
      </c>
      <c r="I54" s="197"/>
      <c r="J54" s="200"/>
      <c r="K54" s="184"/>
      <c r="L54" s="206"/>
      <c r="M54" s="200"/>
      <c r="N54" s="184"/>
      <c r="O54" s="206"/>
      <c r="P54" s="96"/>
      <c r="Q54" s="132"/>
      <c r="R54" s="133"/>
      <c r="S54" s="659"/>
      <c r="T54" s="202"/>
      <c r="U54" s="202"/>
      <c r="V54" s="184"/>
      <c r="W54" s="193">
        <f t="shared" si="29"/>
        <v>0</v>
      </c>
      <c r="X54" s="203"/>
      <c r="Y54" s="203"/>
      <c r="Z54" s="204"/>
      <c r="AA54" s="204"/>
      <c r="AB54" s="644"/>
      <c r="AC54" s="644"/>
      <c r="AD54" s="97"/>
      <c r="AE54" s="97"/>
      <c r="AF54" s="194"/>
      <c r="AG54" s="195"/>
      <c r="AH54" s="681"/>
    </row>
    <row r="55" spans="1:34" s="196" customFormat="1" ht="18" customHeight="1">
      <c r="A55" s="679"/>
      <c r="B55" s="207">
        <v>0</v>
      </c>
      <c r="C55" s="182"/>
      <c r="D55" s="201"/>
      <c r="E55" s="199"/>
      <c r="F55" s="208" t="s">
        <v>253</v>
      </c>
      <c r="G55" s="184"/>
      <c r="H55" s="205">
        <f>F55*G55</f>
        <v>0</v>
      </c>
      <c r="I55" s="197"/>
      <c r="J55" s="200"/>
      <c r="K55" s="184"/>
      <c r="L55" s="206"/>
      <c r="M55" s="200"/>
      <c r="N55" s="184"/>
      <c r="O55" s="206"/>
      <c r="P55" s="96"/>
      <c r="Q55" s="132"/>
      <c r="R55" s="133"/>
      <c r="S55" s="659"/>
      <c r="T55" s="202"/>
      <c r="U55" s="202"/>
      <c r="V55" s="184"/>
      <c r="W55" s="193">
        <f t="shared" si="29"/>
        <v>0</v>
      </c>
      <c r="X55" s="203"/>
      <c r="Y55" s="203"/>
      <c r="Z55" s="204"/>
      <c r="AA55" s="204"/>
      <c r="AB55" s="644"/>
      <c r="AC55" s="644"/>
      <c r="AD55" s="97"/>
      <c r="AE55" s="97"/>
      <c r="AF55" s="194"/>
      <c r="AG55" s="195"/>
      <c r="AH55" s="681"/>
    </row>
    <row r="56" spans="1:34" ht="18" customHeight="1">
      <c r="A56" s="680"/>
      <c r="B56" s="209">
        <v>0</v>
      </c>
      <c r="C56" s="138" t="s">
        <v>16</v>
      </c>
      <c r="D56" s="630" t="s">
        <v>220</v>
      </c>
      <c r="E56" s="630"/>
      <c r="F56" s="139"/>
      <c r="G56" s="140"/>
      <c r="H56" s="141"/>
      <c r="I56" s="142"/>
      <c r="J56" s="140">
        <v>5.1428571428571432</v>
      </c>
      <c r="K56" s="140">
        <v>1785.7142857142858</v>
      </c>
      <c r="L56" s="143">
        <v>369.04761904761898</v>
      </c>
      <c r="M56" s="140">
        <f t="shared" ref="M56:O56" si="35">AVERAGE(M44:M55)</f>
        <v>5.8571428571428568</v>
      </c>
      <c r="N56" s="140">
        <f t="shared" si="35"/>
        <v>1776.5397128285138</v>
      </c>
      <c r="O56" s="143">
        <f t="shared" si="35"/>
        <v>315.75027049754289</v>
      </c>
      <c r="P56" s="210">
        <f>M56-J56</f>
        <v>0.71428571428571352</v>
      </c>
      <c r="Q56" s="159">
        <f>N56-K56</f>
        <v>-9.1745728857720223</v>
      </c>
      <c r="R56" s="211">
        <f t="shared" ref="R56:R61" si="36">O56/L56</f>
        <v>0.85558137812237445</v>
      </c>
      <c r="S56" s="659"/>
      <c r="T56" s="212"/>
      <c r="U56" s="212"/>
      <c r="V56" s="213"/>
      <c r="W56" s="193">
        <f t="shared" si="29"/>
        <v>0</v>
      </c>
      <c r="X56" s="214"/>
      <c r="Y56" s="214"/>
      <c r="Z56" s="145">
        <f>SUM(Z44:Z55)</f>
        <v>0</v>
      </c>
      <c r="AA56" s="145">
        <f>SUM(AA44:AA55)</f>
        <v>0</v>
      </c>
      <c r="AB56" s="644"/>
      <c r="AC56" s="644"/>
      <c r="AD56" s="146">
        <f>SUM(AD44:AD55)</f>
        <v>2</v>
      </c>
      <c r="AE56" s="146">
        <f>SUM(AE44:AE55)</f>
        <v>1</v>
      </c>
      <c r="AF56" s="215">
        <f>N56-K56</f>
        <v>-9.1745728857720223</v>
      </c>
      <c r="AG56" s="133">
        <f>N56/K56</f>
        <v>0.99486223918396766</v>
      </c>
      <c r="AH56" s="681"/>
    </row>
    <row r="57" spans="1:34" ht="18" customHeight="1">
      <c r="A57" s="676" t="s">
        <v>225</v>
      </c>
      <c r="B57" s="176" t="s">
        <v>247</v>
      </c>
      <c r="C57" s="216"/>
      <c r="D57" s="217" t="s">
        <v>131</v>
      </c>
      <c r="E57" s="149"/>
      <c r="F57" s="82">
        <v>28.26</v>
      </c>
      <c r="G57" s="184">
        <v>1715</v>
      </c>
      <c r="H57" s="129">
        <f t="shared" ref="H57:H66" si="37">F57*G57</f>
        <v>48465.9</v>
      </c>
      <c r="I57" s="97"/>
      <c r="J57" s="130">
        <v>6</v>
      </c>
      <c r="K57" s="100">
        <v>1500</v>
      </c>
      <c r="L57" s="131">
        <v>250</v>
      </c>
      <c r="M57" s="137">
        <v>6</v>
      </c>
      <c r="N57" s="100">
        <f t="shared" ref="N57:N61" si="38">G57/W57*60</f>
        <v>1336.3636363636365</v>
      </c>
      <c r="O57" s="131">
        <f t="shared" ref="O57:O61" si="39">N57/M57</f>
        <v>222.72727272727275</v>
      </c>
      <c r="P57" s="218">
        <f t="shared" ref="P57:P61" si="40">M57-J57</f>
        <v>0</v>
      </c>
      <c r="Q57" s="90">
        <f t="shared" ref="Q57:Q61" si="41">O57-L57</f>
        <v>-27.272727272727252</v>
      </c>
      <c r="R57" s="91">
        <f t="shared" si="36"/>
        <v>0.89090909090909098</v>
      </c>
      <c r="S57" s="659">
        <f>R69</f>
        <v>0.95984495840030992</v>
      </c>
      <c r="T57" s="191">
        <v>0.16666666666666666</v>
      </c>
      <c r="U57" s="191">
        <v>0.22013888888888888</v>
      </c>
      <c r="V57" s="65">
        <v>5</v>
      </c>
      <c r="W57" s="85">
        <f>(U57-T57)*24*60</f>
        <v>77</v>
      </c>
      <c r="X57" s="95"/>
      <c r="Y57" s="95"/>
      <c r="Z57" s="96"/>
      <c r="AA57" s="96"/>
      <c r="AB57" s="644"/>
      <c r="AC57" s="644"/>
      <c r="AD57" s="97"/>
      <c r="AE57" s="97"/>
      <c r="AF57" s="89">
        <f t="shared" si="6"/>
        <v>-163.63636363636351</v>
      </c>
      <c r="AG57" s="160">
        <f t="shared" si="7"/>
        <v>0.89090909090909098</v>
      </c>
      <c r="AH57" s="661">
        <f>AG69</f>
        <v>0.95984495840030981</v>
      </c>
    </row>
    <row r="58" spans="1:34" ht="18" customHeight="1">
      <c r="A58" s="677"/>
      <c r="B58" s="176" t="s">
        <v>247</v>
      </c>
      <c r="C58" s="219"/>
      <c r="D58" s="80" t="s">
        <v>132</v>
      </c>
      <c r="E58" s="81"/>
      <c r="F58" s="82">
        <v>27.88</v>
      </c>
      <c r="G58" s="184">
        <v>2527</v>
      </c>
      <c r="H58" s="84">
        <f t="shared" si="37"/>
        <v>70452.759999999995</v>
      </c>
      <c r="I58" s="65"/>
      <c r="J58" s="86">
        <v>6</v>
      </c>
      <c r="K58" s="83">
        <v>1500</v>
      </c>
      <c r="L58" s="131">
        <v>250</v>
      </c>
      <c r="M58" s="88">
        <v>6</v>
      </c>
      <c r="N58" s="83">
        <f t="shared" si="38"/>
        <v>1486.4705882352941</v>
      </c>
      <c r="O58" s="87">
        <f t="shared" si="39"/>
        <v>247.74509803921569</v>
      </c>
      <c r="P58" s="218">
        <f t="shared" si="40"/>
        <v>0</v>
      </c>
      <c r="Q58" s="90">
        <f t="shared" si="41"/>
        <v>-2.2549019607843093</v>
      </c>
      <c r="R58" s="91">
        <f t="shared" si="36"/>
        <v>0.99098039215686273</v>
      </c>
      <c r="S58" s="659"/>
      <c r="T58" s="220">
        <v>0.22569444444444445</v>
      </c>
      <c r="U58" s="220">
        <v>0.29652777777777778</v>
      </c>
      <c r="V58" s="65">
        <v>8</v>
      </c>
      <c r="W58" s="85">
        <f>(U58-T58)*24*60</f>
        <v>102</v>
      </c>
      <c r="X58" s="95"/>
      <c r="Y58" s="95"/>
      <c r="Z58" s="96"/>
      <c r="AA58" s="96"/>
      <c r="AB58" s="641"/>
      <c r="AC58" s="642"/>
      <c r="AD58" s="97"/>
      <c r="AE58" s="97"/>
      <c r="AF58" s="89">
        <f t="shared" si="6"/>
        <v>-13.529411764705856</v>
      </c>
      <c r="AG58" s="91">
        <f t="shared" si="7"/>
        <v>0.99098039215686273</v>
      </c>
      <c r="AH58" s="659"/>
    </row>
    <row r="59" spans="1:34" ht="18" customHeight="1">
      <c r="A59" s="677"/>
      <c r="B59" s="176" t="s">
        <v>247</v>
      </c>
      <c r="C59" s="219"/>
      <c r="D59" s="80" t="s">
        <v>133</v>
      </c>
      <c r="E59" s="81"/>
      <c r="F59" s="82">
        <v>28</v>
      </c>
      <c r="G59" s="184">
        <v>2793</v>
      </c>
      <c r="H59" s="84">
        <f t="shared" si="37"/>
        <v>78204</v>
      </c>
      <c r="I59" s="65"/>
      <c r="J59" s="86">
        <v>6</v>
      </c>
      <c r="K59" s="83">
        <v>1500</v>
      </c>
      <c r="L59" s="131">
        <v>250</v>
      </c>
      <c r="M59" s="88">
        <v>6</v>
      </c>
      <c r="N59" s="83">
        <f t="shared" si="38"/>
        <v>1457.217391304348</v>
      </c>
      <c r="O59" s="87">
        <f t="shared" si="39"/>
        <v>242.86956521739134</v>
      </c>
      <c r="P59" s="218">
        <f t="shared" si="40"/>
        <v>0</v>
      </c>
      <c r="Q59" s="90">
        <f t="shared" si="41"/>
        <v>-7.1304347826086598</v>
      </c>
      <c r="R59" s="91">
        <f t="shared" si="36"/>
        <v>0.97147826086956535</v>
      </c>
      <c r="S59" s="659"/>
      <c r="T59" s="220">
        <v>0.3125</v>
      </c>
      <c r="U59" s="220">
        <v>0.3923611111111111</v>
      </c>
      <c r="V59" s="192">
        <v>23</v>
      </c>
      <c r="W59" s="85">
        <f>(U59-T59)*24*60</f>
        <v>114.99999999999999</v>
      </c>
      <c r="X59" s="95">
        <v>0.3</v>
      </c>
      <c r="Y59" s="95">
        <v>0.30972222222222223</v>
      </c>
      <c r="Z59" s="96"/>
      <c r="AA59" s="96"/>
      <c r="AB59" s="644"/>
      <c r="AC59" s="644"/>
      <c r="AD59" s="97"/>
      <c r="AE59" s="97"/>
      <c r="AF59" s="89">
        <f t="shared" si="6"/>
        <v>-42.782608695652016</v>
      </c>
      <c r="AG59" s="91">
        <f t="shared" si="7"/>
        <v>0.97147826086956535</v>
      </c>
      <c r="AH59" s="659"/>
    </row>
    <row r="60" spans="1:34" ht="18" customHeight="1">
      <c r="A60" s="677"/>
      <c r="B60" s="176" t="s">
        <v>251</v>
      </c>
      <c r="C60" s="219"/>
      <c r="D60" s="80" t="s">
        <v>129</v>
      </c>
      <c r="E60" s="81"/>
      <c r="F60" s="82">
        <v>10.09</v>
      </c>
      <c r="G60" s="184">
        <v>4046.8400000000006</v>
      </c>
      <c r="H60" s="84">
        <f t="shared" si="37"/>
        <v>40832.615600000005</v>
      </c>
      <c r="I60" s="65"/>
      <c r="J60" s="221">
        <v>6</v>
      </c>
      <c r="K60" s="104">
        <v>1500</v>
      </c>
      <c r="L60" s="131">
        <v>250</v>
      </c>
      <c r="M60" s="106">
        <v>6</v>
      </c>
      <c r="N60" s="83">
        <f t="shared" si="38"/>
        <v>1453.9544910179638</v>
      </c>
      <c r="O60" s="87">
        <f t="shared" si="39"/>
        <v>242.32574850299397</v>
      </c>
      <c r="P60" s="218">
        <f t="shared" si="40"/>
        <v>0</v>
      </c>
      <c r="Q60" s="90">
        <f t="shared" si="41"/>
        <v>-7.6742514970060256</v>
      </c>
      <c r="R60" s="91">
        <f t="shared" si="36"/>
        <v>0.96930299401197595</v>
      </c>
      <c r="S60" s="659"/>
      <c r="T60" s="220">
        <v>0.40763888888888888</v>
      </c>
      <c r="U60" s="220">
        <v>0.52361111111111114</v>
      </c>
      <c r="V60" s="192">
        <v>22</v>
      </c>
      <c r="W60" s="85">
        <f>(U60-T60)*24*60</f>
        <v>167.00000000000006</v>
      </c>
      <c r="X60" s="95">
        <v>0.39583333333333331</v>
      </c>
      <c r="Y60" s="95">
        <v>0.40486111111111112</v>
      </c>
      <c r="Z60" s="96"/>
      <c r="AA60" s="96"/>
      <c r="AB60" s="644"/>
      <c r="AC60" s="644"/>
      <c r="AD60" s="97"/>
      <c r="AE60" s="97"/>
      <c r="AF60" s="89">
        <f t="shared" si="6"/>
        <v>-46.045508982036154</v>
      </c>
      <c r="AG60" s="160">
        <f t="shared" si="7"/>
        <v>0.96930299401197595</v>
      </c>
      <c r="AH60" s="659"/>
    </row>
    <row r="61" spans="1:34" ht="18" customHeight="1">
      <c r="A61" s="677"/>
      <c r="B61" s="176" t="s">
        <v>251</v>
      </c>
      <c r="C61" s="219"/>
      <c r="D61" s="80" t="s">
        <v>129</v>
      </c>
      <c r="E61" s="81"/>
      <c r="F61" s="82">
        <v>10.09</v>
      </c>
      <c r="G61" s="184">
        <v>3613.25</v>
      </c>
      <c r="H61" s="84">
        <f t="shared" si="37"/>
        <v>36457.692499999997</v>
      </c>
      <c r="I61" s="65"/>
      <c r="J61" s="86">
        <v>6</v>
      </c>
      <c r="K61" s="83">
        <v>1500</v>
      </c>
      <c r="L61" s="131">
        <v>250</v>
      </c>
      <c r="M61" s="106">
        <v>6</v>
      </c>
      <c r="N61" s="83">
        <f t="shared" si="38"/>
        <v>1464.8310810810817</v>
      </c>
      <c r="O61" s="87">
        <f t="shared" si="39"/>
        <v>244.13851351351363</v>
      </c>
      <c r="P61" s="218">
        <f t="shared" si="40"/>
        <v>0</v>
      </c>
      <c r="Q61" s="90">
        <f t="shared" si="41"/>
        <v>-5.8614864864863705</v>
      </c>
      <c r="R61" s="91">
        <f t="shared" si="36"/>
        <v>0.97655405405405449</v>
      </c>
      <c r="S61" s="659"/>
      <c r="T61" s="220">
        <v>0.56388888888888888</v>
      </c>
      <c r="U61" s="220">
        <v>0.66666666666666663</v>
      </c>
      <c r="V61" s="192">
        <v>5</v>
      </c>
      <c r="W61" s="85">
        <f>(U61-T61)*24*60</f>
        <v>147.99999999999994</v>
      </c>
      <c r="X61" s="95"/>
      <c r="Y61" s="95"/>
      <c r="Z61" s="96"/>
      <c r="AA61" s="96"/>
      <c r="AB61" s="644"/>
      <c r="AC61" s="644"/>
      <c r="AD61" s="97"/>
      <c r="AE61" s="97"/>
      <c r="AF61" s="89">
        <f t="shared" si="6"/>
        <v>-35.16891891891828</v>
      </c>
      <c r="AG61" s="160">
        <f t="shared" si="7"/>
        <v>0.97655405405405449</v>
      </c>
      <c r="AH61" s="659"/>
    </row>
    <row r="62" spans="1:34" ht="18" customHeight="1">
      <c r="A62" s="677"/>
      <c r="B62" s="176">
        <v>0</v>
      </c>
      <c r="C62" s="219"/>
      <c r="D62" s="80"/>
      <c r="E62" s="81"/>
      <c r="F62" s="82" t="s">
        <v>253</v>
      </c>
      <c r="G62" s="184"/>
      <c r="H62" s="84">
        <f t="shared" si="37"/>
        <v>0</v>
      </c>
      <c r="I62" s="65"/>
      <c r="J62" s="221"/>
      <c r="K62" s="104"/>
      <c r="L62" s="131"/>
      <c r="M62" s="106"/>
      <c r="N62" s="83"/>
      <c r="O62" s="87"/>
      <c r="P62" s="218"/>
      <c r="Q62" s="90"/>
      <c r="R62" s="91"/>
      <c r="S62" s="659"/>
      <c r="T62" s="220"/>
      <c r="U62" s="220"/>
      <c r="V62" s="192"/>
      <c r="W62" s="85"/>
      <c r="X62" s="95"/>
      <c r="Y62" s="95"/>
      <c r="Z62" s="96"/>
      <c r="AA62" s="96"/>
      <c r="AB62" s="644"/>
      <c r="AC62" s="644"/>
      <c r="AD62" s="97"/>
      <c r="AE62" s="97"/>
      <c r="AF62" s="89">
        <f t="shared" si="6"/>
        <v>0</v>
      </c>
      <c r="AG62" s="160" t="e">
        <f t="shared" si="7"/>
        <v>#DIV/0!</v>
      </c>
      <c r="AH62" s="659"/>
    </row>
    <row r="63" spans="1:34" ht="18" customHeight="1">
      <c r="A63" s="677"/>
      <c r="B63" s="176">
        <v>0</v>
      </c>
      <c r="C63" s="219"/>
      <c r="D63" s="80"/>
      <c r="E63" s="81"/>
      <c r="F63" s="82" t="s">
        <v>253</v>
      </c>
      <c r="G63" s="184"/>
      <c r="H63" s="84">
        <f t="shared" si="37"/>
        <v>0</v>
      </c>
      <c r="I63" s="65"/>
      <c r="J63" s="86"/>
      <c r="K63" s="83"/>
      <c r="L63" s="131"/>
      <c r="M63" s="106"/>
      <c r="N63" s="83"/>
      <c r="O63" s="87"/>
      <c r="P63" s="218"/>
      <c r="Q63" s="90"/>
      <c r="R63" s="91"/>
      <c r="S63" s="659"/>
      <c r="T63" s="220"/>
      <c r="U63" s="220"/>
      <c r="V63" s="192"/>
      <c r="W63" s="85"/>
      <c r="X63" s="95"/>
      <c r="Y63" s="95"/>
      <c r="Z63" s="96"/>
      <c r="AA63" s="96"/>
      <c r="AB63" s="644"/>
      <c r="AC63" s="644"/>
      <c r="AD63" s="97"/>
      <c r="AE63" s="97"/>
      <c r="AF63" s="89">
        <f t="shared" si="6"/>
        <v>0</v>
      </c>
      <c r="AG63" s="160" t="e">
        <f t="shared" si="7"/>
        <v>#DIV/0!</v>
      </c>
      <c r="AH63" s="659"/>
    </row>
    <row r="64" spans="1:34" ht="18" customHeight="1">
      <c r="A64" s="677"/>
      <c r="B64" s="176">
        <v>0</v>
      </c>
      <c r="C64" s="219"/>
      <c r="D64" s="80"/>
      <c r="E64" s="81"/>
      <c r="F64" s="82" t="s">
        <v>253</v>
      </c>
      <c r="G64" s="184"/>
      <c r="H64" s="84">
        <f t="shared" si="37"/>
        <v>0</v>
      </c>
      <c r="I64" s="65"/>
      <c r="J64" s="221"/>
      <c r="K64" s="104"/>
      <c r="L64" s="131"/>
      <c r="M64" s="106"/>
      <c r="N64" s="83"/>
      <c r="O64" s="87"/>
      <c r="P64" s="218"/>
      <c r="Q64" s="90"/>
      <c r="R64" s="91"/>
      <c r="S64" s="659"/>
      <c r="T64" s="220"/>
      <c r="U64" s="220"/>
      <c r="V64" s="192"/>
      <c r="W64" s="85"/>
      <c r="X64" s="65"/>
      <c r="Y64" s="65"/>
      <c r="Z64" s="96"/>
      <c r="AA64" s="96"/>
      <c r="AB64" s="644"/>
      <c r="AC64" s="644"/>
      <c r="AD64" s="97"/>
      <c r="AE64" s="97"/>
      <c r="AF64" s="89">
        <f t="shared" si="6"/>
        <v>0</v>
      </c>
      <c r="AG64" s="160" t="e">
        <f t="shared" si="7"/>
        <v>#DIV/0!</v>
      </c>
      <c r="AH64" s="659"/>
    </row>
    <row r="65" spans="1:34" ht="18" customHeight="1">
      <c r="A65" s="677"/>
      <c r="B65" s="176">
        <v>0</v>
      </c>
      <c r="C65" s="219"/>
      <c r="D65" s="80"/>
      <c r="E65" s="81"/>
      <c r="F65" s="82" t="s">
        <v>253</v>
      </c>
      <c r="G65" s="184"/>
      <c r="H65" s="84">
        <f t="shared" si="37"/>
        <v>0</v>
      </c>
      <c r="I65" s="65"/>
      <c r="J65" s="221"/>
      <c r="K65" s="104"/>
      <c r="L65" s="131"/>
      <c r="M65" s="106"/>
      <c r="N65" s="104"/>
      <c r="O65" s="122"/>
      <c r="P65" s="89"/>
      <c r="Q65" s="90"/>
      <c r="R65" s="91"/>
      <c r="S65" s="659"/>
      <c r="T65" s="220"/>
      <c r="U65" s="220"/>
      <c r="V65" s="192"/>
      <c r="W65" s="85">
        <f t="shared" ref="W65:W69" si="42">(U65-T65)*24*60</f>
        <v>0</v>
      </c>
      <c r="X65" s="65"/>
      <c r="Y65" s="65"/>
      <c r="Z65" s="96"/>
      <c r="AA65" s="96"/>
      <c r="AB65" s="644"/>
      <c r="AC65" s="644"/>
      <c r="AD65" s="97"/>
      <c r="AE65" s="97"/>
      <c r="AF65" s="89">
        <f t="shared" si="6"/>
        <v>0</v>
      </c>
      <c r="AG65" s="160" t="e">
        <f t="shared" si="7"/>
        <v>#DIV/0!</v>
      </c>
      <c r="AH65" s="659"/>
    </row>
    <row r="66" spans="1:34" ht="18" customHeight="1">
      <c r="A66" s="677"/>
      <c r="B66" s="176">
        <v>0</v>
      </c>
      <c r="C66" s="219"/>
      <c r="D66" s="80"/>
      <c r="E66" s="81"/>
      <c r="F66" s="82" t="s">
        <v>253</v>
      </c>
      <c r="G66" s="184"/>
      <c r="H66" s="84">
        <f t="shared" si="37"/>
        <v>0</v>
      </c>
      <c r="I66" s="65"/>
      <c r="J66" s="221"/>
      <c r="K66" s="104"/>
      <c r="L66" s="131"/>
      <c r="M66" s="106"/>
      <c r="N66" s="104"/>
      <c r="O66" s="122"/>
      <c r="P66" s="89"/>
      <c r="Q66" s="90"/>
      <c r="R66" s="91"/>
      <c r="S66" s="659"/>
      <c r="T66" s="220"/>
      <c r="U66" s="220"/>
      <c r="V66" s="192"/>
      <c r="W66" s="85">
        <f t="shared" si="42"/>
        <v>0</v>
      </c>
      <c r="X66" s="65"/>
      <c r="Y66" s="65"/>
      <c r="Z66" s="96"/>
      <c r="AA66" s="96"/>
      <c r="AB66" s="644"/>
      <c r="AC66" s="644"/>
      <c r="AD66" s="97"/>
      <c r="AE66" s="97"/>
      <c r="AF66" s="89">
        <f t="shared" si="6"/>
        <v>0</v>
      </c>
      <c r="AG66" s="160" t="e">
        <f t="shared" si="7"/>
        <v>#DIV/0!</v>
      </c>
      <c r="AH66" s="659"/>
    </row>
    <row r="67" spans="1:34" ht="18" customHeight="1">
      <c r="A67" s="677"/>
      <c r="B67" s="176">
        <v>0</v>
      </c>
      <c r="C67" s="219"/>
      <c r="D67" s="80"/>
      <c r="E67" s="81"/>
      <c r="F67" s="82" t="s">
        <v>253</v>
      </c>
      <c r="G67" s="184"/>
      <c r="H67" s="84">
        <f>F67*G67</f>
        <v>0</v>
      </c>
      <c r="I67" s="65"/>
      <c r="J67" s="221"/>
      <c r="K67" s="104"/>
      <c r="L67" s="131"/>
      <c r="M67" s="106"/>
      <c r="N67" s="104"/>
      <c r="O67" s="122"/>
      <c r="P67" s="89"/>
      <c r="Q67" s="90"/>
      <c r="R67" s="91"/>
      <c r="S67" s="659"/>
      <c r="T67" s="220"/>
      <c r="U67" s="220"/>
      <c r="V67" s="192"/>
      <c r="W67" s="85">
        <f t="shared" si="42"/>
        <v>0</v>
      </c>
      <c r="X67" s="65"/>
      <c r="Y67" s="65"/>
      <c r="Z67" s="96"/>
      <c r="AA67" s="96"/>
      <c r="AB67" s="644"/>
      <c r="AC67" s="644"/>
      <c r="AD67" s="97"/>
      <c r="AE67" s="97"/>
      <c r="AF67" s="89">
        <f t="shared" si="6"/>
        <v>0</v>
      </c>
      <c r="AG67" s="160" t="e">
        <f t="shared" si="7"/>
        <v>#DIV/0!</v>
      </c>
      <c r="AH67" s="659"/>
    </row>
    <row r="68" spans="1:34" ht="18" customHeight="1">
      <c r="A68" s="677"/>
      <c r="B68" s="65">
        <v>0</v>
      </c>
      <c r="C68" s="219"/>
      <c r="D68" s="80"/>
      <c r="E68" s="81"/>
      <c r="F68" s="183" t="s">
        <v>253</v>
      </c>
      <c r="G68" s="184"/>
      <c r="H68" s="84">
        <f>F68*G68</f>
        <v>0</v>
      </c>
      <c r="I68" s="65"/>
      <c r="J68" s="221"/>
      <c r="K68" s="104"/>
      <c r="L68" s="131"/>
      <c r="M68" s="106"/>
      <c r="N68" s="104"/>
      <c r="O68" s="122"/>
      <c r="P68" s="89"/>
      <c r="Q68" s="90"/>
      <c r="R68" s="91"/>
      <c r="S68" s="659"/>
      <c r="T68" s="220"/>
      <c r="U68" s="220"/>
      <c r="V68" s="192"/>
      <c r="W68" s="85">
        <f t="shared" si="42"/>
        <v>0</v>
      </c>
      <c r="X68" s="65"/>
      <c r="Y68" s="65"/>
      <c r="Z68" s="96"/>
      <c r="AA68" s="96"/>
      <c r="AB68" s="644"/>
      <c r="AC68" s="644"/>
      <c r="AD68" s="97"/>
      <c r="AE68" s="97"/>
      <c r="AF68" s="89"/>
      <c r="AG68" s="91"/>
      <c r="AH68" s="659"/>
    </row>
    <row r="69" spans="1:34" ht="18" customHeight="1">
      <c r="A69" s="677"/>
      <c r="B69" s="222">
        <v>0</v>
      </c>
      <c r="C69" s="12" t="s">
        <v>226</v>
      </c>
      <c r="D69" s="630" t="s">
        <v>220</v>
      </c>
      <c r="E69" s="630"/>
      <c r="F69" s="223"/>
      <c r="G69" s="224"/>
      <c r="H69" s="225"/>
      <c r="I69" s="226"/>
      <c r="J69" s="114">
        <v>6</v>
      </c>
      <c r="K69" s="114">
        <v>1500</v>
      </c>
      <c r="L69" s="117">
        <v>250</v>
      </c>
      <c r="M69" s="114">
        <f t="shared" ref="M69:O69" si="43">AVERAGE(M57:M68)</f>
        <v>6</v>
      </c>
      <c r="N69" s="114">
        <f t="shared" si="43"/>
        <v>1439.7674376004647</v>
      </c>
      <c r="O69" s="117">
        <f t="shared" si="43"/>
        <v>239.96123960007748</v>
      </c>
      <c r="P69" s="89">
        <f>M69-J69</f>
        <v>0</v>
      </c>
      <c r="Q69" s="90">
        <f>N69-K69</f>
        <v>-60.232562399535254</v>
      </c>
      <c r="R69" s="227">
        <f t="shared" ref="R69:R70" si="44">O69/L69</f>
        <v>0.95984495840030992</v>
      </c>
      <c r="S69" s="659"/>
      <c r="T69" s="191"/>
      <c r="U69" s="191"/>
      <c r="V69" s="83"/>
      <c r="W69" s="85">
        <f t="shared" si="42"/>
        <v>0</v>
      </c>
      <c r="X69" s="87"/>
      <c r="Y69" s="87"/>
      <c r="Z69" s="145">
        <f>SUM(Z57:Z68)</f>
        <v>0</v>
      </c>
      <c r="AA69" s="145">
        <f>SUM(AA57:AA68)</f>
        <v>0</v>
      </c>
      <c r="AB69" s="644"/>
      <c r="AC69" s="644"/>
      <c r="AD69" s="146">
        <f>SUM(AD57:AD68)</f>
        <v>0</v>
      </c>
      <c r="AE69" s="146">
        <f>SUM(AE57:AE68)</f>
        <v>0</v>
      </c>
      <c r="AF69" s="89">
        <f t="shared" si="6"/>
        <v>-60.232562399535254</v>
      </c>
      <c r="AG69" s="91">
        <f t="shared" si="7"/>
        <v>0.95984495840030981</v>
      </c>
      <c r="AH69" s="659"/>
    </row>
    <row r="70" spans="1:34" ht="15.65" customHeight="1">
      <c r="A70" s="674" t="s">
        <v>227</v>
      </c>
      <c r="B70" s="65" t="s">
        <v>248</v>
      </c>
      <c r="C70" s="176"/>
      <c r="D70" s="80" t="s">
        <v>134</v>
      </c>
      <c r="E70" s="81"/>
      <c r="F70" s="82">
        <v>62.13</v>
      </c>
      <c r="G70" s="83">
        <v>717</v>
      </c>
      <c r="H70" s="84">
        <f>F70*G70</f>
        <v>44547.21</v>
      </c>
      <c r="I70" s="65"/>
      <c r="J70" s="86">
        <v>14</v>
      </c>
      <c r="K70" s="83">
        <v>1500</v>
      </c>
      <c r="L70" s="87">
        <v>107.14285714285714</v>
      </c>
      <c r="M70" s="88">
        <v>12</v>
      </c>
      <c r="N70" s="83">
        <f t="shared" ref="N70:N77" si="45">G70/W70*60</f>
        <v>1344.3750000000016</v>
      </c>
      <c r="O70" s="87">
        <f t="shared" ref="O70:O77" si="46">N70/M70</f>
        <v>112.03125000000013</v>
      </c>
      <c r="P70" s="89">
        <f t="shared" ref="P70:P77" si="47">M70-J70</f>
        <v>-2</v>
      </c>
      <c r="Q70" s="90">
        <f t="shared" ref="Q70" si="48">O70-L70</f>
        <v>4.8883928571429891</v>
      </c>
      <c r="R70" s="91">
        <f t="shared" si="44"/>
        <v>1.0456250000000011</v>
      </c>
      <c r="S70" s="659">
        <f>R82</f>
        <v>0.86931758703644491</v>
      </c>
      <c r="T70" s="92">
        <v>0.29166666666666669</v>
      </c>
      <c r="U70" s="92">
        <v>0.31388888888888888</v>
      </c>
      <c r="V70" s="65">
        <v>5</v>
      </c>
      <c r="W70" s="85">
        <f>(U70-T70)*24*60</f>
        <v>31.999999999999964</v>
      </c>
      <c r="X70" s="65"/>
      <c r="Y70" s="65"/>
      <c r="Z70" s="96"/>
      <c r="AA70" s="96"/>
      <c r="AB70" s="644"/>
      <c r="AC70" s="644"/>
      <c r="AD70" s="97"/>
      <c r="AE70" s="97"/>
      <c r="AF70" s="89">
        <f t="shared" si="6"/>
        <v>-155.62499999999841</v>
      </c>
      <c r="AG70" s="91">
        <f t="shared" si="7"/>
        <v>0.8962500000000011</v>
      </c>
      <c r="AH70" s="659">
        <f>AG82</f>
        <v>0.84925169942680934</v>
      </c>
    </row>
    <row r="71" spans="1:34" ht="17.399999999999999" customHeight="1">
      <c r="A71" s="674"/>
      <c r="B71" s="65" t="s">
        <v>252</v>
      </c>
      <c r="C71" s="79"/>
      <c r="D71" s="228" t="s">
        <v>135</v>
      </c>
      <c r="E71" s="81"/>
      <c r="F71" s="82">
        <v>47.65</v>
      </c>
      <c r="G71" s="83">
        <v>1716.75</v>
      </c>
      <c r="H71" s="84">
        <f>F71*G71</f>
        <v>81803.137499999997</v>
      </c>
      <c r="I71" s="65"/>
      <c r="J71" s="86">
        <v>18</v>
      </c>
      <c r="K71" s="229">
        <v>1440</v>
      </c>
      <c r="L71" s="87">
        <v>80</v>
      </c>
      <c r="M71" s="137">
        <v>18</v>
      </c>
      <c r="N71" s="83">
        <f t="shared" si="45"/>
        <v>1287.5625000000007</v>
      </c>
      <c r="O71" s="87">
        <f t="shared" si="46"/>
        <v>71.531250000000043</v>
      </c>
      <c r="P71" s="89">
        <f t="shared" si="47"/>
        <v>0</v>
      </c>
      <c r="Q71" s="90">
        <f>O71-L71</f>
        <v>-8.4687499999999574</v>
      </c>
      <c r="R71" s="91">
        <f>O71/L71</f>
        <v>0.89414062500000058</v>
      </c>
      <c r="S71" s="659"/>
      <c r="T71" s="92">
        <v>0.3298611111111111</v>
      </c>
      <c r="U71" s="92">
        <v>0.38541666666666663</v>
      </c>
      <c r="V71" s="65">
        <v>23</v>
      </c>
      <c r="W71" s="85">
        <f t="shared" ref="W71:W81" si="49">(U71-T71)*24*60</f>
        <v>79.999999999999957</v>
      </c>
      <c r="X71" s="95">
        <v>0.31736111111111115</v>
      </c>
      <c r="Y71" s="95">
        <v>0.32708333333333334</v>
      </c>
      <c r="Z71" s="96"/>
      <c r="AA71" s="96"/>
      <c r="AB71" s="644"/>
      <c r="AC71" s="644"/>
      <c r="AD71" s="97"/>
      <c r="AE71" s="97"/>
      <c r="AF71" s="89">
        <f>N71-K71</f>
        <v>-152.43749999999932</v>
      </c>
      <c r="AG71" s="91">
        <f>N71/K71</f>
        <v>0.89414062500000047</v>
      </c>
      <c r="AH71" s="659"/>
    </row>
    <row r="72" spans="1:34" ht="17.399999999999999" customHeight="1">
      <c r="A72" s="674"/>
      <c r="B72" s="65" t="s">
        <v>252</v>
      </c>
      <c r="C72" s="109"/>
      <c r="D72" s="228" t="s">
        <v>136</v>
      </c>
      <c r="E72" s="81"/>
      <c r="F72" s="82">
        <v>47.51</v>
      </c>
      <c r="G72" s="100">
        <v>2349</v>
      </c>
      <c r="H72" s="84">
        <f t="shared" ref="H72:H80" si="50">F72*G72</f>
        <v>111600.98999999999</v>
      </c>
      <c r="I72" s="65"/>
      <c r="J72" s="130">
        <v>17</v>
      </c>
      <c r="K72" s="100">
        <v>1440</v>
      </c>
      <c r="L72" s="131">
        <v>84.705882352941174</v>
      </c>
      <c r="M72" s="88">
        <v>17</v>
      </c>
      <c r="N72" s="83">
        <f t="shared" si="45"/>
        <v>1281.272727272727</v>
      </c>
      <c r="O72" s="87">
        <f t="shared" si="46"/>
        <v>75.368983957219243</v>
      </c>
      <c r="P72" s="89">
        <f t="shared" si="47"/>
        <v>0</v>
      </c>
      <c r="Q72" s="90">
        <f>O72-L72</f>
        <v>-9.3368983957219314</v>
      </c>
      <c r="R72" s="91">
        <f>O72/L72</f>
        <v>0.88977272727272716</v>
      </c>
      <c r="S72" s="659"/>
      <c r="T72" s="92">
        <v>0.40069444444444441</v>
      </c>
      <c r="U72" s="92">
        <v>0.4770833333333333</v>
      </c>
      <c r="V72" s="65">
        <v>22</v>
      </c>
      <c r="W72" s="85">
        <f t="shared" si="49"/>
        <v>110.00000000000001</v>
      </c>
      <c r="X72" s="95">
        <v>0.3888888888888889</v>
      </c>
      <c r="Y72" s="95">
        <v>0.3979166666666667</v>
      </c>
      <c r="Z72" s="96"/>
      <c r="AA72" s="96"/>
      <c r="AB72" s="644"/>
      <c r="AC72" s="644"/>
      <c r="AD72" s="97"/>
      <c r="AE72" s="97"/>
      <c r="AF72" s="89">
        <f>N72-K72</f>
        <v>-158.72727272727298</v>
      </c>
      <c r="AG72" s="91">
        <f>N72/K72</f>
        <v>0.88977272727272705</v>
      </c>
      <c r="AH72" s="659"/>
    </row>
    <row r="73" spans="1:34" ht="17.399999999999999" customHeight="1">
      <c r="A73" s="674"/>
      <c r="B73" s="65" t="s">
        <v>252</v>
      </c>
      <c r="C73" s="230"/>
      <c r="D73" s="231" t="s">
        <v>137</v>
      </c>
      <c r="E73" s="232"/>
      <c r="F73" s="82">
        <v>64.97</v>
      </c>
      <c r="G73" s="100">
        <v>413</v>
      </c>
      <c r="H73" s="84">
        <f t="shared" si="50"/>
        <v>26832.61</v>
      </c>
      <c r="I73" s="97"/>
      <c r="J73" s="233">
        <v>16</v>
      </c>
      <c r="K73" s="234">
        <v>1440</v>
      </c>
      <c r="L73" s="131">
        <v>90</v>
      </c>
      <c r="M73" s="137">
        <v>17</v>
      </c>
      <c r="N73" s="83">
        <f t="shared" si="45"/>
        <v>1077.3913043478224</v>
      </c>
      <c r="O73" s="87">
        <f t="shared" si="46"/>
        <v>63.375959079283668</v>
      </c>
      <c r="P73" s="89">
        <f t="shared" si="47"/>
        <v>1</v>
      </c>
      <c r="Q73" s="90">
        <f>O73-L73</f>
        <v>-26.624040920716332</v>
      </c>
      <c r="R73" s="91">
        <f>O73/L73</f>
        <v>0.70417732310315184</v>
      </c>
      <c r="S73" s="659"/>
      <c r="T73" s="92">
        <v>0.51805555555555549</v>
      </c>
      <c r="U73" s="92">
        <v>0.53402777777777777</v>
      </c>
      <c r="V73" s="65">
        <v>6</v>
      </c>
      <c r="W73" s="85">
        <f t="shared" si="49"/>
        <v>23.000000000000078</v>
      </c>
      <c r="X73" s="235"/>
      <c r="Y73" s="235"/>
      <c r="Z73" s="167"/>
      <c r="AA73" s="167"/>
      <c r="AB73" s="644"/>
      <c r="AC73" s="644"/>
      <c r="AD73" s="97"/>
      <c r="AE73" s="97"/>
      <c r="AF73" s="89">
        <f>N73-K73</f>
        <v>-362.60869565217763</v>
      </c>
      <c r="AG73" s="91">
        <f>N73/K73</f>
        <v>0.74818840579709889</v>
      </c>
      <c r="AH73" s="659"/>
    </row>
    <row r="74" spans="1:34" ht="17.399999999999999" customHeight="1">
      <c r="A74" s="674"/>
      <c r="B74" s="65" t="s">
        <v>252</v>
      </c>
      <c r="C74" s="230"/>
      <c r="D74" s="231" t="s">
        <v>138</v>
      </c>
      <c r="E74" s="232"/>
      <c r="F74" s="82">
        <v>59.54</v>
      </c>
      <c r="G74" s="229">
        <v>1355</v>
      </c>
      <c r="H74" s="84">
        <f t="shared" si="50"/>
        <v>80676.7</v>
      </c>
      <c r="I74" s="65"/>
      <c r="J74" s="130">
        <v>17</v>
      </c>
      <c r="K74" s="100">
        <v>1385</v>
      </c>
      <c r="L74" s="131">
        <v>81.470588235294116</v>
      </c>
      <c r="M74" s="88">
        <v>17</v>
      </c>
      <c r="N74" s="83">
        <f t="shared" si="45"/>
        <v>1231.8181818181831</v>
      </c>
      <c r="O74" s="87">
        <f t="shared" si="46"/>
        <v>72.459893048128421</v>
      </c>
      <c r="P74" s="89">
        <f t="shared" si="47"/>
        <v>0</v>
      </c>
      <c r="Q74" s="90">
        <f>O74-L74</f>
        <v>-9.0106951871656946</v>
      </c>
      <c r="R74" s="91">
        <f>O74/L74</f>
        <v>0.88939940925500593</v>
      </c>
      <c r="S74" s="659"/>
      <c r="T74" s="92">
        <v>0.53888888888888886</v>
      </c>
      <c r="U74" s="92">
        <v>0.58472222222222214</v>
      </c>
      <c r="V74" s="65">
        <v>7</v>
      </c>
      <c r="W74" s="85">
        <f t="shared" si="49"/>
        <v>65.999999999999929</v>
      </c>
      <c r="X74" s="235"/>
      <c r="Y74" s="235"/>
      <c r="Z74" s="167"/>
      <c r="AA74" s="167"/>
      <c r="AB74" s="644"/>
      <c r="AC74" s="644"/>
      <c r="AD74" s="97"/>
      <c r="AE74" s="97"/>
      <c r="AF74" s="89">
        <f>N74-K74</f>
        <v>-153.18181818181688</v>
      </c>
      <c r="AG74" s="91">
        <f>N74/K74</f>
        <v>0.88939940925500582</v>
      </c>
      <c r="AH74" s="659"/>
    </row>
    <row r="75" spans="1:34" ht="17.399999999999999" customHeight="1">
      <c r="A75" s="674"/>
      <c r="B75" s="65" t="s">
        <v>252</v>
      </c>
      <c r="C75" s="109"/>
      <c r="D75" s="228" t="s">
        <v>139</v>
      </c>
      <c r="E75" s="81"/>
      <c r="F75" s="82">
        <v>71.55</v>
      </c>
      <c r="G75" s="100">
        <v>809</v>
      </c>
      <c r="H75" s="84">
        <f t="shared" si="50"/>
        <v>57883.95</v>
      </c>
      <c r="I75" s="65"/>
      <c r="J75" s="233">
        <v>19</v>
      </c>
      <c r="K75" s="234">
        <v>1385</v>
      </c>
      <c r="L75" s="131">
        <v>72.89473684210526</v>
      </c>
      <c r="M75" s="88">
        <v>19</v>
      </c>
      <c r="N75" s="83">
        <f t="shared" si="45"/>
        <v>1213.4999999999995</v>
      </c>
      <c r="O75" s="87">
        <f t="shared" si="46"/>
        <v>63.868421052631554</v>
      </c>
      <c r="P75" s="89">
        <f t="shared" si="47"/>
        <v>0</v>
      </c>
      <c r="Q75" s="90">
        <f>O75-L75</f>
        <v>-9.0263157894737063</v>
      </c>
      <c r="R75" s="91">
        <f>O75/L75</f>
        <v>0.87617328519855564</v>
      </c>
      <c r="S75" s="659"/>
      <c r="T75" s="92">
        <v>0.59027777777777768</v>
      </c>
      <c r="U75" s="92">
        <v>0.61805555555555547</v>
      </c>
      <c r="V75" s="65">
        <v>8</v>
      </c>
      <c r="W75" s="85">
        <f t="shared" si="49"/>
        <v>40.000000000000014</v>
      </c>
      <c r="X75" s="235"/>
      <c r="Y75" s="235"/>
      <c r="Z75" s="167"/>
      <c r="AA75" s="167"/>
      <c r="AB75" s="644"/>
      <c r="AC75" s="644"/>
      <c r="AD75" s="97"/>
      <c r="AE75" s="97"/>
      <c r="AF75" s="89">
        <f>N75-K75</f>
        <v>-171.50000000000045</v>
      </c>
      <c r="AG75" s="91">
        <f>N75/K75</f>
        <v>0.87617328519855564</v>
      </c>
      <c r="AH75" s="659"/>
    </row>
    <row r="76" spans="1:34" ht="17.399999999999999" customHeight="1">
      <c r="A76" s="674"/>
      <c r="B76" s="65" t="s">
        <v>252</v>
      </c>
      <c r="C76" s="230"/>
      <c r="D76" s="231" t="s">
        <v>135</v>
      </c>
      <c r="E76" s="232"/>
      <c r="F76" s="82">
        <v>47.65</v>
      </c>
      <c r="G76" s="229">
        <v>572.25</v>
      </c>
      <c r="H76" s="84">
        <f t="shared" si="50"/>
        <v>27267.712499999998</v>
      </c>
      <c r="I76" s="65"/>
      <c r="J76" s="130">
        <v>18</v>
      </c>
      <c r="K76" s="100">
        <v>1440</v>
      </c>
      <c r="L76" s="131">
        <v>80</v>
      </c>
      <c r="M76" s="137">
        <v>18</v>
      </c>
      <c r="N76" s="83">
        <f t="shared" si="45"/>
        <v>1271.6666666666636</v>
      </c>
      <c r="O76" s="87">
        <f t="shared" si="46"/>
        <v>70.648148148147982</v>
      </c>
      <c r="P76" s="89">
        <f t="shared" si="47"/>
        <v>0</v>
      </c>
      <c r="Q76" s="90">
        <f t="shared" ref="Q76:Q77" si="51">O76-L76</f>
        <v>-9.3518518518520182</v>
      </c>
      <c r="R76" s="91">
        <f t="shared" ref="R76:R77" si="52">O76/L76</f>
        <v>0.88310185185184975</v>
      </c>
      <c r="S76" s="659"/>
      <c r="T76" s="92">
        <v>0.62291666666666656</v>
      </c>
      <c r="U76" s="92">
        <v>0.64166666666666661</v>
      </c>
      <c r="V76" s="65">
        <v>7</v>
      </c>
      <c r="W76" s="85">
        <f t="shared" si="49"/>
        <v>27.000000000000064</v>
      </c>
      <c r="X76" s="235"/>
      <c r="Y76" s="235"/>
      <c r="Z76" s="167"/>
      <c r="AA76" s="167"/>
      <c r="AB76" s="644"/>
      <c r="AC76" s="644"/>
      <c r="AD76" s="97"/>
      <c r="AE76" s="97"/>
      <c r="AF76" s="89">
        <f t="shared" ref="AF76:AF80" si="53">N76-K76</f>
        <v>-168.33333333333644</v>
      </c>
      <c r="AG76" s="91">
        <f t="shared" ref="AG76:AG80" si="54">N76/K76</f>
        <v>0.88310185185184964</v>
      </c>
      <c r="AH76" s="659"/>
    </row>
    <row r="77" spans="1:34" ht="17.399999999999999" customHeight="1">
      <c r="A77" s="674"/>
      <c r="B77" s="65" t="s">
        <v>251</v>
      </c>
      <c r="C77" s="219"/>
      <c r="D77" s="236" t="s">
        <v>140</v>
      </c>
      <c r="E77" s="81"/>
      <c r="F77" s="82">
        <v>53.68</v>
      </c>
      <c r="G77" s="229">
        <v>1265</v>
      </c>
      <c r="H77" s="84">
        <f t="shared" si="50"/>
        <v>67905.2</v>
      </c>
      <c r="I77" s="97"/>
      <c r="J77" s="233">
        <v>20</v>
      </c>
      <c r="K77" s="234">
        <v>1500</v>
      </c>
      <c r="L77" s="131">
        <v>75</v>
      </c>
      <c r="M77" s="88">
        <v>20</v>
      </c>
      <c r="N77" s="83">
        <f t="shared" si="45"/>
        <v>1084.2857142857131</v>
      </c>
      <c r="O77" s="87">
        <f t="shared" si="46"/>
        <v>54.214285714285651</v>
      </c>
      <c r="P77" s="89">
        <f t="shared" si="47"/>
        <v>0</v>
      </c>
      <c r="Q77" s="90">
        <f t="shared" si="51"/>
        <v>-20.785714285714349</v>
      </c>
      <c r="R77" s="91">
        <f t="shared" si="52"/>
        <v>0.72285714285714198</v>
      </c>
      <c r="S77" s="659"/>
      <c r="T77" s="92">
        <v>0.70833333333333337</v>
      </c>
      <c r="U77" s="92">
        <v>0.75694444444444453</v>
      </c>
      <c r="V77" s="65">
        <v>5</v>
      </c>
      <c r="W77" s="85">
        <f t="shared" si="49"/>
        <v>70.000000000000071</v>
      </c>
      <c r="X77" s="235"/>
      <c r="Y77" s="235"/>
      <c r="Z77" s="167"/>
      <c r="AA77" s="167"/>
      <c r="AB77" s="644"/>
      <c r="AC77" s="644"/>
      <c r="AD77" s="97"/>
      <c r="AE77" s="97"/>
      <c r="AF77" s="89">
        <f t="shared" si="53"/>
        <v>-415.71428571428692</v>
      </c>
      <c r="AG77" s="91">
        <f t="shared" si="54"/>
        <v>0.72285714285714209</v>
      </c>
      <c r="AH77" s="659"/>
    </row>
    <row r="78" spans="1:34" ht="17.399999999999999" customHeight="1">
      <c r="A78" s="674"/>
      <c r="B78" s="65">
        <v>0</v>
      </c>
      <c r="C78" s="219"/>
      <c r="D78" s="80"/>
      <c r="E78" s="81"/>
      <c r="F78" s="82" t="s">
        <v>253</v>
      </c>
      <c r="G78" s="100"/>
      <c r="H78" s="84">
        <f t="shared" si="50"/>
        <v>0</v>
      </c>
      <c r="I78" s="97"/>
      <c r="J78" s="130"/>
      <c r="K78" s="100"/>
      <c r="L78" s="131"/>
      <c r="M78" s="137"/>
      <c r="N78" s="83"/>
      <c r="O78" s="87"/>
      <c r="P78" s="89"/>
      <c r="Q78" s="90"/>
      <c r="R78" s="91"/>
      <c r="S78" s="659"/>
      <c r="T78" s="92"/>
      <c r="U78" s="92"/>
      <c r="V78" s="65"/>
      <c r="W78" s="85"/>
      <c r="X78" s="235"/>
      <c r="Y78" s="235"/>
      <c r="Z78" s="167"/>
      <c r="AA78" s="167"/>
      <c r="AB78" s="644"/>
      <c r="AC78" s="644"/>
      <c r="AD78" s="97"/>
      <c r="AE78" s="97"/>
      <c r="AF78" s="89">
        <f t="shared" si="53"/>
        <v>0</v>
      </c>
      <c r="AG78" s="91" t="e">
        <f t="shared" si="54"/>
        <v>#DIV/0!</v>
      </c>
      <c r="AH78" s="659"/>
    </row>
    <row r="79" spans="1:34" ht="17.399999999999999" customHeight="1">
      <c r="A79" s="674"/>
      <c r="B79" s="65">
        <v>0</v>
      </c>
      <c r="C79" s="230"/>
      <c r="D79" s="231"/>
      <c r="E79" s="232"/>
      <c r="F79" s="82" t="s">
        <v>253</v>
      </c>
      <c r="G79" s="100"/>
      <c r="H79" s="84">
        <f t="shared" si="50"/>
        <v>0</v>
      </c>
      <c r="I79" s="97"/>
      <c r="J79" s="130"/>
      <c r="K79" s="100"/>
      <c r="L79" s="131"/>
      <c r="M79" s="137"/>
      <c r="N79" s="100"/>
      <c r="O79" s="237"/>
      <c r="P79" s="238"/>
      <c r="Q79" s="239"/>
      <c r="R79" s="240"/>
      <c r="S79" s="659"/>
      <c r="T79" s="92"/>
      <c r="U79" s="92"/>
      <c r="V79" s="65"/>
      <c r="W79" s="85">
        <f t="shared" si="49"/>
        <v>0</v>
      </c>
      <c r="X79" s="235"/>
      <c r="Y79" s="235"/>
      <c r="Z79" s="167"/>
      <c r="AA79" s="167"/>
      <c r="AB79" s="644"/>
      <c r="AC79" s="644"/>
      <c r="AD79" s="97"/>
      <c r="AE79" s="97"/>
      <c r="AF79" s="89">
        <f t="shared" si="53"/>
        <v>0</v>
      </c>
      <c r="AG79" s="91" t="e">
        <f t="shared" si="54"/>
        <v>#DIV/0!</v>
      </c>
      <c r="AH79" s="659"/>
    </row>
    <row r="80" spans="1:34" ht="17.399999999999999" customHeight="1">
      <c r="A80" s="674"/>
      <c r="B80" s="65">
        <v>0</v>
      </c>
      <c r="C80" s="219"/>
      <c r="D80" s="80"/>
      <c r="E80" s="81"/>
      <c r="F80" s="82"/>
      <c r="G80" s="100"/>
      <c r="H80" s="84">
        <f t="shared" si="50"/>
        <v>0</v>
      </c>
      <c r="I80" s="97"/>
      <c r="J80" s="130"/>
      <c r="K80" s="100"/>
      <c r="L80" s="131"/>
      <c r="M80" s="137"/>
      <c r="N80" s="100"/>
      <c r="O80" s="241"/>
      <c r="P80" s="96"/>
      <c r="Q80" s="132"/>
      <c r="R80" s="242"/>
      <c r="S80" s="659"/>
      <c r="T80" s="92"/>
      <c r="U80" s="92"/>
      <c r="V80" s="65"/>
      <c r="W80" s="85">
        <f t="shared" si="49"/>
        <v>0</v>
      </c>
      <c r="X80" s="235"/>
      <c r="Y80" s="235"/>
      <c r="Z80" s="167"/>
      <c r="AA80" s="167"/>
      <c r="AB80" s="644"/>
      <c r="AC80" s="644"/>
      <c r="AD80" s="97"/>
      <c r="AE80" s="97"/>
      <c r="AF80" s="89">
        <f t="shared" si="53"/>
        <v>0</v>
      </c>
      <c r="AG80" s="91" t="e">
        <f t="shared" si="54"/>
        <v>#DIV/0!</v>
      </c>
      <c r="AH80" s="659"/>
    </row>
    <row r="81" spans="1:34" ht="17.399999999999999" customHeight="1">
      <c r="A81" s="674"/>
      <c r="B81" s="65">
        <v>0</v>
      </c>
      <c r="C81" s="219"/>
      <c r="D81" s="80"/>
      <c r="E81" s="81"/>
      <c r="F81" s="183"/>
      <c r="G81" s="100"/>
      <c r="H81" s="129"/>
      <c r="I81" s="97"/>
      <c r="J81" s="130"/>
      <c r="K81" s="100"/>
      <c r="L81" s="131"/>
      <c r="M81" s="137"/>
      <c r="N81" s="100"/>
      <c r="O81" s="241"/>
      <c r="P81" s="96"/>
      <c r="Q81" s="132"/>
      <c r="R81" s="242"/>
      <c r="S81" s="659"/>
      <c r="T81" s="92"/>
      <c r="U81" s="92"/>
      <c r="V81" s="65"/>
      <c r="W81" s="85">
        <f t="shared" si="49"/>
        <v>0</v>
      </c>
      <c r="X81" s="235"/>
      <c r="Y81" s="235"/>
      <c r="Z81" s="167"/>
      <c r="AA81" s="167"/>
      <c r="AB81" s="644"/>
      <c r="AC81" s="644"/>
      <c r="AD81" s="97"/>
      <c r="AE81" s="97"/>
      <c r="AF81" s="89"/>
      <c r="AG81" s="170"/>
      <c r="AH81" s="659"/>
    </row>
    <row r="82" spans="1:34" ht="18" customHeight="1">
      <c r="A82" s="675"/>
      <c r="B82" s="222">
        <v>0</v>
      </c>
      <c r="C82" s="138" t="s">
        <v>18</v>
      </c>
      <c r="D82" s="630" t="s">
        <v>220</v>
      </c>
      <c r="E82" s="630"/>
      <c r="F82" s="243"/>
      <c r="G82" s="140"/>
      <c r="H82" s="141"/>
      <c r="I82" s="142"/>
      <c r="J82" s="140">
        <v>17.375</v>
      </c>
      <c r="K82" s="140">
        <v>1441.25</v>
      </c>
      <c r="L82" s="143">
        <v>83.901758071649709</v>
      </c>
      <c r="M82" s="140">
        <f t="shared" ref="M82:O82" si="55">AVERAGE(M70:M81)</f>
        <v>17.25</v>
      </c>
      <c r="N82" s="140">
        <f t="shared" si="55"/>
        <v>1223.984011798889</v>
      </c>
      <c r="O82" s="244">
        <f t="shared" si="55"/>
        <v>72.937273874962088</v>
      </c>
      <c r="P82" s="158">
        <f>M82-J82</f>
        <v>-0.125</v>
      </c>
      <c r="Q82" s="159">
        <f>N82-K82</f>
        <v>-217.26598820111099</v>
      </c>
      <c r="R82" s="227">
        <f>O82/L82</f>
        <v>0.86931758703644491</v>
      </c>
      <c r="S82" s="659"/>
      <c r="T82" s="92"/>
      <c r="U82" s="92"/>
      <c r="V82" s="65"/>
      <c r="W82" s="83"/>
      <c r="X82" s="87"/>
      <c r="Y82" s="87"/>
      <c r="Z82" s="145">
        <f>SUM(Z70:Z81)</f>
        <v>0</v>
      </c>
      <c r="AA82" s="145">
        <f>SUM(AA70:AA81)</f>
        <v>0</v>
      </c>
      <c r="AB82" s="644"/>
      <c r="AC82" s="644"/>
      <c r="AD82" s="146">
        <f>SUM(AD70:AD81)</f>
        <v>0</v>
      </c>
      <c r="AE82" s="146">
        <f>SUM(AE70:AE81)</f>
        <v>0</v>
      </c>
      <c r="AF82" s="89">
        <f>N82-K82</f>
        <v>-217.26598820111099</v>
      </c>
      <c r="AG82" s="91">
        <f>N82/K82</f>
        <v>0.84925169942680934</v>
      </c>
      <c r="AH82" s="659"/>
    </row>
    <row r="83" spans="1:34" ht="18" customHeight="1">
      <c r="A83" s="672" t="s">
        <v>228</v>
      </c>
      <c r="B83" s="147" t="s">
        <v>247</v>
      </c>
      <c r="C83" s="109"/>
      <c r="D83" s="245" t="s">
        <v>112</v>
      </c>
      <c r="E83" s="81"/>
      <c r="F83" s="183">
        <v>54.25</v>
      </c>
      <c r="G83" s="100">
        <v>2440.31</v>
      </c>
      <c r="H83" s="129">
        <f t="shared" ref="H83:H94" si="56">F83*G83</f>
        <v>132386.8175</v>
      </c>
      <c r="I83" s="97"/>
      <c r="J83" s="130">
        <v>21</v>
      </c>
      <c r="K83" s="100">
        <v>1385</v>
      </c>
      <c r="L83" s="131">
        <v>65.952380952380949</v>
      </c>
      <c r="M83" s="137">
        <v>20</v>
      </c>
      <c r="N83" s="100">
        <f t="shared" ref="N83:N91" si="57">G83/W83*60</f>
        <v>1092.676119402985</v>
      </c>
      <c r="O83" s="241">
        <f t="shared" ref="O83:O91" si="58">N83/M83</f>
        <v>54.633805970149254</v>
      </c>
      <c r="P83" s="96">
        <f t="shared" ref="P83:P91" si="59">M83-J83</f>
        <v>-1</v>
      </c>
      <c r="Q83" s="132">
        <f t="shared" ref="Q83:Q91" si="60">O83-L83</f>
        <v>-11.318574982231695</v>
      </c>
      <c r="R83" s="246">
        <f t="shared" ref="R83:R91" si="61">O83/L83</f>
        <v>0.82838261759793097</v>
      </c>
      <c r="S83" s="659">
        <f>R95</f>
        <v>0.79453489275304634</v>
      </c>
      <c r="T83" s="92">
        <v>0.375</v>
      </c>
      <c r="U83" s="92">
        <v>0.46805555555555556</v>
      </c>
      <c r="V83" s="65">
        <v>5</v>
      </c>
      <c r="W83" s="85">
        <f t="shared" ref="W83:W93" si="62">(U83-T83)*24*60</f>
        <v>134</v>
      </c>
      <c r="X83" s="95"/>
      <c r="Y83" s="95"/>
      <c r="Z83" s="96"/>
      <c r="AA83" s="96"/>
      <c r="AB83" s="644"/>
      <c r="AC83" s="644"/>
      <c r="AD83" s="97"/>
      <c r="AE83" s="97"/>
      <c r="AF83" s="89">
        <f t="shared" ref="AF83:AF173" si="63">N83-K83</f>
        <v>-292.32388059701498</v>
      </c>
      <c r="AG83" s="91">
        <f t="shared" ref="AG83:AG173" si="64">N83/K83</f>
        <v>0.7889358262837437</v>
      </c>
      <c r="AH83" s="659">
        <f>AG95</f>
        <v>0.77554759326936307</v>
      </c>
    </row>
    <row r="84" spans="1:34" ht="18" customHeight="1">
      <c r="A84" s="673"/>
      <c r="B84" s="147" t="s">
        <v>247</v>
      </c>
      <c r="C84" s="219"/>
      <c r="D84" s="236" t="s">
        <v>141</v>
      </c>
      <c r="E84" s="81"/>
      <c r="F84" s="183">
        <v>57.73</v>
      </c>
      <c r="G84" s="83">
        <v>747</v>
      </c>
      <c r="H84" s="129">
        <f t="shared" si="56"/>
        <v>43124.31</v>
      </c>
      <c r="I84" s="65"/>
      <c r="J84" s="130">
        <v>21</v>
      </c>
      <c r="K84" s="100">
        <v>1385</v>
      </c>
      <c r="L84" s="131">
        <v>65.952380952380949</v>
      </c>
      <c r="M84" s="137">
        <v>20</v>
      </c>
      <c r="N84" s="100">
        <f t="shared" si="57"/>
        <v>1093.1707317073187</v>
      </c>
      <c r="O84" s="241">
        <f t="shared" si="58"/>
        <v>54.658536585365937</v>
      </c>
      <c r="P84" s="96">
        <f t="shared" si="59"/>
        <v>-1</v>
      </c>
      <c r="Q84" s="132">
        <f t="shared" si="60"/>
        <v>-11.293844367015012</v>
      </c>
      <c r="R84" s="246">
        <f t="shared" si="61"/>
        <v>0.8287575944351514</v>
      </c>
      <c r="S84" s="659"/>
      <c r="T84" s="92">
        <v>0.48402777777777778</v>
      </c>
      <c r="U84" s="92">
        <v>0.51249999999999996</v>
      </c>
      <c r="V84" s="65">
        <v>23</v>
      </c>
      <c r="W84" s="85">
        <f t="shared" si="62"/>
        <v>40.999999999999936</v>
      </c>
      <c r="X84" s="95">
        <v>0.47152777777777777</v>
      </c>
      <c r="Y84" s="95">
        <v>0.48125000000000001</v>
      </c>
      <c r="Z84" s="96"/>
      <c r="AA84" s="96"/>
      <c r="AB84" s="644"/>
      <c r="AC84" s="644"/>
      <c r="AD84" s="97"/>
      <c r="AE84" s="97"/>
      <c r="AF84" s="89">
        <f t="shared" si="63"/>
        <v>-291.82926829268126</v>
      </c>
      <c r="AG84" s="91">
        <f t="shared" si="64"/>
        <v>0.78929294708109654</v>
      </c>
      <c r="AH84" s="659"/>
    </row>
    <row r="85" spans="1:34" ht="18" customHeight="1">
      <c r="A85" s="673"/>
      <c r="B85" s="147" t="s">
        <v>247</v>
      </c>
      <c r="C85" s="164"/>
      <c r="D85" s="236" t="s">
        <v>142</v>
      </c>
      <c r="E85" s="81"/>
      <c r="F85" s="183">
        <v>57.73</v>
      </c>
      <c r="G85" s="83">
        <v>564</v>
      </c>
      <c r="H85" s="129">
        <f t="shared" si="56"/>
        <v>32559.719999999998</v>
      </c>
      <c r="I85" s="97"/>
      <c r="J85" s="130">
        <v>21</v>
      </c>
      <c r="K85" s="100">
        <v>1385</v>
      </c>
      <c r="L85" s="131">
        <v>65.952380952380949</v>
      </c>
      <c r="M85" s="137">
        <v>20</v>
      </c>
      <c r="N85" s="100">
        <f t="shared" si="57"/>
        <v>914.5945945945939</v>
      </c>
      <c r="O85" s="241">
        <f t="shared" si="58"/>
        <v>45.729729729729698</v>
      </c>
      <c r="P85" s="96">
        <f t="shared" si="59"/>
        <v>-1</v>
      </c>
      <c r="Q85" s="132">
        <f t="shared" si="60"/>
        <v>-20.222651222651251</v>
      </c>
      <c r="R85" s="246">
        <f t="shared" si="61"/>
        <v>0.69337496341106408</v>
      </c>
      <c r="S85" s="659"/>
      <c r="T85" s="92">
        <v>0.55347222222222214</v>
      </c>
      <c r="U85" s="92">
        <v>0.57916666666666661</v>
      </c>
      <c r="V85" s="65">
        <v>6</v>
      </c>
      <c r="W85" s="85">
        <f t="shared" si="62"/>
        <v>37.000000000000028</v>
      </c>
      <c r="X85" s="95"/>
      <c r="Y85" s="95"/>
      <c r="Z85" s="96"/>
      <c r="AA85" s="96"/>
      <c r="AB85" s="641" t="s">
        <v>191</v>
      </c>
      <c r="AC85" s="642"/>
      <c r="AD85" s="97"/>
      <c r="AE85" s="97"/>
      <c r="AF85" s="89">
        <f t="shared" si="63"/>
        <v>-470.4054054054061</v>
      </c>
      <c r="AG85" s="91">
        <f t="shared" si="64"/>
        <v>0.66035710801053715</v>
      </c>
      <c r="AH85" s="659"/>
    </row>
    <row r="86" spans="1:34" ht="18" customHeight="1">
      <c r="A86" s="673"/>
      <c r="B86" s="147" t="s">
        <v>248</v>
      </c>
      <c r="C86" s="176"/>
      <c r="D86" s="236" t="s">
        <v>143</v>
      </c>
      <c r="E86" s="81"/>
      <c r="F86" s="183">
        <v>71.84</v>
      </c>
      <c r="G86" s="83">
        <v>583</v>
      </c>
      <c r="H86" s="129">
        <f t="shared" si="56"/>
        <v>41882.720000000001</v>
      </c>
      <c r="I86" s="97"/>
      <c r="J86" s="130">
        <v>21</v>
      </c>
      <c r="K86" s="100">
        <v>1385</v>
      </c>
      <c r="L86" s="131">
        <v>65.952380952380949</v>
      </c>
      <c r="M86" s="137">
        <v>20</v>
      </c>
      <c r="N86" s="100">
        <f t="shared" si="57"/>
        <v>971.66666666666595</v>
      </c>
      <c r="O86" s="241">
        <f t="shared" si="58"/>
        <v>48.5833333333333</v>
      </c>
      <c r="P86" s="96">
        <f t="shared" si="59"/>
        <v>-1</v>
      </c>
      <c r="Q86" s="132">
        <f t="shared" si="60"/>
        <v>-17.369047619047649</v>
      </c>
      <c r="R86" s="246">
        <f t="shared" si="61"/>
        <v>0.73664259927797793</v>
      </c>
      <c r="S86" s="659"/>
      <c r="T86" s="92">
        <v>0.5840277777777777</v>
      </c>
      <c r="U86" s="92">
        <v>0.60902777777777772</v>
      </c>
      <c r="V86" s="65">
        <v>7</v>
      </c>
      <c r="W86" s="85">
        <f t="shared" si="62"/>
        <v>36.000000000000028</v>
      </c>
      <c r="X86" s="95"/>
      <c r="Y86" s="95"/>
      <c r="Z86" s="96"/>
      <c r="AA86" s="96"/>
      <c r="AB86" s="641" t="s">
        <v>191</v>
      </c>
      <c r="AC86" s="642"/>
      <c r="AD86" s="97"/>
      <c r="AE86" s="97"/>
      <c r="AF86" s="89">
        <f t="shared" si="63"/>
        <v>-413.33333333333405</v>
      </c>
      <c r="AG86" s="91">
        <f t="shared" si="64"/>
        <v>0.70156438026474077</v>
      </c>
      <c r="AH86" s="659"/>
    </row>
    <row r="87" spans="1:34" ht="18" customHeight="1">
      <c r="A87" s="673"/>
      <c r="B87" s="147" t="s">
        <v>248</v>
      </c>
      <c r="C87" s="176"/>
      <c r="D87" s="236" t="s">
        <v>144</v>
      </c>
      <c r="E87" s="81"/>
      <c r="F87" s="183">
        <v>72.400000000000006</v>
      </c>
      <c r="G87" s="83">
        <v>379</v>
      </c>
      <c r="H87" s="129">
        <f t="shared" si="56"/>
        <v>27439.600000000002</v>
      </c>
      <c r="I87" s="97"/>
      <c r="J87" s="130">
        <v>21</v>
      </c>
      <c r="K87" s="100">
        <v>1385</v>
      </c>
      <c r="L87" s="131">
        <v>65.952380952380949</v>
      </c>
      <c r="M87" s="137">
        <v>20</v>
      </c>
      <c r="N87" s="100">
        <f t="shared" si="57"/>
        <v>1033.6363636363672</v>
      </c>
      <c r="O87" s="241">
        <f t="shared" si="58"/>
        <v>51.681818181818358</v>
      </c>
      <c r="P87" s="96">
        <f t="shared" si="59"/>
        <v>-1</v>
      </c>
      <c r="Q87" s="132">
        <f t="shared" si="60"/>
        <v>-14.270562770562591</v>
      </c>
      <c r="R87" s="246">
        <f t="shared" si="61"/>
        <v>0.7836232359698091</v>
      </c>
      <c r="S87" s="659"/>
      <c r="T87" s="92">
        <v>0.61319444444444438</v>
      </c>
      <c r="U87" s="92">
        <v>0.6284722222222221</v>
      </c>
      <c r="V87" s="65">
        <v>6</v>
      </c>
      <c r="W87" s="85">
        <f t="shared" si="62"/>
        <v>21.999999999999922</v>
      </c>
      <c r="X87" s="95"/>
      <c r="Y87" s="95"/>
      <c r="Z87" s="96"/>
      <c r="AA87" s="96"/>
      <c r="AB87" s="641" t="s">
        <v>191</v>
      </c>
      <c r="AC87" s="642"/>
      <c r="AD87" s="97"/>
      <c r="AE87" s="97"/>
      <c r="AF87" s="89">
        <f t="shared" si="63"/>
        <v>-351.36363636363285</v>
      </c>
      <c r="AG87" s="91">
        <f t="shared" si="64"/>
        <v>0.74630784378077053</v>
      </c>
      <c r="AH87" s="659"/>
    </row>
    <row r="88" spans="1:34" ht="18" customHeight="1">
      <c r="A88" s="673"/>
      <c r="B88" s="147" t="s">
        <v>248</v>
      </c>
      <c r="C88" s="219"/>
      <c r="D88" s="236" t="s">
        <v>145</v>
      </c>
      <c r="E88" s="81"/>
      <c r="F88" s="183">
        <v>72.400000000000006</v>
      </c>
      <c r="G88" s="100">
        <v>569</v>
      </c>
      <c r="H88" s="129">
        <f t="shared" si="56"/>
        <v>41195.600000000006</v>
      </c>
      <c r="I88" s="97"/>
      <c r="J88" s="130">
        <v>21</v>
      </c>
      <c r="K88" s="100">
        <v>1385</v>
      </c>
      <c r="L88" s="131">
        <v>65.952380952380949</v>
      </c>
      <c r="M88" s="137">
        <v>20</v>
      </c>
      <c r="N88" s="100">
        <f t="shared" si="57"/>
        <v>975.42857142857054</v>
      </c>
      <c r="O88" s="241">
        <f t="shared" si="58"/>
        <v>48.77142857142853</v>
      </c>
      <c r="P88" s="96">
        <f t="shared" si="59"/>
        <v>-1</v>
      </c>
      <c r="Q88" s="132">
        <f t="shared" si="60"/>
        <v>-17.180952380952419</v>
      </c>
      <c r="R88" s="246">
        <f t="shared" si="61"/>
        <v>0.73949458483754449</v>
      </c>
      <c r="S88" s="659"/>
      <c r="T88" s="92">
        <v>0.63333333333333319</v>
      </c>
      <c r="U88" s="92">
        <v>0.65763888888888877</v>
      </c>
      <c r="V88" s="65">
        <v>7</v>
      </c>
      <c r="W88" s="85">
        <f t="shared" si="62"/>
        <v>35.000000000000036</v>
      </c>
      <c r="X88" s="95"/>
      <c r="Y88" s="95"/>
      <c r="Z88" s="96"/>
      <c r="AA88" s="96"/>
      <c r="AB88" s="641" t="s">
        <v>191</v>
      </c>
      <c r="AC88" s="642"/>
      <c r="AD88" s="97"/>
      <c r="AE88" s="97"/>
      <c r="AF88" s="89">
        <f t="shared" si="63"/>
        <v>-409.57142857142946</v>
      </c>
      <c r="AG88" s="91">
        <f t="shared" si="64"/>
        <v>0.70428055698813752</v>
      </c>
      <c r="AH88" s="659"/>
    </row>
    <row r="89" spans="1:34" ht="18" customHeight="1">
      <c r="A89" s="673"/>
      <c r="B89" s="147" t="s">
        <v>251</v>
      </c>
      <c r="C89" s="219"/>
      <c r="D89" s="80" t="s">
        <v>146</v>
      </c>
      <c r="E89" s="81"/>
      <c r="F89" s="183">
        <v>55.56</v>
      </c>
      <c r="G89" s="156">
        <v>772</v>
      </c>
      <c r="H89" s="129">
        <f t="shared" si="56"/>
        <v>42892.32</v>
      </c>
      <c r="I89" s="247"/>
      <c r="J89" s="130">
        <v>16</v>
      </c>
      <c r="K89" s="100">
        <v>1440</v>
      </c>
      <c r="L89" s="131">
        <v>90</v>
      </c>
      <c r="M89" s="137">
        <v>16</v>
      </c>
      <c r="N89" s="100">
        <f t="shared" si="57"/>
        <v>1286.6666666666656</v>
      </c>
      <c r="O89" s="241">
        <f t="shared" si="58"/>
        <v>80.4166666666666</v>
      </c>
      <c r="P89" s="96">
        <f t="shared" si="59"/>
        <v>0</v>
      </c>
      <c r="Q89" s="132">
        <f t="shared" si="60"/>
        <v>-9.5833333333333997</v>
      </c>
      <c r="R89" s="246">
        <f t="shared" si="61"/>
        <v>0.89351851851851782</v>
      </c>
      <c r="S89" s="659"/>
      <c r="T89" s="92">
        <v>0.70833333333333337</v>
      </c>
      <c r="U89" s="92">
        <v>0.73333333333333339</v>
      </c>
      <c r="V89" s="65">
        <v>5</v>
      </c>
      <c r="W89" s="85">
        <f t="shared" si="62"/>
        <v>36.000000000000028</v>
      </c>
      <c r="X89" s="95"/>
      <c r="Y89" s="95"/>
      <c r="Z89" s="96"/>
      <c r="AA89" s="96"/>
      <c r="AB89" s="644"/>
      <c r="AC89" s="644"/>
      <c r="AD89" s="97"/>
      <c r="AE89" s="97"/>
      <c r="AF89" s="89">
        <f t="shared" si="63"/>
        <v>-153.33333333333439</v>
      </c>
      <c r="AG89" s="91">
        <f t="shared" si="64"/>
        <v>0.89351851851851782</v>
      </c>
      <c r="AH89" s="659"/>
    </row>
    <row r="90" spans="1:34" ht="18" customHeight="1">
      <c r="A90" s="673"/>
      <c r="B90" s="147" t="s">
        <v>251</v>
      </c>
      <c r="C90" s="219"/>
      <c r="D90" s="80" t="s">
        <v>147</v>
      </c>
      <c r="E90" s="81"/>
      <c r="F90" s="183">
        <v>55.32</v>
      </c>
      <c r="G90" s="172">
        <v>481</v>
      </c>
      <c r="H90" s="129">
        <f t="shared" si="56"/>
        <v>26608.920000000002</v>
      </c>
      <c r="I90" s="248"/>
      <c r="J90" s="130">
        <v>14</v>
      </c>
      <c r="K90" s="100">
        <v>1440</v>
      </c>
      <c r="L90" s="131">
        <v>102.85714285714286</v>
      </c>
      <c r="M90" s="137">
        <v>15</v>
      </c>
      <c r="N90" s="100">
        <f t="shared" si="57"/>
        <v>1068.8888888888864</v>
      </c>
      <c r="O90" s="241">
        <f t="shared" si="58"/>
        <v>71.259259259259096</v>
      </c>
      <c r="P90" s="96">
        <f t="shared" si="59"/>
        <v>1</v>
      </c>
      <c r="Q90" s="132">
        <f t="shared" si="60"/>
        <v>-31.597883597883765</v>
      </c>
      <c r="R90" s="246">
        <f t="shared" si="61"/>
        <v>0.69279835390946343</v>
      </c>
      <c r="S90" s="659"/>
      <c r="T90" s="92">
        <v>0.73750000000000004</v>
      </c>
      <c r="U90" s="92">
        <v>0.75625000000000009</v>
      </c>
      <c r="V90" s="65">
        <v>6</v>
      </c>
      <c r="W90" s="85">
        <f t="shared" si="62"/>
        <v>27.000000000000064</v>
      </c>
      <c r="X90" s="249"/>
      <c r="Y90" s="249"/>
      <c r="Z90" s="96"/>
      <c r="AA90" s="96"/>
      <c r="AB90" s="641" t="s">
        <v>191</v>
      </c>
      <c r="AC90" s="642"/>
      <c r="AD90" s="97"/>
      <c r="AE90" s="97"/>
      <c r="AF90" s="89">
        <f t="shared" si="63"/>
        <v>-371.11111111111359</v>
      </c>
      <c r="AG90" s="91">
        <f t="shared" si="64"/>
        <v>0.74228395061728225</v>
      </c>
      <c r="AH90" s="659"/>
    </row>
    <row r="91" spans="1:34" ht="18" customHeight="1">
      <c r="A91" s="673"/>
      <c r="B91" s="147" t="s">
        <v>251</v>
      </c>
      <c r="C91" s="219"/>
      <c r="D91" s="80" t="s">
        <v>148</v>
      </c>
      <c r="E91" s="81"/>
      <c r="F91" s="183">
        <v>50.98</v>
      </c>
      <c r="G91" s="83">
        <v>1449</v>
      </c>
      <c r="H91" s="129">
        <f t="shared" si="56"/>
        <v>73870.01999999999</v>
      </c>
      <c r="I91" s="250"/>
      <c r="J91" s="130">
        <v>18</v>
      </c>
      <c r="K91" s="100">
        <v>1440</v>
      </c>
      <c r="L91" s="131">
        <v>80</v>
      </c>
      <c r="M91" s="137">
        <v>18</v>
      </c>
      <c r="N91" s="100">
        <f t="shared" si="57"/>
        <v>1358.4375000000016</v>
      </c>
      <c r="O91" s="241">
        <f t="shared" si="58"/>
        <v>75.468750000000085</v>
      </c>
      <c r="P91" s="96">
        <f t="shared" si="59"/>
        <v>0</v>
      </c>
      <c r="Q91" s="132">
        <f t="shared" si="60"/>
        <v>-4.5312499999999147</v>
      </c>
      <c r="R91" s="246">
        <f t="shared" si="61"/>
        <v>0.94335937500000111</v>
      </c>
      <c r="S91" s="662"/>
      <c r="T91" s="92">
        <v>0.7597222222222223</v>
      </c>
      <c r="U91" s="92">
        <v>0.8041666666666667</v>
      </c>
      <c r="V91" s="65">
        <v>5</v>
      </c>
      <c r="W91" s="85">
        <f t="shared" si="62"/>
        <v>63.999999999999929</v>
      </c>
      <c r="X91" s="157"/>
      <c r="Y91" s="157"/>
      <c r="Z91" s="96"/>
      <c r="AA91" s="96"/>
      <c r="AB91" s="654"/>
      <c r="AC91" s="654"/>
      <c r="AD91" s="97"/>
      <c r="AE91" s="97"/>
      <c r="AF91" s="89">
        <f t="shared" si="63"/>
        <v>-81.562499999998408</v>
      </c>
      <c r="AG91" s="91">
        <f t="shared" si="64"/>
        <v>0.94335937500000111</v>
      </c>
      <c r="AH91" s="662"/>
    </row>
    <row r="92" spans="1:34" ht="18" customHeight="1">
      <c r="A92" s="673"/>
      <c r="B92" s="147">
        <v>0</v>
      </c>
      <c r="C92" s="219"/>
      <c r="D92" s="80"/>
      <c r="E92" s="81"/>
      <c r="F92" s="183" t="s">
        <v>253</v>
      </c>
      <c r="G92" s="83"/>
      <c r="H92" s="129">
        <f t="shared" si="56"/>
        <v>0</v>
      </c>
      <c r="I92" s="250"/>
      <c r="J92" s="251"/>
      <c r="K92" s="252"/>
      <c r="L92" s="253"/>
      <c r="M92" s="106"/>
      <c r="N92" s="252"/>
      <c r="O92" s="253"/>
      <c r="P92" s="254"/>
      <c r="Q92" s="255"/>
      <c r="R92" s="256"/>
      <c r="S92" s="662"/>
      <c r="T92" s="92"/>
      <c r="U92" s="92"/>
      <c r="V92" s="65"/>
      <c r="W92" s="85">
        <f t="shared" si="62"/>
        <v>0</v>
      </c>
      <c r="X92" s="235"/>
      <c r="Y92" s="235"/>
      <c r="Z92" s="167"/>
      <c r="AA92" s="167"/>
      <c r="AB92" s="644"/>
      <c r="AC92" s="644"/>
      <c r="AD92" s="97"/>
      <c r="AE92" s="97"/>
      <c r="AF92" s="89">
        <f t="shared" si="63"/>
        <v>0</v>
      </c>
      <c r="AG92" s="91" t="e">
        <f t="shared" si="64"/>
        <v>#DIV/0!</v>
      </c>
      <c r="AH92" s="662"/>
    </row>
    <row r="93" spans="1:34" ht="18" customHeight="1">
      <c r="A93" s="673"/>
      <c r="B93" s="105">
        <v>0</v>
      </c>
      <c r="C93" s="257"/>
      <c r="D93" s="102"/>
      <c r="E93" s="103"/>
      <c r="F93" s="183" t="s">
        <v>253</v>
      </c>
      <c r="G93" s="83"/>
      <c r="H93" s="129">
        <f t="shared" si="56"/>
        <v>0</v>
      </c>
      <c r="I93" s="258"/>
      <c r="J93" s="130"/>
      <c r="K93" s="100"/>
      <c r="L93" s="253"/>
      <c r="M93" s="137"/>
      <c r="N93" s="100"/>
      <c r="O93" s="131"/>
      <c r="P93" s="96"/>
      <c r="Q93" s="132"/>
      <c r="R93" s="133"/>
      <c r="S93" s="670"/>
      <c r="T93" s="107"/>
      <c r="U93" s="107"/>
      <c r="V93" s="105"/>
      <c r="W93" s="85">
        <f t="shared" si="62"/>
        <v>0</v>
      </c>
      <c r="X93" s="259"/>
      <c r="Y93" s="259"/>
      <c r="Z93" s="167"/>
      <c r="AA93" s="167"/>
      <c r="AB93" s="644"/>
      <c r="AC93" s="644"/>
      <c r="AD93" s="97"/>
      <c r="AE93" s="97"/>
      <c r="AF93" s="89">
        <f t="shared" si="63"/>
        <v>0</v>
      </c>
      <c r="AG93" s="91" t="e">
        <f t="shared" si="64"/>
        <v>#DIV/0!</v>
      </c>
      <c r="AH93" s="662"/>
    </row>
    <row r="94" spans="1:34" ht="18" customHeight="1">
      <c r="A94" s="673"/>
      <c r="B94" s="105">
        <v>0</v>
      </c>
      <c r="C94" s="257"/>
      <c r="D94" s="80"/>
      <c r="E94" s="81"/>
      <c r="F94" s="183" t="s">
        <v>253</v>
      </c>
      <c r="G94" s="83"/>
      <c r="H94" s="129">
        <f t="shared" si="56"/>
        <v>0</v>
      </c>
      <c r="I94" s="250"/>
      <c r="J94" s="130"/>
      <c r="K94" s="260"/>
      <c r="L94" s="87"/>
      <c r="M94" s="261"/>
      <c r="N94" s="100"/>
      <c r="O94" s="131"/>
      <c r="P94" s="96"/>
      <c r="Q94" s="132"/>
      <c r="R94" s="133"/>
      <c r="S94" s="670"/>
      <c r="T94" s="107"/>
      <c r="U94" s="107"/>
      <c r="V94" s="105"/>
      <c r="W94" s="85">
        <f>(U94-T94)*24*60</f>
        <v>0</v>
      </c>
      <c r="X94" s="259"/>
      <c r="Y94" s="259"/>
      <c r="Z94" s="167"/>
      <c r="AA94" s="167"/>
      <c r="AB94" s="644"/>
      <c r="AC94" s="644"/>
      <c r="AD94" s="97"/>
      <c r="AE94" s="97"/>
      <c r="AF94" s="89">
        <f t="shared" si="63"/>
        <v>0</v>
      </c>
      <c r="AG94" s="91" t="e">
        <f t="shared" si="64"/>
        <v>#DIV/0!</v>
      </c>
      <c r="AH94" s="662"/>
    </row>
    <row r="95" spans="1:34" ht="18" customHeight="1">
      <c r="A95" s="673"/>
      <c r="B95" s="262">
        <v>0</v>
      </c>
      <c r="C95" s="138" t="s">
        <v>19</v>
      </c>
      <c r="D95" s="630" t="s">
        <v>220</v>
      </c>
      <c r="E95" s="630"/>
      <c r="F95" s="113"/>
      <c r="G95" s="114"/>
      <c r="H95" s="263"/>
      <c r="I95" s="142"/>
      <c r="J95" s="264">
        <v>19.333333333333332</v>
      </c>
      <c r="K95" s="264">
        <v>1403.3333333333333</v>
      </c>
      <c r="L95" s="265">
        <v>74.285714285714278</v>
      </c>
      <c r="M95" s="264">
        <f t="shared" ref="M95:O95" si="65">AVERAGE(M83:M94)</f>
        <v>18.777777777777779</v>
      </c>
      <c r="N95" s="264">
        <f t="shared" si="65"/>
        <v>1088.3517892213395</v>
      </c>
      <c r="O95" s="265">
        <f t="shared" si="65"/>
        <v>59.022592033083434</v>
      </c>
      <c r="P95" s="266">
        <f>M95-J95</f>
        <v>-0.55555555555555358</v>
      </c>
      <c r="Q95" s="267">
        <f t="shared" ref="Q95:Q104" si="66">O95-L95</f>
        <v>-15.263122252630843</v>
      </c>
      <c r="R95" s="268">
        <f>O95/L95</f>
        <v>0.79453489275304634</v>
      </c>
      <c r="S95" s="662"/>
      <c r="T95" s="107"/>
      <c r="U95" s="107"/>
      <c r="V95" s="104"/>
      <c r="W95" s="104"/>
      <c r="X95" s="122"/>
      <c r="Y95" s="122"/>
      <c r="Z95" s="145">
        <f>SUM(Z83:Z94)</f>
        <v>0</v>
      </c>
      <c r="AA95" s="145">
        <f>SUM(AA83:AA94)</f>
        <v>0</v>
      </c>
      <c r="AB95" s="637"/>
      <c r="AC95" s="637"/>
      <c r="AD95" s="146">
        <f>SUM(AD83:AD94)</f>
        <v>0</v>
      </c>
      <c r="AE95" s="146">
        <f>SUM(AE83:AE94)</f>
        <v>0</v>
      </c>
      <c r="AF95" s="118">
        <f t="shared" si="63"/>
        <v>-314.9815441119938</v>
      </c>
      <c r="AG95" s="125">
        <f t="shared" si="64"/>
        <v>0.77554759326936307</v>
      </c>
      <c r="AH95" s="662"/>
    </row>
    <row r="96" spans="1:34" ht="18" customHeight="1">
      <c r="A96" s="669" t="s">
        <v>229</v>
      </c>
      <c r="B96" s="65" t="s">
        <v>247</v>
      </c>
      <c r="C96" s="176"/>
      <c r="D96" s="80" t="s">
        <v>149</v>
      </c>
      <c r="E96" s="81"/>
      <c r="F96" s="82">
        <v>28.47</v>
      </c>
      <c r="G96" s="83">
        <v>1261</v>
      </c>
      <c r="H96" s="84">
        <f t="shared" ref="H96:H106" si="67">F96*G96</f>
        <v>35900.67</v>
      </c>
      <c r="I96" s="65"/>
      <c r="J96" s="86">
        <v>19</v>
      </c>
      <c r="K96" s="83">
        <v>1440</v>
      </c>
      <c r="L96" s="87">
        <v>75.78947368421052</v>
      </c>
      <c r="M96" s="88">
        <v>18</v>
      </c>
      <c r="N96" s="83">
        <f t="shared" ref="N96:N104" si="68">G96/W96*60</f>
        <v>1282.3728813559317</v>
      </c>
      <c r="O96" s="87">
        <f t="shared" ref="O96:O104" si="69">N96/M96</f>
        <v>71.242937853107321</v>
      </c>
      <c r="P96" s="89">
        <f t="shared" ref="P96:P104" si="70">M96-J96</f>
        <v>-1</v>
      </c>
      <c r="Q96" s="90">
        <f t="shared" si="66"/>
        <v>-4.5465358311031991</v>
      </c>
      <c r="R96" s="91">
        <f t="shared" ref="R96:R104" si="71">O96/L96</f>
        <v>0.94001098556183282</v>
      </c>
      <c r="S96" s="659">
        <f>R108</f>
        <v>0.86771156318643894</v>
      </c>
      <c r="T96" s="134">
        <v>0.375</v>
      </c>
      <c r="U96" s="134">
        <v>0.41597222222222224</v>
      </c>
      <c r="V96" s="97">
        <v>5</v>
      </c>
      <c r="W96" s="135">
        <f t="shared" ref="W96:W122" si="72">(U96-T96)*24*60</f>
        <v>59.000000000000028</v>
      </c>
      <c r="X96" s="136"/>
      <c r="Y96" s="136"/>
      <c r="Z96" s="96"/>
      <c r="AA96" s="96"/>
      <c r="AB96" s="629"/>
      <c r="AC96" s="629"/>
      <c r="AD96" s="97"/>
      <c r="AE96" s="97"/>
      <c r="AF96" s="96">
        <f t="shared" si="63"/>
        <v>-157.62711864406833</v>
      </c>
      <c r="AG96" s="133">
        <f t="shared" si="64"/>
        <v>0.89053672316384147</v>
      </c>
      <c r="AH96" s="632">
        <f>AG108</f>
        <v>0.85903023047890648</v>
      </c>
    </row>
    <row r="97" spans="1:34" s="282" customFormat="1" ht="18" customHeight="1">
      <c r="A97" s="669"/>
      <c r="B97" s="65" t="s">
        <v>251</v>
      </c>
      <c r="C97" s="269"/>
      <c r="D97" s="270" t="s">
        <v>150</v>
      </c>
      <c r="E97" s="99"/>
      <c r="F97" s="271">
        <v>53.27</v>
      </c>
      <c r="G97" s="272">
        <v>1541</v>
      </c>
      <c r="H97" s="273">
        <f t="shared" si="67"/>
        <v>82089.070000000007</v>
      </c>
      <c r="I97" s="192"/>
      <c r="J97" s="274">
        <v>17</v>
      </c>
      <c r="K97" s="100">
        <v>1500</v>
      </c>
      <c r="L97" s="87">
        <v>88.235294117647058</v>
      </c>
      <c r="M97" s="130">
        <v>17</v>
      </c>
      <c r="N97" s="100">
        <f t="shared" si="68"/>
        <v>1340</v>
      </c>
      <c r="O97" s="131">
        <f t="shared" si="69"/>
        <v>78.82352941176471</v>
      </c>
      <c r="P97" s="275">
        <f t="shared" si="70"/>
        <v>0</v>
      </c>
      <c r="Q97" s="276">
        <f t="shared" si="66"/>
        <v>-9.4117647058823479</v>
      </c>
      <c r="R97" s="277">
        <f t="shared" si="71"/>
        <v>0.89333333333333342</v>
      </c>
      <c r="S97" s="659"/>
      <c r="T97" s="278">
        <v>0.42083333333333334</v>
      </c>
      <c r="U97" s="278">
        <v>0.46875</v>
      </c>
      <c r="V97" s="279">
        <v>7</v>
      </c>
      <c r="W97" s="135">
        <f t="shared" si="72"/>
        <v>69</v>
      </c>
      <c r="X97" s="95"/>
      <c r="Y97" s="95"/>
      <c r="Z97" s="96"/>
      <c r="AA97" s="96"/>
      <c r="AB97" s="671"/>
      <c r="AC97" s="671"/>
      <c r="AD97" s="279">
        <v>1</v>
      </c>
      <c r="AE97" s="279"/>
      <c r="AF97" s="280">
        <f t="shared" si="63"/>
        <v>-160</v>
      </c>
      <c r="AG97" s="281">
        <f t="shared" si="64"/>
        <v>0.89333333333333331</v>
      </c>
      <c r="AH97" s="632"/>
    </row>
    <row r="98" spans="1:34" s="286" customFormat="1" ht="18" customHeight="1">
      <c r="A98" s="669"/>
      <c r="B98" s="65" t="s">
        <v>251</v>
      </c>
      <c r="C98" s="98"/>
      <c r="D98" s="80" t="s">
        <v>151</v>
      </c>
      <c r="E98" s="169"/>
      <c r="F98" s="271">
        <v>53.68</v>
      </c>
      <c r="G98" s="100">
        <v>984</v>
      </c>
      <c r="H98" s="273">
        <f t="shared" si="67"/>
        <v>52821.120000000003</v>
      </c>
      <c r="I98" s="97"/>
      <c r="J98" s="274">
        <v>16</v>
      </c>
      <c r="K98" s="100">
        <v>1500</v>
      </c>
      <c r="L98" s="87">
        <v>93.75</v>
      </c>
      <c r="M98" s="130">
        <v>16</v>
      </c>
      <c r="N98" s="100">
        <f t="shared" si="68"/>
        <v>1341.8181818181843</v>
      </c>
      <c r="O98" s="131">
        <f t="shared" si="69"/>
        <v>83.863636363636516</v>
      </c>
      <c r="P98" s="96">
        <f t="shared" si="70"/>
        <v>0</v>
      </c>
      <c r="Q98" s="132">
        <f t="shared" si="66"/>
        <v>-9.8863636363634839</v>
      </c>
      <c r="R98" s="91">
        <f t="shared" si="71"/>
        <v>0.8945454545454562</v>
      </c>
      <c r="S98" s="659"/>
      <c r="T98" s="134">
        <v>0.48333333333333334</v>
      </c>
      <c r="U98" s="134">
        <v>0.51388888888888884</v>
      </c>
      <c r="V98" s="97">
        <v>21</v>
      </c>
      <c r="W98" s="135">
        <f t="shared" si="72"/>
        <v>43.999999999999922</v>
      </c>
      <c r="X98" s="283">
        <v>0.47222222222222227</v>
      </c>
      <c r="Y98" s="283">
        <v>0.48055555555555557</v>
      </c>
      <c r="Z98" s="284"/>
      <c r="AA98" s="284"/>
      <c r="AB98" s="644"/>
      <c r="AC98" s="644"/>
      <c r="AD98" s="97"/>
      <c r="AE98" s="97"/>
      <c r="AF98" s="285">
        <f t="shared" si="63"/>
        <v>-158.18181818181574</v>
      </c>
      <c r="AG98" s="91">
        <f t="shared" si="64"/>
        <v>0.8945454545454562</v>
      </c>
      <c r="AH98" s="632"/>
    </row>
    <row r="99" spans="1:34" ht="18" customHeight="1">
      <c r="A99" s="669"/>
      <c r="B99" s="65" t="s">
        <v>252</v>
      </c>
      <c r="C99" s="127"/>
      <c r="D99" s="168" t="s">
        <v>152</v>
      </c>
      <c r="E99" s="169"/>
      <c r="F99" s="271">
        <v>59.34</v>
      </c>
      <c r="G99" s="100">
        <v>611</v>
      </c>
      <c r="H99" s="273">
        <f t="shared" si="67"/>
        <v>36256.740000000005</v>
      </c>
      <c r="I99" s="97"/>
      <c r="J99" s="86">
        <v>17</v>
      </c>
      <c r="K99" s="83">
        <v>1440</v>
      </c>
      <c r="L99" s="87">
        <v>84.705882352941174</v>
      </c>
      <c r="M99" s="88">
        <v>18</v>
      </c>
      <c r="N99" s="100">
        <f t="shared" si="68"/>
        <v>1264.1379310344803</v>
      </c>
      <c r="O99" s="131">
        <f t="shared" si="69"/>
        <v>70.229885057471122</v>
      </c>
      <c r="P99" s="275">
        <f t="shared" si="70"/>
        <v>1</v>
      </c>
      <c r="Q99" s="276">
        <f t="shared" si="66"/>
        <v>-14.475997295470052</v>
      </c>
      <c r="R99" s="277">
        <f t="shared" si="71"/>
        <v>0.82910280970625638</v>
      </c>
      <c r="S99" s="659"/>
      <c r="T99" s="134">
        <v>0.55486111111111103</v>
      </c>
      <c r="U99" s="134">
        <v>0.57499999999999996</v>
      </c>
      <c r="V99" s="97">
        <v>6</v>
      </c>
      <c r="W99" s="135">
        <f t="shared" si="72"/>
        <v>29.000000000000057</v>
      </c>
      <c r="X99" s="235"/>
      <c r="Y99" s="235"/>
      <c r="Z99" s="167"/>
      <c r="AA99" s="167"/>
      <c r="AB99" s="644"/>
      <c r="AC99" s="644"/>
      <c r="AD99" s="97"/>
      <c r="AE99" s="97"/>
      <c r="AF99" s="89">
        <f t="shared" si="63"/>
        <v>-175.86206896551971</v>
      </c>
      <c r="AG99" s="170">
        <f t="shared" si="64"/>
        <v>0.87787356321838905</v>
      </c>
      <c r="AH99" s="632"/>
    </row>
    <row r="100" spans="1:34" s="286" customFormat="1" ht="18" customHeight="1">
      <c r="A100" s="669"/>
      <c r="B100" s="65" t="s">
        <v>252</v>
      </c>
      <c r="C100" s="98"/>
      <c r="D100" s="80" t="s">
        <v>153</v>
      </c>
      <c r="E100" s="169"/>
      <c r="F100" s="271">
        <v>47.37</v>
      </c>
      <c r="G100" s="100">
        <v>570</v>
      </c>
      <c r="H100" s="273">
        <f t="shared" si="67"/>
        <v>27000.899999999998</v>
      </c>
      <c r="I100" s="97"/>
      <c r="J100" s="274">
        <v>17</v>
      </c>
      <c r="K100" s="100">
        <v>1636</v>
      </c>
      <c r="L100" s="87">
        <v>96.235294117647058</v>
      </c>
      <c r="M100" s="130">
        <v>17</v>
      </c>
      <c r="N100" s="100">
        <f t="shared" si="68"/>
        <v>1221.4285714285686</v>
      </c>
      <c r="O100" s="131">
        <f t="shared" si="69"/>
        <v>71.848739495798156</v>
      </c>
      <c r="P100" s="96">
        <f t="shared" si="70"/>
        <v>0</v>
      </c>
      <c r="Q100" s="132">
        <f t="shared" si="66"/>
        <v>-24.386554621848902</v>
      </c>
      <c r="R100" s="91">
        <f t="shared" si="71"/>
        <v>0.74659448131330608</v>
      </c>
      <c r="S100" s="659"/>
      <c r="T100" s="278">
        <v>0.57986111111111105</v>
      </c>
      <c r="U100" s="278">
        <v>0.59930555555555554</v>
      </c>
      <c r="V100" s="279">
        <v>7</v>
      </c>
      <c r="W100" s="135">
        <f t="shared" si="72"/>
        <v>28.00000000000006</v>
      </c>
      <c r="X100" s="287"/>
      <c r="Y100" s="287"/>
      <c r="Z100" s="284"/>
      <c r="AA100" s="284"/>
      <c r="AB100" s="637"/>
      <c r="AC100" s="637"/>
      <c r="AD100" s="97"/>
      <c r="AE100" s="97"/>
      <c r="AF100" s="285">
        <f t="shared" si="63"/>
        <v>-414.5714285714314</v>
      </c>
      <c r="AG100" s="91">
        <f t="shared" si="64"/>
        <v>0.74659448131330597</v>
      </c>
      <c r="AH100" s="632"/>
    </row>
    <row r="101" spans="1:34" s="286" customFormat="1" ht="18" customHeight="1">
      <c r="A101" s="669"/>
      <c r="B101" s="65" t="s">
        <v>252</v>
      </c>
      <c r="C101" s="98"/>
      <c r="D101" s="168" t="s">
        <v>154</v>
      </c>
      <c r="E101" s="169"/>
      <c r="F101" s="271">
        <v>77.34</v>
      </c>
      <c r="G101" s="100">
        <v>656</v>
      </c>
      <c r="H101" s="273">
        <f t="shared" si="67"/>
        <v>50735.040000000001</v>
      </c>
      <c r="I101" s="97"/>
      <c r="J101" s="274">
        <v>19</v>
      </c>
      <c r="K101" s="100">
        <v>1440</v>
      </c>
      <c r="L101" s="87">
        <v>75.78947368421052</v>
      </c>
      <c r="M101" s="130">
        <v>18</v>
      </c>
      <c r="N101" s="100">
        <f t="shared" si="68"/>
        <v>1269.6774193548367</v>
      </c>
      <c r="O101" s="131">
        <f t="shared" si="69"/>
        <v>70.537634408602045</v>
      </c>
      <c r="P101" s="275">
        <f t="shared" si="70"/>
        <v>-1</v>
      </c>
      <c r="Q101" s="276">
        <f t="shared" si="66"/>
        <v>-5.2518392756084751</v>
      </c>
      <c r="R101" s="277">
        <f t="shared" si="71"/>
        <v>0.93070489844683257</v>
      </c>
      <c r="S101" s="659"/>
      <c r="T101" s="278">
        <v>0.60347222222222219</v>
      </c>
      <c r="U101" s="134">
        <v>0.625</v>
      </c>
      <c r="V101" s="279">
        <v>6</v>
      </c>
      <c r="W101" s="135">
        <f t="shared" si="72"/>
        <v>31.00000000000005</v>
      </c>
      <c r="X101" s="288"/>
      <c r="Y101" s="288"/>
      <c r="Z101" s="284"/>
      <c r="AA101" s="284"/>
      <c r="AB101" s="637"/>
      <c r="AC101" s="637"/>
      <c r="AD101" s="97"/>
      <c r="AE101" s="97"/>
      <c r="AF101" s="89">
        <f t="shared" si="63"/>
        <v>-170.32258064516327</v>
      </c>
      <c r="AG101" s="170">
        <f t="shared" si="64"/>
        <v>0.88172043010752554</v>
      </c>
      <c r="AH101" s="632"/>
    </row>
    <row r="102" spans="1:34" s="286" customFormat="1" ht="18" customHeight="1">
      <c r="A102" s="669"/>
      <c r="B102" s="65" t="s">
        <v>251</v>
      </c>
      <c r="C102" s="230"/>
      <c r="D102" s="231" t="s">
        <v>155</v>
      </c>
      <c r="E102" s="232"/>
      <c r="F102" s="271">
        <v>56.43</v>
      </c>
      <c r="G102" s="100">
        <v>1077</v>
      </c>
      <c r="H102" s="273">
        <f t="shared" si="67"/>
        <v>60775.11</v>
      </c>
      <c r="I102" s="65"/>
      <c r="J102" s="86">
        <v>19</v>
      </c>
      <c r="K102" s="83">
        <v>1500</v>
      </c>
      <c r="L102" s="87">
        <v>78.94736842105263</v>
      </c>
      <c r="M102" s="130">
        <v>18</v>
      </c>
      <c r="N102" s="100">
        <f t="shared" si="68"/>
        <v>1346.2500000000005</v>
      </c>
      <c r="O102" s="131">
        <f t="shared" si="69"/>
        <v>74.791666666666686</v>
      </c>
      <c r="P102" s="275">
        <f t="shared" si="70"/>
        <v>-1</v>
      </c>
      <c r="Q102" s="276">
        <f t="shared" si="66"/>
        <v>-4.1557017543859445</v>
      </c>
      <c r="R102" s="277">
        <f t="shared" si="71"/>
        <v>0.94736111111111132</v>
      </c>
      <c r="S102" s="659"/>
      <c r="T102" s="278">
        <v>0.63055555555555554</v>
      </c>
      <c r="U102" s="278">
        <v>0.66388888888888886</v>
      </c>
      <c r="V102" s="279">
        <v>8</v>
      </c>
      <c r="W102" s="135">
        <f t="shared" si="72"/>
        <v>47.999999999999986</v>
      </c>
      <c r="X102" s="288"/>
      <c r="Y102" s="288"/>
      <c r="Z102" s="284"/>
      <c r="AA102" s="284"/>
      <c r="AB102" s="637"/>
      <c r="AC102" s="637"/>
      <c r="AD102" s="97"/>
      <c r="AE102" s="97"/>
      <c r="AF102" s="285">
        <f t="shared" si="63"/>
        <v>-153.74999999999955</v>
      </c>
      <c r="AG102" s="91">
        <f t="shared" si="64"/>
        <v>0.8975000000000003</v>
      </c>
      <c r="AH102" s="632"/>
    </row>
    <row r="103" spans="1:34" s="286" customFormat="1" ht="18" customHeight="1">
      <c r="A103" s="669"/>
      <c r="B103" s="65" t="s">
        <v>251</v>
      </c>
      <c r="C103" s="289"/>
      <c r="D103" s="168" t="s">
        <v>156</v>
      </c>
      <c r="E103" s="169"/>
      <c r="F103" s="271">
        <v>50.67</v>
      </c>
      <c r="G103" s="100">
        <v>452</v>
      </c>
      <c r="H103" s="273">
        <f t="shared" si="67"/>
        <v>22902.84</v>
      </c>
      <c r="I103" s="290"/>
      <c r="J103" s="274">
        <v>17</v>
      </c>
      <c r="K103" s="100">
        <v>1440</v>
      </c>
      <c r="L103" s="87">
        <v>84.705882352941174</v>
      </c>
      <c r="M103" s="130">
        <v>17</v>
      </c>
      <c r="N103" s="100">
        <f t="shared" si="68"/>
        <v>1084.799999999997</v>
      </c>
      <c r="O103" s="131">
        <f t="shared" si="69"/>
        <v>63.811764705882176</v>
      </c>
      <c r="P103" s="275">
        <f t="shared" si="70"/>
        <v>0</v>
      </c>
      <c r="Q103" s="276">
        <f t="shared" si="66"/>
        <v>-20.894117647058998</v>
      </c>
      <c r="R103" s="277">
        <f t="shared" si="71"/>
        <v>0.7533333333333313</v>
      </c>
      <c r="S103" s="659"/>
      <c r="T103" s="278">
        <v>0.70833333333333337</v>
      </c>
      <c r="U103" s="278">
        <v>0.72569444444444453</v>
      </c>
      <c r="V103" s="279">
        <v>5</v>
      </c>
      <c r="W103" s="135">
        <f t="shared" si="72"/>
        <v>25.000000000000071</v>
      </c>
      <c r="X103" s="288"/>
      <c r="Y103" s="288"/>
      <c r="Z103" s="284"/>
      <c r="AA103" s="284"/>
      <c r="AB103" s="637"/>
      <c r="AC103" s="637"/>
      <c r="AD103" s="97"/>
      <c r="AE103" s="97"/>
      <c r="AF103" s="89">
        <f t="shared" si="63"/>
        <v>-355.200000000003</v>
      </c>
      <c r="AG103" s="170">
        <f t="shared" si="64"/>
        <v>0.7533333333333313</v>
      </c>
      <c r="AH103" s="632"/>
    </row>
    <row r="104" spans="1:34" s="286" customFormat="1" ht="18" customHeight="1">
      <c r="A104" s="669"/>
      <c r="B104" s="65" t="s">
        <v>251</v>
      </c>
      <c r="C104" s="291"/>
      <c r="D104" s="168" t="s">
        <v>157</v>
      </c>
      <c r="E104" s="169"/>
      <c r="F104" s="271">
        <v>54.09</v>
      </c>
      <c r="G104" s="272">
        <v>1806</v>
      </c>
      <c r="H104" s="273">
        <f t="shared" si="67"/>
        <v>97686.540000000008</v>
      </c>
      <c r="I104" s="289"/>
      <c r="J104" s="86">
        <v>17</v>
      </c>
      <c r="K104" s="83">
        <v>1440</v>
      </c>
      <c r="L104" s="87">
        <v>84.705882352941174</v>
      </c>
      <c r="M104" s="130">
        <v>17</v>
      </c>
      <c r="N104" s="100">
        <f t="shared" si="68"/>
        <v>1305.5421686746984</v>
      </c>
      <c r="O104" s="131">
        <f t="shared" si="69"/>
        <v>76.796598157335197</v>
      </c>
      <c r="P104" s="275">
        <f t="shared" si="70"/>
        <v>0</v>
      </c>
      <c r="Q104" s="276">
        <f t="shared" si="66"/>
        <v>-7.9092841956059772</v>
      </c>
      <c r="R104" s="277">
        <f t="shared" si="71"/>
        <v>0.90662650602409611</v>
      </c>
      <c r="S104" s="662"/>
      <c r="T104" s="278">
        <v>0.72986111111111118</v>
      </c>
      <c r="U104" s="278">
        <v>0.78750000000000009</v>
      </c>
      <c r="V104" s="279">
        <v>6</v>
      </c>
      <c r="W104" s="135">
        <f t="shared" si="72"/>
        <v>83.000000000000028</v>
      </c>
      <c r="X104" s="288"/>
      <c r="Y104" s="288"/>
      <c r="Z104" s="284"/>
      <c r="AA104" s="284"/>
      <c r="AB104" s="637"/>
      <c r="AC104" s="637"/>
      <c r="AD104" s="97"/>
      <c r="AE104" s="97"/>
      <c r="AF104" s="285">
        <f t="shared" si="63"/>
        <v>-134.45783132530164</v>
      </c>
      <c r="AG104" s="91">
        <f t="shared" si="64"/>
        <v>0.90662650602409611</v>
      </c>
      <c r="AH104" s="632"/>
    </row>
    <row r="105" spans="1:34" s="286" customFormat="1" ht="18" customHeight="1">
      <c r="A105" s="669"/>
      <c r="B105" s="65">
        <v>0</v>
      </c>
      <c r="C105" s="291"/>
      <c r="D105" s="168"/>
      <c r="E105" s="169"/>
      <c r="F105" s="271" t="s">
        <v>253</v>
      </c>
      <c r="G105" s="272"/>
      <c r="H105" s="273">
        <f t="shared" si="67"/>
        <v>0</v>
      </c>
      <c r="I105" s="289"/>
      <c r="J105" s="274"/>
      <c r="K105" s="100"/>
      <c r="L105" s="87"/>
      <c r="M105" s="130"/>
      <c r="N105" s="100"/>
      <c r="O105" s="131"/>
      <c r="P105" s="96"/>
      <c r="Q105" s="132"/>
      <c r="R105" s="91"/>
      <c r="S105" s="662"/>
      <c r="T105" s="278"/>
      <c r="U105" s="278"/>
      <c r="V105" s="279"/>
      <c r="W105" s="135">
        <f t="shared" si="72"/>
        <v>0</v>
      </c>
      <c r="X105" s="288"/>
      <c r="Y105" s="288"/>
      <c r="Z105" s="284"/>
      <c r="AA105" s="284"/>
      <c r="AB105" s="637"/>
      <c r="AC105" s="637"/>
      <c r="AD105" s="97"/>
      <c r="AE105" s="97"/>
      <c r="AF105" s="284"/>
      <c r="AG105" s="133"/>
      <c r="AH105" s="632"/>
    </row>
    <row r="106" spans="1:34" s="286" customFormat="1" ht="18" customHeight="1">
      <c r="A106" s="669"/>
      <c r="B106" s="65">
        <v>0</v>
      </c>
      <c r="C106" s="291"/>
      <c r="D106" s="168"/>
      <c r="E106" s="169"/>
      <c r="F106" s="82" t="s">
        <v>253</v>
      </c>
      <c r="G106" s="272"/>
      <c r="H106" s="273">
        <f t="shared" si="67"/>
        <v>0</v>
      </c>
      <c r="I106" s="289"/>
      <c r="J106" s="233"/>
      <c r="K106" s="234"/>
      <c r="L106" s="122"/>
      <c r="M106" s="130"/>
      <c r="N106" s="234"/>
      <c r="O106" s="292"/>
      <c r="P106" s="96"/>
      <c r="Q106" s="132"/>
      <c r="R106" s="133"/>
      <c r="S106" s="670"/>
      <c r="T106" s="278"/>
      <c r="U106" s="278"/>
      <c r="V106" s="279"/>
      <c r="W106" s="135">
        <f t="shared" si="72"/>
        <v>0</v>
      </c>
      <c r="X106" s="288"/>
      <c r="Y106" s="288"/>
      <c r="Z106" s="284"/>
      <c r="AA106" s="284"/>
      <c r="AB106" s="637"/>
      <c r="AC106" s="637"/>
      <c r="AD106" s="97"/>
      <c r="AE106" s="97"/>
      <c r="AF106" s="284"/>
      <c r="AG106" s="133"/>
      <c r="AH106" s="632"/>
    </row>
    <row r="107" spans="1:34" s="286" customFormat="1" ht="18" customHeight="1">
      <c r="A107" s="669"/>
      <c r="B107" s="289">
        <v>0</v>
      </c>
      <c r="C107" s="291"/>
      <c r="D107" s="168"/>
      <c r="E107" s="169"/>
      <c r="F107" s="82" t="s">
        <v>253</v>
      </c>
      <c r="G107" s="272"/>
      <c r="H107" s="293">
        <f>F107*G107</f>
        <v>0</v>
      </c>
      <c r="I107" s="289"/>
      <c r="J107" s="233"/>
      <c r="K107" s="234"/>
      <c r="L107" s="122"/>
      <c r="M107" s="130"/>
      <c r="N107" s="234"/>
      <c r="O107" s="292"/>
      <c r="P107" s="96"/>
      <c r="Q107" s="132"/>
      <c r="R107" s="133"/>
      <c r="S107" s="670"/>
      <c r="T107" s="278"/>
      <c r="U107" s="278"/>
      <c r="V107" s="279"/>
      <c r="W107" s="135">
        <f t="shared" si="72"/>
        <v>0</v>
      </c>
      <c r="X107" s="288"/>
      <c r="Y107" s="288"/>
      <c r="Z107" s="284"/>
      <c r="AA107" s="284"/>
      <c r="AB107" s="637"/>
      <c r="AC107" s="637"/>
      <c r="AD107" s="97"/>
      <c r="AE107" s="97"/>
      <c r="AF107" s="284"/>
      <c r="AG107" s="133"/>
      <c r="AH107" s="632"/>
    </row>
    <row r="108" spans="1:34" ht="18" customHeight="1">
      <c r="A108" s="669"/>
      <c r="B108" s="147">
        <v>0</v>
      </c>
      <c r="C108" s="138" t="s">
        <v>20</v>
      </c>
      <c r="D108" s="630" t="s">
        <v>220</v>
      </c>
      <c r="E108" s="630"/>
      <c r="F108" s="294"/>
      <c r="G108" s="140"/>
      <c r="H108" s="141"/>
      <c r="I108" s="142"/>
      <c r="J108" s="140">
        <v>17.555555555555557</v>
      </c>
      <c r="K108" s="140">
        <v>1481.7777777777778</v>
      </c>
      <c r="L108" s="143">
        <v>84.76272789817682</v>
      </c>
      <c r="M108" s="140">
        <f t="shared" ref="M108:O108" si="73">AVERAGE(M96:M107)</f>
        <v>17.333333333333332</v>
      </c>
      <c r="N108" s="140">
        <f t="shared" si="73"/>
        <v>1272.8919059629663</v>
      </c>
      <c r="O108" s="143">
        <f t="shared" si="73"/>
        <v>73.549599124473787</v>
      </c>
      <c r="P108" s="96">
        <f t="shared" ref="P108:P113" si="74">M108-J108</f>
        <v>-0.22222222222222499</v>
      </c>
      <c r="Q108" s="132">
        <f t="shared" ref="Q108:Q113" si="75">O108-L108</f>
        <v>-11.213128773703033</v>
      </c>
      <c r="R108" s="144">
        <f t="shared" ref="R108:R113" si="76">O108/L108</f>
        <v>0.86771156318643894</v>
      </c>
      <c r="S108" s="662"/>
      <c r="T108" s="134"/>
      <c r="U108" s="134"/>
      <c r="V108" s="100"/>
      <c r="W108" s="135">
        <f t="shared" si="72"/>
        <v>0</v>
      </c>
      <c r="X108" s="131"/>
      <c r="Y108" s="131"/>
      <c r="Z108" s="145">
        <f>SUM(Z96:Z107)</f>
        <v>0</v>
      </c>
      <c r="AA108" s="145">
        <f>SUM(AA96:AA107)</f>
        <v>0</v>
      </c>
      <c r="AB108" s="629"/>
      <c r="AC108" s="629"/>
      <c r="AD108" s="146">
        <f>SUM(AD96:AD107)</f>
        <v>1</v>
      </c>
      <c r="AE108" s="146">
        <f>SUM(AE96:AE107)</f>
        <v>0</v>
      </c>
      <c r="AF108" s="96">
        <f t="shared" si="63"/>
        <v>-208.88587181481148</v>
      </c>
      <c r="AG108" s="133">
        <f t="shared" si="64"/>
        <v>0.85903023047890648</v>
      </c>
      <c r="AH108" s="632"/>
    </row>
    <row r="109" spans="1:34" ht="18" customHeight="1">
      <c r="A109" s="665" t="s">
        <v>230</v>
      </c>
      <c r="B109" s="65" t="s">
        <v>251</v>
      </c>
      <c r="C109" s="219"/>
      <c r="D109" s="231" t="s">
        <v>158</v>
      </c>
      <c r="E109" s="81"/>
      <c r="F109" s="82">
        <v>51.86</v>
      </c>
      <c r="G109" s="83">
        <v>912</v>
      </c>
      <c r="H109" s="84">
        <f t="shared" ref="H109:H118" si="77">F109*G109</f>
        <v>47296.32</v>
      </c>
      <c r="I109" s="65"/>
      <c r="J109" s="86">
        <v>21</v>
      </c>
      <c r="K109" s="83">
        <v>1500</v>
      </c>
      <c r="L109" s="87">
        <v>71.428571428571431</v>
      </c>
      <c r="M109" s="88">
        <v>20</v>
      </c>
      <c r="N109" s="83">
        <f t="shared" ref="N109:N113" si="78">G109/W109*60</f>
        <v>1334.6341463414628</v>
      </c>
      <c r="O109" s="87">
        <f t="shared" ref="O109:O113" si="79">N109/M109</f>
        <v>66.731707317073145</v>
      </c>
      <c r="P109" s="89">
        <f t="shared" si="74"/>
        <v>-1</v>
      </c>
      <c r="Q109" s="90">
        <f t="shared" si="75"/>
        <v>-4.6968641114982859</v>
      </c>
      <c r="R109" s="91">
        <f t="shared" si="76"/>
        <v>0.934243902439024</v>
      </c>
      <c r="S109" s="668">
        <f>R121</f>
        <v>0.85797912543810584</v>
      </c>
      <c r="T109" s="295">
        <v>0.5</v>
      </c>
      <c r="U109" s="295">
        <v>0.52847222222222223</v>
      </c>
      <c r="V109" s="296">
        <v>5</v>
      </c>
      <c r="W109" s="85">
        <f t="shared" si="72"/>
        <v>41.000000000000014</v>
      </c>
      <c r="X109" s="95"/>
      <c r="Y109" s="95"/>
      <c r="Z109" s="96"/>
      <c r="AA109" s="96"/>
      <c r="AB109" s="644"/>
      <c r="AC109" s="644"/>
      <c r="AD109" s="97"/>
      <c r="AE109" s="97"/>
      <c r="AF109" s="89">
        <f t="shared" si="63"/>
        <v>-165.36585365853716</v>
      </c>
      <c r="AG109" s="170">
        <f t="shared" si="64"/>
        <v>0.88975609756097518</v>
      </c>
      <c r="AH109" s="632">
        <f>AG121</f>
        <v>0.85818869274860554</v>
      </c>
    </row>
    <row r="110" spans="1:34" ht="18" customHeight="1">
      <c r="A110" s="666"/>
      <c r="B110" s="65" t="s">
        <v>252</v>
      </c>
      <c r="C110" s="230"/>
      <c r="D110" s="80" t="s">
        <v>159</v>
      </c>
      <c r="E110" s="232"/>
      <c r="F110" s="82">
        <v>53.76</v>
      </c>
      <c r="G110" s="229">
        <v>2392</v>
      </c>
      <c r="H110" s="84">
        <f t="shared" si="77"/>
        <v>128593.92</v>
      </c>
      <c r="I110" s="65"/>
      <c r="J110" s="86">
        <v>16</v>
      </c>
      <c r="K110" s="83">
        <v>1440</v>
      </c>
      <c r="L110" s="87">
        <v>90</v>
      </c>
      <c r="M110" s="88">
        <v>16</v>
      </c>
      <c r="N110" s="83">
        <f t="shared" si="78"/>
        <v>1270.0884955752203</v>
      </c>
      <c r="O110" s="87">
        <f t="shared" si="79"/>
        <v>79.380530973451272</v>
      </c>
      <c r="P110" s="89">
        <f t="shared" si="74"/>
        <v>0</v>
      </c>
      <c r="Q110" s="90">
        <f t="shared" si="75"/>
        <v>-10.619469026548728</v>
      </c>
      <c r="R110" s="91">
        <f t="shared" si="76"/>
        <v>0.88200589970501408</v>
      </c>
      <c r="S110" s="651"/>
      <c r="T110" s="295">
        <v>0.54444444444444451</v>
      </c>
      <c r="U110" s="295">
        <v>0.62291666666666679</v>
      </c>
      <c r="V110" s="296">
        <v>23</v>
      </c>
      <c r="W110" s="85">
        <f t="shared" si="72"/>
        <v>113.00000000000009</v>
      </c>
      <c r="X110" s="249">
        <v>0.53194444444444444</v>
      </c>
      <c r="Y110" s="249">
        <v>0.54166666666666663</v>
      </c>
      <c r="Z110" s="96"/>
      <c r="AA110" s="96"/>
      <c r="AB110" s="657"/>
      <c r="AC110" s="657"/>
      <c r="AD110" s="97"/>
      <c r="AE110" s="97"/>
      <c r="AF110" s="238">
        <f t="shared" si="63"/>
        <v>-169.91150442477965</v>
      </c>
      <c r="AG110" s="170">
        <f t="shared" si="64"/>
        <v>0.88200589970501408</v>
      </c>
      <c r="AH110" s="632"/>
    </row>
    <row r="111" spans="1:34" ht="18" customHeight="1">
      <c r="A111" s="666"/>
      <c r="B111" s="65" t="s">
        <v>251</v>
      </c>
      <c r="C111" s="230"/>
      <c r="D111" s="80" t="s">
        <v>150</v>
      </c>
      <c r="E111" s="232"/>
      <c r="F111" s="82">
        <v>53.27</v>
      </c>
      <c r="G111" s="100">
        <v>308.20000000000005</v>
      </c>
      <c r="H111" s="84">
        <f t="shared" si="77"/>
        <v>16417.814000000002</v>
      </c>
      <c r="I111" s="65"/>
      <c r="J111" s="86">
        <v>17</v>
      </c>
      <c r="K111" s="83">
        <v>1500</v>
      </c>
      <c r="L111" s="87">
        <v>88.235294117647058</v>
      </c>
      <c r="M111" s="155">
        <v>17</v>
      </c>
      <c r="N111" s="83">
        <f t="shared" si="78"/>
        <v>1320.8571428571477</v>
      </c>
      <c r="O111" s="87">
        <f t="shared" si="79"/>
        <v>77.697478991596924</v>
      </c>
      <c r="P111" s="89">
        <f t="shared" si="74"/>
        <v>0</v>
      </c>
      <c r="Q111" s="90">
        <f t="shared" si="75"/>
        <v>-10.537815126050134</v>
      </c>
      <c r="R111" s="91">
        <f t="shared" si="76"/>
        <v>0.88057142857143178</v>
      </c>
      <c r="S111" s="651"/>
      <c r="T111" s="295">
        <v>0.62708333333333344</v>
      </c>
      <c r="U111" s="295">
        <v>0.63680555555555562</v>
      </c>
      <c r="V111" s="296">
        <v>6</v>
      </c>
      <c r="W111" s="85">
        <f t="shared" si="72"/>
        <v>13.99999999999995</v>
      </c>
      <c r="X111" s="95"/>
      <c r="Y111" s="95"/>
      <c r="Z111" s="96"/>
      <c r="AA111" s="96"/>
      <c r="AB111" s="644"/>
      <c r="AC111" s="644"/>
      <c r="AD111" s="97"/>
      <c r="AE111" s="97"/>
      <c r="AF111" s="89">
        <f t="shared" si="63"/>
        <v>-179.14285714285234</v>
      </c>
      <c r="AG111" s="170">
        <f t="shared" si="64"/>
        <v>0.88057142857143178</v>
      </c>
      <c r="AH111" s="632"/>
    </row>
    <row r="112" spans="1:34" ht="18" customHeight="1">
      <c r="A112" s="666"/>
      <c r="B112" s="65" t="s">
        <v>251</v>
      </c>
      <c r="C112" s="230"/>
      <c r="D112" s="231" t="s">
        <v>160</v>
      </c>
      <c r="E112" s="232"/>
      <c r="F112" s="82">
        <v>58.17</v>
      </c>
      <c r="G112" s="100">
        <v>1493.6000000000001</v>
      </c>
      <c r="H112" s="84">
        <f t="shared" si="77"/>
        <v>86882.712000000014</v>
      </c>
      <c r="I112" s="97"/>
      <c r="J112" s="86">
        <v>18</v>
      </c>
      <c r="K112" s="83">
        <v>1385</v>
      </c>
      <c r="L112" s="87">
        <v>76.944444444444443</v>
      </c>
      <c r="M112" s="155">
        <v>19</v>
      </c>
      <c r="N112" s="83">
        <f t="shared" si="78"/>
        <v>1106.37037037037</v>
      </c>
      <c r="O112" s="87">
        <f t="shared" si="79"/>
        <v>58.230019493177366</v>
      </c>
      <c r="P112" s="89">
        <f t="shared" si="74"/>
        <v>1</v>
      </c>
      <c r="Q112" s="90">
        <f t="shared" si="75"/>
        <v>-18.714424951267077</v>
      </c>
      <c r="R112" s="91">
        <f t="shared" si="76"/>
        <v>0.75678003673443506</v>
      </c>
      <c r="S112" s="651"/>
      <c r="T112" s="295">
        <v>0.70833333333333337</v>
      </c>
      <c r="U112" s="295">
        <v>0.76458333333333339</v>
      </c>
      <c r="V112" s="296">
        <v>5</v>
      </c>
      <c r="W112" s="85">
        <f t="shared" si="72"/>
        <v>81.000000000000028</v>
      </c>
      <c r="X112" s="95"/>
      <c r="Y112" s="95"/>
      <c r="Z112" s="96"/>
      <c r="AA112" s="96"/>
      <c r="AB112" s="644"/>
      <c r="AC112" s="644"/>
      <c r="AD112" s="97"/>
      <c r="AE112" s="97"/>
      <c r="AF112" s="89">
        <f t="shared" si="63"/>
        <v>-278.62962962963002</v>
      </c>
      <c r="AG112" s="170">
        <f t="shared" si="64"/>
        <v>0.79882337210857035</v>
      </c>
      <c r="AH112" s="632"/>
    </row>
    <row r="113" spans="1:34" s="286" customFormat="1" ht="18" customHeight="1">
      <c r="A113" s="666"/>
      <c r="B113" s="65" t="s">
        <v>251</v>
      </c>
      <c r="C113" s="230"/>
      <c r="D113" s="231" t="s">
        <v>161</v>
      </c>
      <c r="E113" s="232"/>
      <c r="F113" s="82">
        <v>57.73</v>
      </c>
      <c r="G113" s="100">
        <v>862</v>
      </c>
      <c r="H113" s="84">
        <f t="shared" si="77"/>
        <v>49763.259999999995</v>
      </c>
      <c r="I113" s="97"/>
      <c r="J113" s="86">
        <v>18</v>
      </c>
      <c r="K113" s="83">
        <v>1440</v>
      </c>
      <c r="L113" s="87">
        <v>80</v>
      </c>
      <c r="M113" s="88">
        <v>18</v>
      </c>
      <c r="N113" s="83">
        <f t="shared" si="78"/>
        <v>1202.7906976744184</v>
      </c>
      <c r="O113" s="87">
        <f t="shared" si="79"/>
        <v>66.821705426356573</v>
      </c>
      <c r="P113" s="89">
        <f t="shared" si="74"/>
        <v>0</v>
      </c>
      <c r="Q113" s="90">
        <f t="shared" si="75"/>
        <v>-13.178294573643427</v>
      </c>
      <c r="R113" s="91">
        <f t="shared" si="76"/>
        <v>0.83527131782945718</v>
      </c>
      <c r="S113" s="651"/>
      <c r="T113" s="295">
        <v>0.77916666666666667</v>
      </c>
      <c r="U113" s="295">
        <v>0.80902777777777779</v>
      </c>
      <c r="V113" s="296">
        <v>21</v>
      </c>
      <c r="W113" s="85">
        <f t="shared" si="72"/>
        <v>43.000000000000007</v>
      </c>
      <c r="X113" s="283">
        <v>0.7680555555555556</v>
      </c>
      <c r="Y113" s="283">
        <v>0.77638888888888891</v>
      </c>
      <c r="Z113" s="284"/>
      <c r="AA113" s="284"/>
      <c r="AB113" s="633"/>
      <c r="AC113" s="633"/>
      <c r="AD113" s="289"/>
      <c r="AE113" s="289"/>
      <c r="AF113" s="238">
        <f t="shared" si="63"/>
        <v>-237.20930232558158</v>
      </c>
      <c r="AG113" s="170">
        <f t="shared" si="64"/>
        <v>0.83527131782945729</v>
      </c>
      <c r="AH113" s="632"/>
    </row>
    <row r="114" spans="1:34" s="286" customFormat="1" ht="18" customHeight="1">
      <c r="A114" s="666"/>
      <c r="B114" s="65">
        <v>0</v>
      </c>
      <c r="C114" s="230"/>
      <c r="D114" s="231"/>
      <c r="E114" s="232"/>
      <c r="F114" s="82" t="s">
        <v>253</v>
      </c>
      <c r="G114" s="100"/>
      <c r="H114" s="84">
        <f t="shared" si="77"/>
        <v>0</v>
      </c>
      <c r="I114" s="97"/>
      <c r="J114" s="86"/>
      <c r="K114" s="83"/>
      <c r="L114" s="87"/>
      <c r="M114" s="155"/>
      <c r="N114" s="83"/>
      <c r="O114" s="87"/>
      <c r="P114" s="89"/>
      <c r="Q114" s="90"/>
      <c r="R114" s="91"/>
      <c r="S114" s="651"/>
      <c r="T114" s="295"/>
      <c r="U114" s="295"/>
      <c r="V114" s="296"/>
      <c r="W114" s="85"/>
      <c r="X114" s="283"/>
      <c r="Y114" s="283"/>
      <c r="Z114" s="284"/>
      <c r="AA114" s="284"/>
      <c r="AB114" s="633"/>
      <c r="AC114" s="633"/>
      <c r="AD114" s="289"/>
      <c r="AE114" s="289"/>
      <c r="AF114" s="89">
        <f t="shared" si="63"/>
        <v>0</v>
      </c>
      <c r="AG114" s="170" t="e">
        <f t="shared" si="64"/>
        <v>#DIV/0!</v>
      </c>
      <c r="AH114" s="632"/>
    </row>
    <row r="115" spans="1:34" s="286" customFormat="1" ht="18" customHeight="1">
      <c r="A115" s="666"/>
      <c r="B115" s="65">
        <v>0</v>
      </c>
      <c r="C115" s="230"/>
      <c r="D115" s="231"/>
      <c r="E115" s="232"/>
      <c r="F115" s="82" t="s">
        <v>253</v>
      </c>
      <c r="G115" s="229"/>
      <c r="H115" s="84">
        <f t="shared" si="77"/>
        <v>0</v>
      </c>
      <c r="I115" s="97"/>
      <c r="J115" s="86"/>
      <c r="K115" s="83"/>
      <c r="L115" s="87"/>
      <c r="M115" s="88"/>
      <c r="N115" s="83"/>
      <c r="O115" s="87"/>
      <c r="P115" s="89"/>
      <c r="Q115" s="90"/>
      <c r="R115" s="91"/>
      <c r="S115" s="651"/>
      <c r="T115" s="295"/>
      <c r="U115" s="295"/>
      <c r="V115" s="296"/>
      <c r="W115" s="85">
        <f t="shared" si="72"/>
        <v>0</v>
      </c>
      <c r="X115" s="283"/>
      <c r="Y115" s="283"/>
      <c r="Z115" s="284"/>
      <c r="AA115" s="284"/>
      <c r="AB115" s="633"/>
      <c r="AC115" s="633"/>
      <c r="AD115" s="289"/>
      <c r="AE115" s="289"/>
      <c r="AF115" s="89">
        <f t="shared" si="63"/>
        <v>0</v>
      </c>
      <c r="AG115" s="170" t="e">
        <f t="shared" si="64"/>
        <v>#DIV/0!</v>
      </c>
      <c r="AH115" s="632"/>
    </row>
    <row r="116" spans="1:34" s="286" customFormat="1" ht="18" customHeight="1">
      <c r="A116" s="666"/>
      <c r="B116" s="65">
        <v>0</v>
      </c>
      <c r="C116" s="98"/>
      <c r="D116" s="168"/>
      <c r="E116" s="169"/>
      <c r="F116" s="82"/>
      <c r="G116" s="100"/>
      <c r="H116" s="84">
        <f t="shared" si="77"/>
        <v>0</v>
      </c>
      <c r="I116" s="97"/>
      <c r="J116" s="86"/>
      <c r="K116" s="83"/>
      <c r="L116" s="87"/>
      <c r="M116" s="137"/>
      <c r="N116" s="83"/>
      <c r="O116" s="87"/>
      <c r="P116" s="89"/>
      <c r="Q116" s="90"/>
      <c r="R116" s="91"/>
      <c r="S116" s="651"/>
      <c r="T116" s="295"/>
      <c r="U116" s="295"/>
      <c r="V116" s="296"/>
      <c r="W116" s="85">
        <f t="shared" si="72"/>
        <v>0</v>
      </c>
      <c r="X116" s="283"/>
      <c r="Y116" s="283"/>
      <c r="Z116" s="284"/>
      <c r="AA116" s="284"/>
      <c r="AB116" s="633"/>
      <c r="AC116" s="633"/>
      <c r="AD116" s="289"/>
      <c r="AE116" s="289"/>
      <c r="AF116" s="238">
        <f t="shared" si="63"/>
        <v>0</v>
      </c>
      <c r="AG116" s="170" t="e">
        <f t="shared" si="64"/>
        <v>#DIV/0!</v>
      </c>
      <c r="AH116" s="632"/>
    </row>
    <row r="117" spans="1:34" s="286" customFormat="1" ht="18" customHeight="1">
      <c r="A117" s="666"/>
      <c r="B117" s="65">
        <v>0</v>
      </c>
      <c r="C117" s="98"/>
      <c r="D117" s="231"/>
      <c r="E117" s="169"/>
      <c r="F117" s="82" t="s">
        <v>253</v>
      </c>
      <c r="G117" s="100"/>
      <c r="H117" s="84">
        <f t="shared" si="77"/>
        <v>0</v>
      </c>
      <c r="I117" s="97"/>
      <c r="J117" s="86"/>
      <c r="K117" s="83"/>
      <c r="L117" s="131"/>
      <c r="M117" s="137"/>
      <c r="N117" s="100"/>
      <c r="O117" s="131"/>
      <c r="P117" s="96"/>
      <c r="Q117" s="132"/>
      <c r="R117" s="133"/>
      <c r="S117" s="651"/>
      <c r="T117" s="295"/>
      <c r="U117" s="295"/>
      <c r="V117" s="296"/>
      <c r="W117" s="85">
        <f t="shared" si="72"/>
        <v>0</v>
      </c>
      <c r="X117" s="283"/>
      <c r="Y117" s="283"/>
      <c r="Z117" s="284"/>
      <c r="AA117" s="284"/>
      <c r="AB117" s="633"/>
      <c r="AC117" s="633"/>
      <c r="AD117" s="289"/>
      <c r="AE117" s="289"/>
      <c r="AF117" s="89">
        <f t="shared" si="63"/>
        <v>0</v>
      </c>
      <c r="AG117" s="170" t="e">
        <f t="shared" si="64"/>
        <v>#DIV/0!</v>
      </c>
      <c r="AH117" s="632"/>
    </row>
    <row r="118" spans="1:34" s="286" customFormat="1" ht="18" customHeight="1">
      <c r="A118" s="666"/>
      <c r="B118" s="65">
        <v>0</v>
      </c>
      <c r="C118" s="216"/>
      <c r="D118" s="231"/>
      <c r="E118" s="81"/>
      <c r="F118" s="183" t="s">
        <v>253</v>
      </c>
      <c r="G118" s="83"/>
      <c r="H118" s="84">
        <f t="shared" si="77"/>
        <v>0</v>
      </c>
      <c r="I118" s="97"/>
      <c r="J118" s="86"/>
      <c r="K118" s="83"/>
      <c r="L118" s="87"/>
      <c r="M118" s="137"/>
      <c r="N118" s="83"/>
      <c r="O118" s="87"/>
      <c r="P118" s="89"/>
      <c r="Q118" s="90"/>
      <c r="R118" s="91"/>
      <c r="S118" s="651"/>
      <c r="T118" s="295"/>
      <c r="U118" s="295"/>
      <c r="V118" s="296"/>
      <c r="W118" s="85">
        <f t="shared" si="72"/>
        <v>0</v>
      </c>
      <c r="X118" s="283"/>
      <c r="Y118" s="283"/>
      <c r="Z118" s="284"/>
      <c r="AA118" s="284"/>
      <c r="AB118" s="633"/>
      <c r="AC118" s="633"/>
      <c r="AD118" s="289"/>
      <c r="AE118" s="289"/>
      <c r="AF118" s="285"/>
      <c r="AG118" s="170"/>
      <c r="AH118" s="632"/>
    </row>
    <row r="119" spans="1:34" s="286" customFormat="1" ht="18" customHeight="1">
      <c r="A119" s="666"/>
      <c r="B119" s="289">
        <v>0</v>
      </c>
      <c r="C119" s="291"/>
      <c r="D119" s="168"/>
      <c r="E119" s="169"/>
      <c r="F119" s="183" t="s">
        <v>253</v>
      </c>
      <c r="G119" s="297"/>
      <c r="H119" s="298">
        <f>F119*G119</f>
        <v>0</v>
      </c>
      <c r="I119" s="97"/>
      <c r="J119" s="233"/>
      <c r="K119" s="299"/>
      <c r="L119" s="87"/>
      <c r="M119" s="137"/>
      <c r="N119" s="234"/>
      <c r="O119" s="292"/>
      <c r="P119" s="218"/>
      <c r="Q119" s="90"/>
      <c r="R119" s="91"/>
      <c r="S119" s="651"/>
      <c r="T119" s="295"/>
      <c r="U119" s="295"/>
      <c r="V119" s="296"/>
      <c r="W119" s="85">
        <f t="shared" si="72"/>
        <v>0</v>
      </c>
      <c r="X119" s="283"/>
      <c r="Y119" s="283"/>
      <c r="Z119" s="284"/>
      <c r="AA119" s="284"/>
      <c r="AB119" s="633"/>
      <c r="AC119" s="633"/>
      <c r="AD119" s="289"/>
      <c r="AE119" s="289"/>
      <c r="AF119" s="285"/>
      <c r="AG119" s="170"/>
      <c r="AH119" s="632"/>
    </row>
    <row r="120" spans="1:34" s="286" customFormat="1" ht="18" customHeight="1">
      <c r="A120" s="666"/>
      <c r="B120" s="289">
        <v>0</v>
      </c>
      <c r="C120" s="291"/>
      <c r="D120" s="168"/>
      <c r="E120" s="169"/>
      <c r="F120" s="183" t="s">
        <v>253</v>
      </c>
      <c r="G120" s="297"/>
      <c r="H120" s="298">
        <f>F120*G120</f>
        <v>0</v>
      </c>
      <c r="I120" s="97"/>
      <c r="J120" s="233"/>
      <c r="K120" s="299"/>
      <c r="L120" s="87"/>
      <c r="M120" s="137"/>
      <c r="N120" s="234"/>
      <c r="O120" s="292"/>
      <c r="P120" s="218"/>
      <c r="Q120" s="90"/>
      <c r="R120" s="91"/>
      <c r="S120" s="651"/>
      <c r="T120" s="295"/>
      <c r="U120" s="295"/>
      <c r="V120" s="296"/>
      <c r="W120" s="85">
        <f t="shared" si="72"/>
        <v>0</v>
      </c>
      <c r="X120" s="283"/>
      <c r="Y120" s="283"/>
      <c r="Z120" s="284"/>
      <c r="AA120" s="284"/>
      <c r="AB120" s="633"/>
      <c r="AC120" s="633"/>
      <c r="AD120" s="289"/>
      <c r="AE120" s="289"/>
      <c r="AF120" s="285"/>
      <c r="AG120" s="170"/>
      <c r="AH120" s="632"/>
    </row>
    <row r="121" spans="1:34" ht="18" customHeight="1">
      <c r="A121" s="667"/>
      <c r="B121" s="126">
        <v>0</v>
      </c>
      <c r="C121" s="138" t="s">
        <v>21</v>
      </c>
      <c r="D121" s="300" t="s">
        <v>220</v>
      </c>
      <c r="E121" s="301"/>
      <c r="F121" s="223"/>
      <c r="G121" s="302"/>
      <c r="H121" s="303"/>
      <c r="I121" s="304"/>
      <c r="J121" s="264">
        <v>18</v>
      </c>
      <c r="K121" s="264">
        <v>1453</v>
      </c>
      <c r="L121" s="265">
        <v>81.321661998132598</v>
      </c>
      <c r="M121" s="264">
        <f t="shared" ref="M121:O121" si="80">AVERAGE(M109:M120)</f>
        <v>18</v>
      </c>
      <c r="N121" s="264">
        <f t="shared" si="80"/>
        <v>1246.9481705637238</v>
      </c>
      <c r="O121" s="265">
        <f t="shared" si="80"/>
        <v>69.772288440331053</v>
      </c>
      <c r="P121" s="89">
        <f t="shared" ref="P121:P128" si="81">M121-J121</f>
        <v>0</v>
      </c>
      <c r="Q121" s="90">
        <f t="shared" ref="Q121:Q128" si="82">O121-L121</f>
        <v>-11.549373557801545</v>
      </c>
      <c r="R121" s="227">
        <f t="shared" ref="R121:R128" si="83">O121/L121</f>
        <v>0.85797912543810584</v>
      </c>
      <c r="S121" s="661"/>
      <c r="T121" s="92"/>
      <c r="U121" s="92"/>
      <c r="V121" s="83"/>
      <c r="W121" s="85">
        <f t="shared" si="72"/>
        <v>0</v>
      </c>
      <c r="X121" s="87"/>
      <c r="Y121" s="87"/>
      <c r="Z121" s="145">
        <f>SUM(Z109:Z120)</f>
        <v>0</v>
      </c>
      <c r="AA121" s="145">
        <f>SUM(AA109:AA120)</f>
        <v>0</v>
      </c>
      <c r="AB121" s="663"/>
      <c r="AC121" s="664"/>
      <c r="AD121" s="146">
        <f>SUM(AD109:AD120)</f>
        <v>0</v>
      </c>
      <c r="AE121" s="146">
        <f>SUM(AE109:AE120)</f>
        <v>0</v>
      </c>
      <c r="AF121" s="89">
        <f>N121-K121</f>
        <v>-206.05182943627619</v>
      </c>
      <c r="AG121" s="170">
        <f>N121/K121</f>
        <v>0.85818869274860554</v>
      </c>
      <c r="AH121" s="632"/>
    </row>
    <row r="122" spans="1:34" ht="18" customHeight="1">
      <c r="A122" s="658" t="s">
        <v>231</v>
      </c>
      <c r="B122" s="175" t="s">
        <v>252</v>
      </c>
      <c r="C122" s="216"/>
      <c r="D122" s="231" t="s">
        <v>163</v>
      </c>
      <c r="E122" s="81"/>
      <c r="F122" s="82">
        <v>59.52</v>
      </c>
      <c r="G122" s="83">
        <v>1677</v>
      </c>
      <c r="H122" s="84">
        <f t="shared" ref="H122:H132" si="84">F122*G122</f>
        <v>99815.040000000008</v>
      </c>
      <c r="I122" s="65"/>
      <c r="J122" s="86">
        <v>19</v>
      </c>
      <c r="K122" s="83">
        <v>1385</v>
      </c>
      <c r="L122" s="87">
        <v>72.89473684210526</v>
      </c>
      <c r="M122" s="88">
        <v>19</v>
      </c>
      <c r="N122" s="229">
        <f t="shared" ref="N122:N128" si="85">G122/W122*60</f>
        <v>1212.2891566265057</v>
      </c>
      <c r="O122" s="305">
        <f t="shared" ref="O122:O128" si="86">N122/M122</f>
        <v>63.804692454026615</v>
      </c>
      <c r="P122" s="238">
        <f t="shared" si="81"/>
        <v>0</v>
      </c>
      <c r="Q122" s="239">
        <f t="shared" si="82"/>
        <v>-9.0900443880786455</v>
      </c>
      <c r="R122" s="240">
        <f t="shared" si="83"/>
        <v>0.87529903005523879</v>
      </c>
      <c r="S122" s="659">
        <f>R134</f>
        <v>0.82232552353794031</v>
      </c>
      <c r="T122" s="92">
        <v>0.5</v>
      </c>
      <c r="U122" s="92">
        <v>0.55763888888888891</v>
      </c>
      <c r="V122" s="296">
        <v>5</v>
      </c>
      <c r="W122" s="85">
        <f t="shared" si="72"/>
        <v>83.000000000000028</v>
      </c>
      <c r="X122" s="95"/>
      <c r="Y122" s="95"/>
      <c r="Z122" s="96"/>
      <c r="AA122" s="96"/>
      <c r="AB122" s="644"/>
      <c r="AC122" s="644"/>
      <c r="AD122" s="97"/>
      <c r="AE122" s="97"/>
      <c r="AF122" s="89">
        <f t="shared" si="63"/>
        <v>-172.7108433734943</v>
      </c>
      <c r="AG122" s="91">
        <f t="shared" si="64"/>
        <v>0.87529903005523879</v>
      </c>
      <c r="AH122" s="661">
        <f>AG134</f>
        <v>0.81095959590205191</v>
      </c>
    </row>
    <row r="123" spans="1:34" ht="18" customHeight="1">
      <c r="A123" s="658"/>
      <c r="B123" s="175" t="s">
        <v>252</v>
      </c>
      <c r="C123" s="176"/>
      <c r="D123" s="80" t="s">
        <v>164</v>
      </c>
      <c r="E123" s="232"/>
      <c r="F123" s="82">
        <v>58.67</v>
      </c>
      <c r="G123" s="83">
        <v>1333</v>
      </c>
      <c r="H123" s="84">
        <f t="shared" si="84"/>
        <v>78207.11</v>
      </c>
      <c r="I123" s="97"/>
      <c r="J123" s="130">
        <v>19</v>
      </c>
      <c r="K123" s="100">
        <v>1440</v>
      </c>
      <c r="L123" s="131">
        <v>75.78947368421052</v>
      </c>
      <c r="M123" s="137">
        <v>19</v>
      </c>
      <c r="N123" s="100">
        <f t="shared" si="85"/>
        <v>1269.5238095238108</v>
      </c>
      <c r="O123" s="131">
        <f t="shared" si="86"/>
        <v>66.817042606516353</v>
      </c>
      <c r="P123" s="96">
        <f t="shared" si="81"/>
        <v>0</v>
      </c>
      <c r="Q123" s="132">
        <f t="shared" si="82"/>
        <v>-8.9724310776941678</v>
      </c>
      <c r="R123" s="133">
        <f t="shared" si="83"/>
        <v>0.88161375661375752</v>
      </c>
      <c r="S123" s="659"/>
      <c r="T123" s="92">
        <v>0.57222222222222219</v>
      </c>
      <c r="U123" s="92">
        <v>0.61597222222222214</v>
      </c>
      <c r="V123" s="296">
        <v>21</v>
      </c>
      <c r="W123" s="85">
        <f>(U123-T123)*24*60</f>
        <v>62.999999999999936</v>
      </c>
      <c r="X123" s="95">
        <v>0.56111111111111112</v>
      </c>
      <c r="Y123" s="95">
        <v>0.56944444444444442</v>
      </c>
      <c r="Z123" s="96"/>
      <c r="AA123" s="96"/>
      <c r="AB123" s="644"/>
      <c r="AC123" s="644"/>
      <c r="AD123" s="97"/>
      <c r="AE123" s="97"/>
      <c r="AF123" s="89">
        <f t="shared" si="63"/>
        <v>-170.47619047618923</v>
      </c>
      <c r="AG123" s="91">
        <f t="shared" si="64"/>
        <v>0.88161375661375752</v>
      </c>
      <c r="AH123" s="659"/>
    </row>
    <row r="124" spans="1:34" ht="18" customHeight="1">
      <c r="A124" s="658"/>
      <c r="B124" s="175" t="s">
        <v>251</v>
      </c>
      <c r="C124" s="230"/>
      <c r="D124" s="231" t="s">
        <v>165</v>
      </c>
      <c r="E124" s="232"/>
      <c r="F124" s="82">
        <v>56.79</v>
      </c>
      <c r="G124" s="229">
        <v>995</v>
      </c>
      <c r="H124" s="84">
        <f t="shared" si="84"/>
        <v>56506.049999999996</v>
      </c>
      <c r="I124" s="306"/>
      <c r="J124" s="130">
        <v>18</v>
      </c>
      <c r="K124" s="100">
        <v>1636</v>
      </c>
      <c r="L124" s="131">
        <v>90.888888888888886</v>
      </c>
      <c r="M124" s="88">
        <v>18</v>
      </c>
      <c r="N124" s="229">
        <f t="shared" si="85"/>
        <v>1270.2127659574471</v>
      </c>
      <c r="O124" s="305">
        <f t="shared" si="86"/>
        <v>70.567375886524843</v>
      </c>
      <c r="P124" s="238">
        <f t="shared" si="81"/>
        <v>0</v>
      </c>
      <c r="Q124" s="239">
        <f t="shared" si="82"/>
        <v>-20.321513002364043</v>
      </c>
      <c r="R124" s="240">
        <f t="shared" si="83"/>
        <v>0.77641367112313397</v>
      </c>
      <c r="S124" s="660"/>
      <c r="T124" s="92">
        <v>0.70833333333333337</v>
      </c>
      <c r="U124" s="92">
        <v>0.74097222222222225</v>
      </c>
      <c r="V124" s="296">
        <v>5</v>
      </c>
      <c r="W124" s="307">
        <f>(U124-T124)*24*60</f>
        <v>46.999999999999993</v>
      </c>
      <c r="X124" s="249"/>
      <c r="Y124" s="249"/>
      <c r="Z124" s="96"/>
      <c r="AA124" s="96"/>
      <c r="AB124" s="657"/>
      <c r="AC124" s="657"/>
      <c r="AD124" s="97"/>
      <c r="AE124" s="97"/>
      <c r="AF124" s="238">
        <f t="shared" si="63"/>
        <v>-365.78723404255288</v>
      </c>
      <c r="AG124" s="240">
        <f t="shared" si="64"/>
        <v>0.77641367112313397</v>
      </c>
      <c r="AH124" s="659"/>
    </row>
    <row r="125" spans="1:34" ht="18" customHeight="1">
      <c r="A125" s="658"/>
      <c r="B125" s="175" t="s">
        <v>251</v>
      </c>
      <c r="C125" s="176"/>
      <c r="D125" s="80" t="s">
        <v>166</v>
      </c>
      <c r="E125" s="81"/>
      <c r="F125" s="82">
        <v>56.87</v>
      </c>
      <c r="G125" s="83">
        <v>791</v>
      </c>
      <c r="H125" s="84">
        <f t="shared" si="84"/>
        <v>44984.17</v>
      </c>
      <c r="I125" s="65"/>
      <c r="J125" s="130">
        <v>18</v>
      </c>
      <c r="K125" s="100">
        <v>1636</v>
      </c>
      <c r="L125" s="131">
        <v>90.888888888888886</v>
      </c>
      <c r="M125" s="88">
        <v>18</v>
      </c>
      <c r="N125" s="100">
        <f t="shared" si="85"/>
        <v>1282.7027027027016</v>
      </c>
      <c r="O125" s="131">
        <f t="shared" si="86"/>
        <v>71.261261261261197</v>
      </c>
      <c r="P125" s="96">
        <f t="shared" si="81"/>
        <v>0</v>
      </c>
      <c r="Q125" s="132">
        <f t="shared" si="82"/>
        <v>-19.627627627627689</v>
      </c>
      <c r="R125" s="133">
        <f t="shared" si="83"/>
        <v>0.78404810678649239</v>
      </c>
      <c r="S125" s="660"/>
      <c r="T125" s="92">
        <v>0.74583333333333335</v>
      </c>
      <c r="U125" s="92">
        <v>0.77152777777777781</v>
      </c>
      <c r="V125" s="296">
        <v>7</v>
      </c>
      <c r="W125" s="307">
        <f t="shared" ref="W125:W133" si="87">(U125-T125)*24*60</f>
        <v>37.000000000000028</v>
      </c>
      <c r="X125" s="108"/>
      <c r="Y125" s="108"/>
      <c r="Z125" s="96"/>
      <c r="AA125" s="96"/>
      <c r="AB125" s="657"/>
      <c r="AC125" s="657"/>
      <c r="AD125" s="97"/>
      <c r="AE125" s="97"/>
      <c r="AF125" s="89">
        <f t="shared" si="63"/>
        <v>-353.29729729729843</v>
      </c>
      <c r="AG125" s="91">
        <f t="shared" si="64"/>
        <v>0.78404810678649239</v>
      </c>
      <c r="AH125" s="662"/>
    </row>
    <row r="126" spans="1:34" ht="18" customHeight="1">
      <c r="A126" s="658"/>
      <c r="B126" s="175" t="s">
        <v>251</v>
      </c>
      <c r="C126" s="97"/>
      <c r="D126" s="80" t="s">
        <v>167</v>
      </c>
      <c r="E126" s="232"/>
      <c r="F126" s="82">
        <v>47.6</v>
      </c>
      <c r="G126" s="100">
        <v>992</v>
      </c>
      <c r="H126" s="84">
        <f t="shared" si="84"/>
        <v>47219.200000000004</v>
      </c>
      <c r="I126" s="97"/>
      <c r="J126" s="130">
        <v>18</v>
      </c>
      <c r="K126" s="100">
        <v>1440</v>
      </c>
      <c r="L126" s="131">
        <v>80</v>
      </c>
      <c r="M126" s="137">
        <v>17</v>
      </c>
      <c r="N126" s="100">
        <f t="shared" si="85"/>
        <v>1266.3829787234044</v>
      </c>
      <c r="O126" s="131">
        <f t="shared" si="86"/>
        <v>74.493116395494383</v>
      </c>
      <c r="P126" s="96">
        <f t="shared" si="81"/>
        <v>-1</v>
      </c>
      <c r="Q126" s="132">
        <f t="shared" si="82"/>
        <v>-5.5068836045056173</v>
      </c>
      <c r="R126" s="133">
        <f t="shared" si="83"/>
        <v>0.93116395494367976</v>
      </c>
      <c r="S126" s="660"/>
      <c r="T126" s="92">
        <v>0.77569444444444446</v>
      </c>
      <c r="U126" s="92">
        <v>0.80833333333333335</v>
      </c>
      <c r="V126" s="296">
        <v>6</v>
      </c>
      <c r="W126" s="307">
        <f t="shared" si="87"/>
        <v>46.999999999999993</v>
      </c>
      <c r="X126" s="108"/>
      <c r="Y126" s="108"/>
      <c r="Z126" s="96"/>
      <c r="AA126" s="96"/>
      <c r="AB126" s="657"/>
      <c r="AC126" s="657"/>
      <c r="AD126" s="97"/>
      <c r="AE126" s="97"/>
      <c r="AF126" s="238">
        <f t="shared" si="63"/>
        <v>-173.61702127659555</v>
      </c>
      <c r="AG126" s="240">
        <f t="shared" si="64"/>
        <v>0.87943262411347534</v>
      </c>
      <c r="AH126" s="662"/>
    </row>
    <row r="127" spans="1:34" ht="18" customHeight="1">
      <c r="A127" s="658"/>
      <c r="B127" s="175" t="s">
        <v>251</v>
      </c>
      <c r="C127" s="291"/>
      <c r="D127" s="168" t="s">
        <v>168</v>
      </c>
      <c r="E127" s="169"/>
      <c r="F127" s="82">
        <v>44.3</v>
      </c>
      <c r="G127" s="272">
        <v>434</v>
      </c>
      <c r="H127" s="84">
        <f t="shared" si="84"/>
        <v>19226.199999999997</v>
      </c>
      <c r="I127" s="289"/>
      <c r="J127" s="130">
        <v>17</v>
      </c>
      <c r="K127" s="100">
        <v>1636</v>
      </c>
      <c r="L127" s="131">
        <v>96.235294117647058</v>
      </c>
      <c r="M127" s="88">
        <v>17</v>
      </c>
      <c r="N127" s="100">
        <f t="shared" si="85"/>
        <v>1084.9999999999968</v>
      </c>
      <c r="O127" s="131">
        <f t="shared" si="86"/>
        <v>63.823529411764518</v>
      </c>
      <c r="P127" s="96">
        <f t="shared" si="81"/>
        <v>0</v>
      </c>
      <c r="Q127" s="132">
        <f t="shared" si="82"/>
        <v>-32.41176470588254</v>
      </c>
      <c r="R127" s="133">
        <f t="shared" si="83"/>
        <v>0.66320293398532815</v>
      </c>
      <c r="S127" s="660"/>
      <c r="T127" s="92">
        <v>0.81319444444444444</v>
      </c>
      <c r="U127" s="92">
        <v>0.82986111111111116</v>
      </c>
      <c r="V127" s="65">
        <v>7</v>
      </c>
      <c r="W127" s="307">
        <f t="shared" si="87"/>
        <v>24.000000000000075</v>
      </c>
      <c r="X127" s="108"/>
      <c r="Y127" s="108"/>
      <c r="Z127" s="96"/>
      <c r="AA127" s="96"/>
      <c r="AB127" s="657"/>
      <c r="AC127" s="657"/>
      <c r="AD127" s="97"/>
      <c r="AE127" s="97">
        <v>1</v>
      </c>
      <c r="AF127" s="238">
        <f t="shared" si="63"/>
        <v>-551.00000000000318</v>
      </c>
      <c r="AG127" s="240">
        <f t="shared" si="64"/>
        <v>0.66320293398532815</v>
      </c>
      <c r="AH127" s="662"/>
    </row>
    <row r="128" spans="1:34" ht="18" customHeight="1">
      <c r="A128" s="658"/>
      <c r="B128" s="175" t="s">
        <v>251</v>
      </c>
      <c r="C128" s="209"/>
      <c r="D128" s="102" t="s">
        <v>169</v>
      </c>
      <c r="E128" s="169"/>
      <c r="F128" s="82">
        <v>57.3</v>
      </c>
      <c r="G128" s="100">
        <v>686</v>
      </c>
      <c r="H128" s="84">
        <f t="shared" si="84"/>
        <v>39307.799999999996</v>
      </c>
      <c r="I128" s="97"/>
      <c r="J128" s="130">
        <v>18</v>
      </c>
      <c r="K128" s="100">
        <v>1385</v>
      </c>
      <c r="L128" s="131">
        <v>76.944444444444443</v>
      </c>
      <c r="M128" s="130">
        <v>17</v>
      </c>
      <c r="N128" s="100">
        <f t="shared" si="85"/>
        <v>1175.9999999999989</v>
      </c>
      <c r="O128" s="131">
        <f t="shared" si="86"/>
        <v>69.176470588235233</v>
      </c>
      <c r="P128" s="96">
        <f t="shared" si="81"/>
        <v>-1</v>
      </c>
      <c r="Q128" s="132">
        <f t="shared" si="82"/>
        <v>-7.7679738562092098</v>
      </c>
      <c r="R128" s="133">
        <f t="shared" si="83"/>
        <v>0.89904438309619794</v>
      </c>
      <c r="S128" s="660"/>
      <c r="T128" s="92">
        <v>0.8354166666666667</v>
      </c>
      <c r="U128" s="92">
        <v>0.85972222222222228</v>
      </c>
      <c r="V128" s="65">
        <v>8</v>
      </c>
      <c r="W128" s="307">
        <f t="shared" si="87"/>
        <v>35.000000000000036</v>
      </c>
      <c r="X128" s="108"/>
      <c r="Y128" s="108"/>
      <c r="Z128" s="96"/>
      <c r="AA128" s="96"/>
      <c r="AB128" s="657"/>
      <c r="AC128" s="657"/>
      <c r="AD128" s="97"/>
      <c r="AE128" s="97"/>
      <c r="AF128" s="238">
        <f t="shared" si="63"/>
        <v>-209.00000000000114</v>
      </c>
      <c r="AG128" s="240">
        <f t="shared" si="64"/>
        <v>0.84909747292418691</v>
      </c>
      <c r="AH128" s="662"/>
    </row>
    <row r="129" spans="1:34" ht="18" customHeight="1">
      <c r="A129" s="658"/>
      <c r="B129" s="175">
        <v>0</v>
      </c>
      <c r="C129" s="209"/>
      <c r="D129" s="102"/>
      <c r="E129" s="103"/>
      <c r="F129" s="82" t="s">
        <v>253</v>
      </c>
      <c r="G129" s="100"/>
      <c r="H129" s="84">
        <f t="shared" si="84"/>
        <v>0</v>
      </c>
      <c r="I129" s="97"/>
      <c r="J129" s="130"/>
      <c r="K129" s="100"/>
      <c r="L129" s="131"/>
      <c r="M129" s="137"/>
      <c r="N129" s="100"/>
      <c r="O129" s="131"/>
      <c r="P129" s="96"/>
      <c r="Q129" s="132"/>
      <c r="R129" s="133"/>
      <c r="S129" s="660"/>
      <c r="T129" s="92"/>
      <c r="U129" s="92"/>
      <c r="V129" s="65"/>
      <c r="W129" s="307"/>
      <c r="X129" s="108"/>
      <c r="Y129" s="108"/>
      <c r="Z129" s="96"/>
      <c r="AA129" s="96"/>
      <c r="AB129" s="657"/>
      <c r="AC129" s="657"/>
      <c r="AD129" s="97"/>
      <c r="AE129" s="97"/>
      <c r="AF129" s="238"/>
      <c r="AG129" s="240"/>
      <c r="AH129" s="662"/>
    </row>
    <row r="130" spans="1:34" ht="18" customHeight="1">
      <c r="A130" s="658"/>
      <c r="B130" s="262">
        <v>0</v>
      </c>
      <c r="C130" s="209"/>
      <c r="D130" s="102"/>
      <c r="E130" s="103"/>
      <c r="F130" s="82" t="s">
        <v>253</v>
      </c>
      <c r="G130" s="100"/>
      <c r="H130" s="84">
        <f t="shared" si="84"/>
        <v>0</v>
      </c>
      <c r="I130" s="97"/>
      <c r="J130" s="86"/>
      <c r="K130" s="100"/>
      <c r="L130" s="131"/>
      <c r="M130" s="137"/>
      <c r="N130" s="83"/>
      <c r="O130" s="87"/>
      <c r="P130" s="89"/>
      <c r="Q130" s="90"/>
      <c r="R130" s="91"/>
      <c r="S130" s="660"/>
      <c r="T130" s="92"/>
      <c r="U130" s="92"/>
      <c r="V130" s="65"/>
      <c r="W130" s="307">
        <f t="shared" si="87"/>
        <v>0</v>
      </c>
      <c r="X130" s="108"/>
      <c r="Y130" s="108"/>
      <c r="Z130" s="96"/>
      <c r="AA130" s="96"/>
      <c r="AB130" s="657"/>
      <c r="AC130" s="657"/>
      <c r="AD130" s="97"/>
      <c r="AE130" s="97"/>
      <c r="AF130" s="118"/>
      <c r="AG130" s="125"/>
      <c r="AH130" s="662"/>
    </row>
    <row r="131" spans="1:34" ht="18" customHeight="1">
      <c r="A131" s="658"/>
      <c r="B131" s="262">
        <v>0</v>
      </c>
      <c r="C131" s="209"/>
      <c r="D131" s="102"/>
      <c r="E131" s="169"/>
      <c r="F131" s="82" t="s">
        <v>253</v>
      </c>
      <c r="G131" s="272"/>
      <c r="H131" s="84">
        <f t="shared" si="84"/>
        <v>0</v>
      </c>
      <c r="I131" s="289"/>
      <c r="J131" s="86"/>
      <c r="K131" s="83"/>
      <c r="L131" s="87"/>
      <c r="M131" s="130"/>
      <c r="N131" s="83"/>
      <c r="O131" s="87"/>
      <c r="P131" s="89"/>
      <c r="Q131" s="90"/>
      <c r="R131" s="91"/>
      <c r="S131" s="660"/>
      <c r="T131" s="92"/>
      <c r="U131" s="92"/>
      <c r="V131" s="65"/>
      <c r="W131" s="307">
        <f t="shared" si="87"/>
        <v>0</v>
      </c>
      <c r="X131" s="108"/>
      <c r="Y131" s="108"/>
      <c r="Z131" s="96"/>
      <c r="AA131" s="96"/>
      <c r="AB131" s="657"/>
      <c r="AC131" s="657"/>
      <c r="AD131" s="97"/>
      <c r="AE131" s="97"/>
      <c r="AF131" s="118"/>
      <c r="AG131" s="125"/>
      <c r="AH131" s="662"/>
    </row>
    <row r="132" spans="1:34" ht="18" customHeight="1">
      <c r="A132" s="658"/>
      <c r="B132" s="262">
        <v>0</v>
      </c>
      <c r="C132" s="209"/>
      <c r="D132" s="102"/>
      <c r="E132" s="103"/>
      <c r="F132" s="82" t="s">
        <v>253</v>
      </c>
      <c r="G132" s="100"/>
      <c r="H132" s="84">
        <f t="shared" si="84"/>
        <v>0</v>
      </c>
      <c r="I132" s="97"/>
      <c r="J132" s="130"/>
      <c r="K132" s="100"/>
      <c r="L132" s="131"/>
      <c r="M132" s="137"/>
      <c r="N132" s="100"/>
      <c r="O132" s="131"/>
      <c r="P132" s="96"/>
      <c r="Q132" s="132"/>
      <c r="R132" s="133"/>
      <c r="S132" s="660"/>
      <c r="T132" s="92"/>
      <c r="U132" s="92"/>
      <c r="V132" s="65"/>
      <c r="W132" s="307">
        <f t="shared" si="87"/>
        <v>0</v>
      </c>
      <c r="X132" s="108"/>
      <c r="Y132" s="108"/>
      <c r="Z132" s="96"/>
      <c r="AA132" s="96"/>
      <c r="AB132" s="657"/>
      <c r="AC132" s="657"/>
      <c r="AD132" s="97"/>
      <c r="AE132" s="97"/>
      <c r="AF132" s="118"/>
      <c r="AG132" s="125"/>
      <c r="AH132" s="662"/>
    </row>
    <row r="133" spans="1:34" ht="18" customHeight="1">
      <c r="A133" s="658"/>
      <c r="B133" s="262">
        <v>0</v>
      </c>
      <c r="C133" s="209"/>
      <c r="D133" s="102"/>
      <c r="E133" s="103"/>
      <c r="F133" s="308" t="s">
        <v>253</v>
      </c>
      <c r="G133" s="100"/>
      <c r="H133" s="309">
        <f>F133*G133</f>
        <v>0</v>
      </c>
      <c r="I133" s="97"/>
      <c r="J133" s="130"/>
      <c r="K133" s="100"/>
      <c r="L133" s="131"/>
      <c r="M133" s="137"/>
      <c r="N133" s="100"/>
      <c r="O133" s="131"/>
      <c r="P133" s="96"/>
      <c r="Q133" s="132"/>
      <c r="R133" s="133"/>
      <c r="S133" s="660"/>
      <c r="T133" s="92"/>
      <c r="U133" s="92"/>
      <c r="V133" s="65"/>
      <c r="W133" s="307">
        <f t="shared" si="87"/>
        <v>0</v>
      </c>
      <c r="X133" s="108"/>
      <c r="Y133" s="108"/>
      <c r="Z133" s="96"/>
      <c r="AA133" s="96"/>
      <c r="AB133" s="657"/>
      <c r="AC133" s="657"/>
      <c r="AD133" s="97"/>
      <c r="AE133" s="97"/>
      <c r="AF133" s="118"/>
      <c r="AG133" s="125"/>
      <c r="AH133" s="662"/>
    </row>
    <row r="134" spans="1:34" ht="18" customHeight="1">
      <c r="A134" s="658"/>
      <c r="B134" s="222">
        <v>0</v>
      </c>
      <c r="C134" s="138" t="s">
        <v>22</v>
      </c>
      <c r="D134" s="630" t="s">
        <v>220</v>
      </c>
      <c r="E134" s="630"/>
      <c r="F134" s="243"/>
      <c r="G134" s="140"/>
      <c r="H134" s="141"/>
      <c r="I134" s="310"/>
      <c r="J134" s="311">
        <v>18.142857142857142</v>
      </c>
      <c r="K134" s="311">
        <v>1508.2857142857142</v>
      </c>
      <c r="L134" s="312">
        <v>83.377389552312152</v>
      </c>
      <c r="M134" s="311">
        <f t="shared" ref="M134:O134" si="88">AVERAGE(M122:M133)</f>
        <v>17.857142857142858</v>
      </c>
      <c r="N134" s="311">
        <f t="shared" si="88"/>
        <v>1223.1587733619806</v>
      </c>
      <c r="O134" s="312">
        <f t="shared" si="88"/>
        <v>68.563355514831883</v>
      </c>
      <c r="P134" s="93">
        <f t="shared" ref="P134:P143" si="89">M134-J134</f>
        <v>-0.2857142857142847</v>
      </c>
      <c r="Q134" s="189">
        <f t="shared" ref="Q134:Q143" si="90">O134-L134</f>
        <v>-14.814034037480269</v>
      </c>
      <c r="R134" s="313">
        <f t="shared" ref="R134:R143" si="91">O134/L134</f>
        <v>0.82232552353794031</v>
      </c>
      <c r="S134" s="659"/>
      <c r="T134" s="92"/>
      <c r="U134" s="92"/>
      <c r="V134" s="65"/>
      <c r="W134" s="65"/>
      <c r="X134" s="95"/>
      <c r="Y134" s="95"/>
      <c r="Z134" s="145">
        <f>SUM(Z122:Z133)</f>
        <v>0</v>
      </c>
      <c r="AA134" s="145">
        <f>SUM(AA122:AA133)</f>
        <v>0</v>
      </c>
      <c r="AB134" s="644"/>
      <c r="AC134" s="644"/>
      <c r="AD134" s="146">
        <f>SUM(AD122:AD133)</f>
        <v>0</v>
      </c>
      <c r="AE134" s="146">
        <f>SUM(AE122:AE133)</f>
        <v>1</v>
      </c>
      <c r="AF134" s="89">
        <f t="shared" si="63"/>
        <v>-285.12694092373363</v>
      </c>
      <c r="AG134" s="91">
        <f t="shared" si="64"/>
        <v>0.81095959590205191</v>
      </c>
      <c r="AH134" s="662"/>
    </row>
    <row r="135" spans="1:34" ht="18" customHeight="1">
      <c r="A135" s="647" t="s">
        <v>232</v>
      </c>
      <c r="B135" s="65" t="s">
        <v>251</v>
      </c>
      <c r="C135" s="97"/>
      <c r="D135" s="168" t="s">
        <v>170</v>
      </c>
      <c r="E135" s="169"/>
      <c r="F135" s="82">
        <v>49.91</v>
      </c>
      <c r="G135" s="100">
        <v>494</v>
      </c>
      <c r="H135" s="314">
        <f t="shared" ref="H135:H146" si="92">F135*G135</f>
        <v>24655.539999999997</v>
      </c>
      <c r="I135" s="97"/>
      <c r="J135" s="86">
        <v>16</v>
      </c>
      <c r="K135" s="100">
        <v>1500</v>
      </c>
      <c r="L135" s="131">
        <v>93.75</v>
      </c>
      <c r="M135" s="155">
        <v>16</v>
      </c>
      <c r="N135" s="100">
        <f t="shared" ref="N135:N143" si="93">G135/W135*60</f>
        <v>1139.999999999997</v>
      </c>
      <c r="O135" s="157">
        <f t="shared" ref="O135:O143" si="94">N135/M135</f>
        <v>71.249999999999815</v>
      </c>
      <c r="P135" s="96">
        <f t="shared" si="89"/>
        <v>0</v>
      </c>
      <c r="Q135" s="132">
        <f t="shared" si="90"/>
        <v>-22.500000000000185</v>
      </c>
      <c r="R135" s="133">
        <f t="shared" si="91"/>
        <v>0.75999999999999801</v>
      </c>
      <c r="S135" s="651">
        <f>R147</f>
        <v>0.83368423532687974</v>
      </c>
      <c r="T135" s="315">
        <v>0.5</v>
      </c>
      <c r="U135" s="92">
        <v>0.5180555555555556</v>
      </c>
      <c r="V135" s="192">
        <v>5</v>
      </c>
      <c r="W135" s="316">
        <f t="shared" ref="W135:W147" si="95">(U135-T135)*24*60</f>
        <v>26.000000000000068</v>
      </c>
      <c r="X135" s="213"/>
      <c r="Y135" s="213"/>
      <c r="Z135" s="96"/>
      <c r="AA135" s="96"/>
      <c r="AB135" s="654"/>
      <c r="AC135" s="654"/>
      <c r="AD135" s="97"/>
      <c r="AE135" s="97"/>
      <c r="AF135" s="158">
        <f t="shared" si="63"/>
        <v>-360.00000000000296</v>
      </c>
      <c r="AG135" s="163">
        <f t="shared" si="64"/>
        <v>0.75999999999999801</v>
      </c>
      <c r="AH135" s="632">
        <f>AG147</f>
        <v>0.84379199745898126</v>
      </c>
    </row>
    <row r="136" spans="1:34" ht="18.649999999999999" customHeight="1">
      <c r="A136" s="648"/>
      <c r="B136" s="65" t="s">
        <v>251</v>
      </c>
      <c r="C136" s="97"/>
      <c r="D136" s="168" t="s">
        <v>171</v>
      </c>
      <c r="E136" s="317"/>
      <c r="F136" s="82">
        <v>57.734999999999999</v>
      </c>
      <c r="G136" s="100">
        <v>1628</v>
      </c>
      <c r="H136" s="129">
        <f t="shared" si="92"/>
        <v>93992.58</v>
      </c>
      <c r="I136" s="97"/>
      <c r="J136" s="86">
        <v>16</v>
      </c>
      <c r="K136" s="100">
        <v>1565</v>
      </c>
      <c r="L136" s="131">
        <v>97.8125</v>
      </c>
      <c r="M136" s="137">
        <v>15</v>
      </c>
      <c r="N136" s="100">
        <f t="shared" si="93"/>
        <v>1415.6521739130421</v>
      </c>
      <c r="O136" s="131">
        <f t="shared" si="94"/>
        <v>94.376811594202806</v>
      </c>
      <c r="P136" s="96">
        <f t="shared" si="89"/>
        <v>-1</v>
      </c>
      <c r="Q136" s="132">
        <f t="shared" si="90"/>
        <v>-3.4356884057971939</v>
      </c>
      <c r="R136" s="133">
        <f t="shared" si="91"/>
        <v>0.96487475112284016</v>
      </c>
      <c r="S136" s="651"/>
      <c r="T136" s="315">
        <v>0.52222222222222225</v>
      </c>
      <c r="U136" s="92">
        <v>0.57013888888888897</v>
      </c>
      <c r="V136" s="192">
        <v>6</v>
      </c>
      <c r="W136" s="85">
        <f t="shared" si="95"/>
        <v>69.000000000000071</v>
      </c>
      <c r="X136" s="95"/>
      <c r="Y136" s="95"/>
      <c r="Z136" s="96"/>
      <c r="AA136" s="96"/>
      <c r="AB136" s="644"/>
      <c r="AC136" s="644"/>
      <c r="AD136" s="97"/>
      <c r="AE136" s="97"/>
      <c r="AF136" s="89">
        <f t="shared" si="63"/>
        <v>-149.34782608695787</v>
      </c>
      <c r="AG136" s="170">
        <f t="shared" si="64"/>
        <v>0.90457007917766274</v>
      </c>
      <c r="AH136" s="632"/>
    </row>
    <row r="137" spans="1:34" ht="18.649999999999999" customHeight="1">
      <c r="A137" s="648"/>
      <c r="B137" s="65" t="s">
        <v>251</v>
      </c>
      <c r="C137" s="97"/>
      <c r="D137" s="168" t="s">
        <v>172</v>
      </c>
      <c r="E137" s="169"/>
      <c r="F137" s="82">
        <v>50.67</v>
      </c>
      <c r="G137" s="272">
        <v>696</v>
      </c>
      <c r="H137" s="129">
        <f t="shared" si="92"/>
        <v>35266.32</v>
      </c>
      <c r="I137" s="289"/>
      <c r="J137" s="86">
        <v>17</v>
      </c>
      <c r="K137" s="83">
        <v>1500</v>
      </c>
      <c r="L137" s="87">
        <v>88.235294117647058</v>
      </c>
      <c r="M137" s="130">
        <v>18</v>
      </c>
      <c r="N137" s="100">
        <f t="shared" si="93"/>
        <v>1265.4545454545439</v>
      </c>
      <c r="O137" s="131">
        <f t="shared" si="94"/>
        <v>70.303030303030212</v>
      </c>
      <c r="P137" s="96">
        <f t="shared" si="89"/>
        <v>1</v>
      </c>
      <c r="Q137" s="132">
        <f t="shared" si="90"/>
        <v>-17.932263814616846</v>
      </c>
      <c r="R137" s="133">
        <f t="shared" si="91"/>
        <v>0.79676767676767579</v>
      </c>
      <c r="S137" s="651"/>
      <c r="T137" s="92">
        <v>0.70833333333333337</v>
      </c>
      <c r="U137" s="92">
        <v>0.73125000000000007</v>
      </c>
      <c r="V137" s="318">
        <v>5</v>
      </c>
      <c r="W137" s="85">
        <f t="shared" si="95"/>
        <v>33.000000000000043</v>
      </c>
      <c r="X137" s="95"/>
      <c r="Y137" s="95"/>
      <c r="Z137" s="96"/>
      <c r="AA137" s="96"/>
      <c r="AB137" s="644"/>
      <c r="AC137" s="644"/>
      <c r="AD137" s="97"/>
      <c r="AE137" s="97"/>
      <c r="AF137" s="89">
        <f t="shared" si="63"/>
        <v>-234.5454545454561</v>
      </c>
      <c r="AG137" s="170">
        <f t="shared" si="64"/>
        <v>0.84363636363636263</v>
      </c>
      <c r="AH137" s="632"/>
    </row>
    <row r="138" spans="1:34" ht="18" customHeight="1">
      <c r="A138" s="648"/>
      <c r="B138" s="65" t="s">
        <v>251</v>
      </c>
      <c r="C138" s="291"/>
      <c r="D138" s="168" t="s">
        <v>173</v>
      </c>
      <c r="E138" s="169"/>
      <c r="F138" s="82">
        <v>54.09</v>
      </c>
      <c r="G138" s="100">
        <v>930</v>
      </c>
      <c r="H138" s="129">
        <f t="shared" si="92"/>
        <v>50303.700000000004</v>
      </c>
      <c r="I138" s="97"/>
      <c r="J138" s="130">
        <v>18</v>
      </c>
      <c r="K138" s="100">
        <v>1500</v>
      </c>
      <c r="L138" s="131">
        <v>83.333333333333329</v>
      </c>
      <c r="M138" s="155">
        <v>18</v>
      </c>
      <c r="N138" s="100">
        <f t="shared" si="93"/>
        <v>1240</v>
      </c>
      <c r="O138" s="131">
        <f t="shared" si="94"/>
        <v>68.888888888888886</v>
      </c>
      <c r="P138" s="96">
        <f t="shared" si="89"/>
        <v>0</v>
      </c>
      <c r="Q138" s="132">
        <f t="shared" si="90"/>
        <v>-14.444444444444443</v>
      </c>
      <c r="R138" s="242">
        <f t="shared" si="91"/>
        <v>0.82666666666666666</v>
      </c>
      <c r="S138" s="651"/>
      <c r="T138" s="92">
        <v>0.73611111111111116</v>
      </c>
      <c r="U138" s="92">
        <v>0.76736111111111116</v>
      </c>
      <c r="V138" s="318">
        <v>7</v>
      </c>
      <c r="W138" s="85">
        <f t="shared" si="95"/>
        <v>45</v>
      </c>
      <c r="X138" s="95"/>
      <c r="Y138" s="95"/>
      <c r="Z138" s="96"/>
      <c r="AA138" s="96"/>
      <c r="AB138" s="644"/>
      <c r="AC138" s="644"/>
      <c r="AD138" s="97"/>
      <c r="AE138" s="97"/>
      <c r="AF138" s="89">
        <f t="shared" si="63"/>
        <v>-260</v>
      </c>
      <c r="AG138" s="170">
        <f t="shared" si="64"/>
        <v>0.82666666666666666</v>
      </c>
      <c r="AH138" s="632"/>
    </row>
    <row r="139" spans="1:34" ht="18" customHeight="1">
      <c r="A139" s="648"/>
      <c r="B139" s="65" t="s">
        <v>251</v>
      </c>
      <c r="C139" s="219"/>
      <c r="D139" s="80" t="s">
        <v>174</v>
      </c>
      <c r="E139" s="81"/>
      <c r="F139" s="82">
        <v>50.67</v>
      </c>
      <c r="G139" s="100">
        <v>902</v>
      </c>
      <c r="H139" s="129">
        <f t="shared" si="92"/>
        <v>45704.340000000004</v>
      </c>
      <c r="I139" s="97"/>
      <c r="J139" s="86">
        <v>18</v>
      </c>
      <c r="K139" s="83">
        <v>1440</v>
      </c>
      <c r="L139" s="87">
        <v>80</v>
      </c>
      <c r="M139" s="155">
        <v>18</v>
      </c>
      <c r="N139" s="100">
        <f t="shared" si="93"/>
        <v>1288.571428571428</v>
      </c>
      <c r="O139" s="131">
        <f t="shared" si="94"/>
        <v>71.587301587301553</v>
      </c>
      <c r="P139" s="96">
        <f t="shared" si="89"/>
        <v>0</v>
      </c>
      <c r="Q139" s="132">
        <f t="shared" si="90"/>
        <v>-8.4126984126984468</v>
      </c>
      <c r="R139" s="133">
        <f t="shared" si="91"/>
        <v>0.89484126984126944</v>
      </c>
      <c r="S139" s="651"/>
      <c r="T139" s="92">
        <v>0.7729166666666667</v>
      </c>
      <c r="U139" s="92">
        <v>0.80208333333333337</v>
      </c>
      <c r="V139" s="319">
        <v>8</v>
      </c>
      <c r="W139" s="85">
        <f t="shared" si="95"/>
        <v>42.000000000000014</v>
      </c>
      <c r="X139" s="95"/>
      <c r="Y139" s="95"/>
      <c r="Z139" s="96"/>
      <c r="AA139" s="96"/>
      <c r="AB139" s="654"/>
      <c r="AC139" s="654"/>
      <c r="AD139" s="97"/>
      <c r="AE139" s="97"/>
      <c r="AF139" s="89">
        <f t="shared" si="63"/>
        <v>-151.42857142857201</v>
      </c>
      <c r="AG139" s="170">
        <f t="shared" si="64"/>
        <v>0.89484126984126944</v>
      </c>
      <c r="AH139" s="632"/>
    </row>
    <row r="140" spans="1:34" ht="18" customHeight="1">
      <c r="A140" s="649"/>
      <c r="B140" s="65" t="s">
        <v>251</v>
      </c>
      <c r="C140" s="219"/>
      <c r="D140" s="320" t="s">
        <v>175</v>
      </c>
      <c r="E140" s="169"/>
      <c r="F140" s="82">
        <v>57.3</v>
      </c>
      <c r="G140" s="100">
        <v>1395</v>
      </c>
      <c r="H140" s="129">
        <f t="shared" si="92"/>
        <v>79933.5</v>
      </c>
      <c r="I140" s="97"/>
      <c r="J140" s="130">
        <v>15</v>
      </c>
      <c r="K140" s="100">
        <v>1500</v>
      </c>
      <c r="L140" s="131">
        <v>100</v>
      </c>
      <c r="M140" s="155">
        <v>16</v>
      </c>
      <c r="N140" s="100">
        <f t="shared" si="93"/>
        <v>1287.692307692309</v>
      </c>
      <c r="O140" s="131">
        <f t="shared" si="94"/>
        <v>80.480769230769312</v>
      </c>
      <c r="P140" s="96">
        <f t="shared" si="89"/>
        <v>1</v>
      </c>
      <c r="Q140" s="132">
        <f t="shared" si="90"/>
        <v>-19.519230769230688</v>
      </c>
      <c r="R140" s="242">
        <f t="shared" si="91"/>
        <v>0.80480769230769311</v>
      </c>
      <c r="S140" s="652"/>
      <c r="T140" s="107">
        <v>0.81736111111111109</v>
      </c>
      <c r="U140" s="321">
        <v>0.86249999999999993</v>
      </c>
      <c r="V140" s="322">
        <v>22</v>
      </c>
      <c r="W140" s="85">
        <f t="shared" si="95"/>
        <v>64.999999999999929</v>
      </c>
      <c r="X140" s="95">
        <v>0.80555555555555547</v>
      </c>
      <c r="Y140" s="95">
        <v>0.81458333333333333</v>
      </c>
      <c r="Z140" s="96"/>
      <c r="AA140" s="96"/>
      <c r="AB140" s="645"/>
      <c r="AC140" s="646"/>
      <c r="AD140" s="97"/>
      <c r="AE140" s="97"/>
      <c r="AF140" s="89">
        <f t="shared" si="63"/>
        <v>-212.30769230769101</v>
      </c>
      <c r="AG140" s="170">
        <f t="shared" si="64"/>
        <v>0.85846153846153928</v>
      </c>
      <c r="AH140" s="632"/>
    </row>
    <row r="141" spans="1:34" ht="18" customHeight="1">
      <c r="A141" s="649"/>
      <c r="B141" s="65" t="s">
        <v>251</v>
      </c>
      <c r="C141" s="219"/>
      <c r="D141" s="80" t="s">
        <v>176</v>
      </c>
      <c r="E141" s="323"/>
      <c r="F141" s="82">
        <v>50.49</v>
      </c>
      <c r="G141" s="100">
        <v>1083</v>
      </c>
      <c r="H141" s="129">
        <f t="shared" si="92"/>
        <v>54680.670000000006</v>
      </c>
      <c r="I141" s="97"/>
      <c r="J141" s="86">
        <v>15</v>
      </c>
      <c r="K141" s="83">
        <v>1440</v>
      </c>
      <c r="L141" s="87">
        <v>96</v>
      </c>
      <c r="M141" s="155">
        <v>16</v>
      </c>
      <c r="N141" s="100">
        <f t="shared" si="93"/>
        <v>1299.6000000000004</v>
      </c>
      <c r="O141" s="131">
        <f t="shared" si="94"/>
        <v>81.225000000000023</v>
      </c>
      <c r="P141" s="96">
        <f t="shared" si="89"/>
        <v>1</v>
      </c>
      <c r="Q141" s="132">
        <f t="shared" si="90"/>
        <v>-14.774999999999977</v>
      </c>
      <c r="R141" s="133">
        <f t="shared" si="91"/>
        <v>0.8460937500000002</v>
      </c>
      <c r="S141" s="652"/>
      <c r="T141" s="107">
        <v>0.86666666666666659</v>
      </c>
      <c r="U141" s="321">
        <v>0.9013888888888888</v>
      </c>
      <c r="V141" s="98">
        <v>6</v>
      </c>
      <c r="W141" s="85">
        <f t="shared" si="95"/>
        <v>49.999999999999986</v>
      </c>
      <c r="X141" s="95"/>
      <c r="Y141" s="95"/>
      <c r="Z141" s="96"/>
      <c r="AA141" s="96"/>
      <c r="AB141" s="655"/>
      <c r="AC141" s="656"/>
      <c r="AD141" s="97"/>
      <c r="AE141" s="97"/>
      <c r="AF141" s="89">
        <f t="shared" si="63"/>
        <v>-140.39999999999964</v>
      </c>
      <c r="AG141" s="170">
        <f t="shared" si="64"/>
        <v>0.9025000000000003</v>
      </c>
      <c r="AH141" s="632"/>
    </row>
    <row r="142" spans="1:34" ht="18" customHeight="1">
      <c r="A142" s="649"/>
      <c r="B142" s="65" t="s">
        <v>251</v>
      </c>
      <c r="C142" s="219"/>
      <c r="D142" s="80" t="s">
        <v>160</v>
      </c>
      <c r="E142" s="323"/>
      <c r="F142" s="82">
        <v>58.17</v>
      </c>
      <c r="G142" s="100">
        <v>373.40000000000003</v>
      </c>
      <c r="H142" s="129">
        <f t="shared" si="92"/>
        <v>21720.678000000004</v>
      </c>
      <c r="I142" s="97">
        <v>2</v>
      </c>
      <c r="J142" s="130">
        <v>18</v>
      </c>
      <c r="K142" s="100">
        <v>1385</v>
      </c>
      <c r="L142" s="131">
        <v>76.944444444444443</v>
      </c>
      <c r="M142" s="155">
        <v>18</v>
      </c>
      <c r="N142" s="100">
        <f t="shared" si="93"/>
        <v>1018.36363636364</v>
      </c>
      <c r="O142" s="131">
        <f t="shared" si="94"/>
        <v>56.575757575757777</v>
      </c>
      <c r="P142" s="96">
        <f t="shared" si="89"/>
        <v>0</v>
      </c>
      <c r="Q142" s="132">
        <f t="shared" si="90"/>
        <v>-20.368686868686666</v>
      </c>
      <c r="R142" s="242">
        <f t="shared" si="91"/>
        <v>0.73528060387266425</v>
      </c>
      <c r="S142" s="652"/>
      <c r="T142" s="107">
        <v>0.90486111111111101</v>
      </c>
      <c r="U142" s="321">
        <v>0.92013888888888873</v>
      </c>
      <c r="V142" s="98">
        <v>5</v>
      </c>
      <c r="W142" s="85">
        <f t="shared" si="95"/>
        <v>21.999999999999922</v>
      </c>
      <c r="X142" s="95"/>
      <c r="Y142" s="95"/>
      <c r="Z142" s="96"/>
      <c r="AA142" s="96"/>
      <c r="AB142" s="645"/>
      <c r="AC142" s="646"/>
      <c r="AD142" s="97"/>
      <c r="AE142" s="97"/>
      <c r="AF142" s="89">
        <f t="shared" si="63"/>
        <v>-366.63636363635999</v>
      </c>
      <c r="AG142" s="170">
        <f t="shared" si="64"/>
        <v>0.73528060387266425</v>
      </c>
      <c r="AH142" s="632"/>
    </row>
    <row r="143" spans="1:34" ht="18" customHeight="1">
      <c r="A143" s="649"/>
      <c r="B143" s="65" t="s">
        <v>251</v>
      </c>
      <c r="C143" s="324"/>
      <c r="D143" s="168" t="s">
        <v>177</v>
      </c>
      <c r="E143" s="169"/>
      <c r="F143" s="82">
        <v>50.29</v>
      </c>
      <c r="G143" s="100">
        <v>289.75</v>
      </c>
      <c r="H143" s="129">
        <f t="shared" si="92"/>
        <v>14571.5275</v>
      </c>
      <c r="I143" s="97">
        <v>2</v>
      </c>
      <c r="J143" s="130">
        <v>18</v>
      </c>
      <c r="K143" s="100">
        <v>1440</v>
      </c>
      <c r="L143" s="131">
        <v>80</v>
      </c>
      <c r="M143" s="155">
        <v>18</v>
      </c>
      <c r="N143" s="100">
        <f t="shared" si="93"/>
        <v>1241.7857142857185</v>
      </c>
      <c r="O143" s="131">
        <f t="shared" si="94"/>
        <v>68.988095238095468</v>
      </c>
      <c r="P143" s="96">
        <f t="shared" si="89"/>
        <v>0</v>
      </c>
      <c r="Q143" s="132">
        <f t="shared" si="90"/>
        <v>-11.011904761904532</v>
      </c>
      <c r="R143" s="242">
        <f t="shared" si="91"/>
        <v>0.86235119047619335</v>
      </c>
      <c r="S143" s="652"/>
      <c r="T143" s="107">
        <v>0.92430555555555538</v>
      </c>
      <c r="U143" s="321">
        <v>0.93402777777777757</v>
      </c>
      <c r="V143" s="98">
        <v>6</v>
      </c>
      <c r="W143" s="85">
        <f t="shared" si="95"/>
        <v>13.99999999999995</v>
      </c>
      <c r="X143" s="95"/>
      <c r="Y143" s="95"/>
      <c r="Z143" s="96"/>
      <c r="AA143" s="96"/>
      <c r="AB143" s="645"/>
      <c r="AC143" s="646"/>
      <c r="AD143" s="97"/>
      <c r="AE143" s="97"/>
      <c r="AF143" s="89">
        <f t="shared" si="63"/>
        <v>-198.21428571428146</v>
      </c>
      <c r="AG143" s="170">
        <f t="shared" si="64"/>
        <v>0.86235119047619346</v>
      </c>
      <c r="AH143" s="632"/>
    </row>
    <row r="144" spans="1:34" ht="18" customHeight="1">
      <c r="A144" s="649"/>
      <c r="B144" s="65">
        <v>0</v>
      </c>
      <c r="C144" s="219"/>
      <c r="D144" s="80"/>
      <c r="E144" s="323"/>
      <c r="F144" s="82" t="s">
        <v>253</v>
      </c>
      <c r="G144" s="100"/>
      <c r="H144" s="129">
        <f t="shared" si="92"/>
        <v>0</v>
      </c>
      <c r="I144" s="97"/>
      <c r="J144" s="130"/>
      <c r="K144" s="100"/>
      <c r="L144" s="131"/>
      <c r="M144" s="137"/>
      <c r="N144" s="100"/>
      <c r="O144" s="131"/>
      <c r="P144" s="96"/>
      <c r="Q144" s="132"/>
      <c r="R144" s="133"/>
      <c r="S144" s="652"/>
      <c r="T144" s="107"/>
      <c r="U144" s="321"/>
      <c r="V144" s="98"/>
      <c r="W144" s="85">
        <f t="shared" si="95"/>
        <v>0</v>
      </c>
      <c r="X144" s="95"/>
      <c r="Y144" s="95"/>
      <c r="Z144" s="96"/>
      <c r="AA144" s="96"/>
      <c r="AB144" s="645"/>
      <c r="AC144" s="646"/>
      <c r="AD144" s="97"/>
      <c r="AE144" s="97"/>
      <c r="AF144" s="89">
        <f t="shared" si="63"/>
        <v>0</v>
      </c>
      <c r="AG144" s="170" t="e">
        <f t="shared" si="64"/>
        <v>#DIV/0!</v>
      </c>
      <c r="AH144" s="632"/>
    </row>
    <row r="145" spans="1:34" ht="18" customHeight="1">
      <c r="A145" s="649"/>
      <c r="B145" s="65">
        <v>0</v>
      </c>
      <c r="C145" s="219"/>
      <c r="D145" s="80"/>
      <c r="E145" s="323"/>
      <c r="F145" s="82" t="s">
        <v>253</v>
      </c>
      <c r="G145" s="100"/>
      <c r="H145" s="129">
        <f t="shared" si="92"/>
        <v>0</v>
      </c>
      <c r="I145" s="97"/>
      <c r="J145" s="130"/>
      <c r="K145" s="100"/>
      <c r="L145" s="131"/>
      <c r="M145" s="137"/>
      <c r="N145" s="100"/>
      <c r="O145" s="131"/>
      <c r="P145" s="96"/>
      <c r="Q145" s="132"/>
      <c r="R145" s="133"/>
      <c r="S145" s="652"/>
      <c r="T145" s="107"/>
      <c r="U145" s="321"/>
      <c r="V145" s="98"/>
      <c r="W145" s="85">
        <f t="shared" si="95"/>
        <v>0</v>
      </c>
      <c r="X145" s="95"/>
      <c r="Y145" s="95"/>
      <c r="Z145" s="96"/>
      <c r="AA145" s="96"/>
      <c r="AB145" s="645"/>
      <c r="AC145" s="646"/>
      <c r="AD145" s="97"/>
      <c r="AE145" s="97"/>
      <c r="AF145" s="89">
        <f t="shared" si="63"/>
        <v>0</v>
      </c>
      <c r="AG145" s="170" t="e">
        <f t="shared" si="64"/>
        <v>#DIV/0!</v>
      </c>
      <c r="AH145" s="632"/>
    </row>
    <row r="146" spans="1:34" ht="18" customHeight="1">
      <c r="A146" s="649"/>
      <c r="B146" s="213">
        <v>0</v>
      </c>
      <c r="C146" s="324"/>
      <c r="D146" s="325"/>
      <c r="E146" s="323"/>
      <c r="F146" s="180" t="s">
        <v>253</v>
      </c>
      <c r="G146" s="100"/>
      <c r="H146" s="129">
        <f t="shared" si="92"/>
        <v>0</v>
      </c>
      <c r="I146" s="97"/>
      <c r="J146" s="130"/>
      <c r="K146" s="100"/>
      <c r="L146" s="131"/>
      <c r="M146" s="137"/>
      <c r="N146" s="100"/>
      <c r="O146" s="131"/>
      <c r="P146" s="96"/>
      <c r="Q146" s="132"/>
      <c r="R146" s="133"/>
      <c r="S146" s="652"/>
      <c r="T146" s="107"/>
      <c r="U146" s="321"/>
      <c r="V146" s="98"/>
      <c r="W146" s="85">
        <f t="shared" si="95"/>
        <v>0</v>
      </c>
      <c r="X146" s="95"/>
      <c r="Y146" s="95"/>
      <c r="Z146" s="96"/>
      <c r="AA146" s="96"/>
      <c r="AB146" s="645"/>
      <c r="AC146" s="646"/>
      <c r="AD146" s="97"/>
      <c r="AE146" s="97"/>
      <c r="AF146" s="96"/>
      <c r="AG146" s="133"/>
      <c r="AH146" s="632"/>
    </row>
    <row r="147" spans="1:34" ht="18" customHeight="1">
      <c r="A147" s="650"/>
      <c r="B147" s="326">
        <v>0</v>
      </c>
      <c r="C147" s="138" t="s">
        <v>23</v>
      </c>
      <c r="D147" s="630" t="s">
        <v>220</v>
      </c>
      <c r="E147" s="630"/>
      <c r="F147" s="327"/>
      <c r="G147" s="140"/>
      <c r="H147" s="141"/>
      <c r="I147" s="142"/>
      <c r="J147" s="140">
        <v>16.777777777777779</v>
      </c>
      <c r="K147" s="140">
        <v>1474.4444444444443</v>
      </c>
      <c r="L147" s="143">
        <v>88.452841321713862</v>
      </c>
      <c r="M147" s="311">
        <f t="shared" ref="M147:O147" si="96">AVERAGE(M135:M146)</f>
        <v>17</v>
      </c>
      <c r="N147" s="311">
        <f t="shared" si="96"/>
        <v>1244.1244229200756</v>
      </c>
      <c r="O147" s="312">
        <f t="shared" si="96"/>
        <v>73.741739379782857</v>
      </c>
      <c r="P147" s="93">
        <f t="shared" ref="P147:P150" si="97">M147-J147</f>
        <v>0.22222222222222143</v>
      </c>
      <c r="Q147" s="189">
        <f t="shared" ref="Q147:Q150" si="98">O147-L147</f>
        <v>-14.711101941931005</v>
      </c>
      <c r="R147" s="328">
        <f t="shared" ref="R147:R150" si="99">O147/L147</f>
        <v>0.83368423532687974</v>
      </c>
      <c r="S147" s="653"/>
      <c r="T147" s="107"/>
      <c r="U147" s="107"/>
      <c r="V147" s="98"/>
      <c r="W147" s="85">
        <f t="shared" si="95"/>
        <v>0</v>
      </c>
      <c r="X147" s="95"/>
      <c r="Y147" s="95"/>
      <c r="Z147" s="145">
        <f>SUM(Z135:Z146)</f>
        <v>0</v>
      </c>
      <c r="AA147" s="145">
        <f>SUM(AA135:AA146)</f>
        <v>0</v>
      </c>
      <c r="AB147" s="637"/>
      <c r="AC147" s="637"/>
      <c r="AD147" s="146">
        <f>SUM(AD135:AD146)</f>
        <v>0</v>
      </c>
      <c r="AE147" s="146">
        <f>SUM(AE135:AE146)</f>
        <v>0</v>
      </c>
      <c r="AF147" s="266">
        <f t="shared" si="63"/>
        <v>-230.32002152436871</v>
      </c>
      <c r="AG147" s="329">
        <f t="shared" si="64"/>
        <v>0.84379199745898126</v>
      </c>
      <c r="AH147" s="632"/>
    </row>
    <row r="148" spans="1:34" ht="18" customHeight="1">
      <c r="A148" s="638" t="s">
        <v>233</v>
      </c>
      <c r="B148" s="97" t="s">
        <v>251</v>
      </c>
      <c r="C148" s="126"/>
      <c r="D148" s="228" t="s">
        <v>178</v>
      </c>
      <c r="E148" s="81"/>
      <c r="F148" s="183">
        <v>50.92</v>
      </c>
      <c r="G148" s="100">
        <v>1695</v>
      </c>
      <c r="H148" s="129">
        <f t="shared" ref="H148:H172" si="100">F148*G148</f>
        <v>86309.400000000009</v>
      </c>
      <c r="I148" s="330"/>
      <c r="J148" s="130">
        <v>17</v>
      </c>
      <c r="K148" s="100">
        <v>1440</v>
      </c>
      <c r="L148" s="131">
        <v>84.705882352941174</v>
      </c>
      <c r="M148" s="155">
        <v>16</v>
      </c>
      <c r="N148" s="83">
        <f>G148/W148*60</f>
        <v>1338.1578947368412</v>
      </c>
      <c r="O148" s="87">
        <f>N148/M148</f>
        <v>83.634868421052573</v>
      </c>
      <c r="P148" s="89">
        <f t="shared" si="97"/>
        <v>-1</v>
      </c>
      <c r="Q148" s="90">
        <f t="shared" si="98"/>
        <v>-1.0710139318886007</v>
      </c>
      <c r="R148" s="91">
        <f t="shared" si="99"/>
        <v>0.98735608552631515</v>
      </c>
      <c r="S148" s="639">
        <f>R160</f>
        <v>0.91527745028121765</v>
      </c>
      <c r="T148" s="315">
        <v>0.70833333333333337</v>
      </c>
      <c r="U148" s="92">
        <v>0.76111111111111118</v>
      </c>
      <c r="V148" s="65">
        <v>5</v>
      </c>
      <c r="W148" s="85">
        <f>(U148-T148)*24*60</f>
        <v>76.000000000000057</v>
      </c>
      <c r="X148" s="95"/>
      <c r="Y148" s="95"/>
      <c r="Z148" s="96"/>
      <c r="AA148" s="96"/>
      <c r="AB148" s="641"/>
      <c r="AC148" s="642"/>
      <c r="AD148" s="97"/>
      <c r="AE148" s="97"/>
      <c r="AF148" s="89">
        <f t="shared" si="63"/>
        <v>-101.84210526315883</v>
      </c>
      <c r="AG148" s="170">
        <f t="shared" si="64"/>
        <v>0.92927631578947301</v>
      </c>
      <c r="AH148" s="632">
        <f>AG160</f>
        <v>0.92957476397272343</v>
      </c>
    </row>
    <row r="149" spans="1:34" ht="18" customHeight="1">
      <c r="A149" s="638"/>
      <c r="B149" s="97" t="s">
        <v>251</v>
      </c>
      <c r="C149" s="289"/>
      <c r="D149" s="320" t="s">
        <v>177</v>
      </c>
      <c r="E149" s="103"/>
      <c r="F149" s="183">
        <v>50.29</v>
      </c>
      <c r="G149" s="100">
        <v>869.25</v>
      </c>
      <c r="H149" s="129">
        <f t="shared" si="100"/>
        <v>43714.582499999997</v>
      </c>
      <c r="I149" s="330"/>
      <c r="J149" s="130">
        <v>18</v>
      </c>
      <c r="K149" s="100">
        <v>1440</v>
      </c>
      <c r="L149" s="131">
        <v>80</v>
      </c>
      <c r="M149" s="155">
        <v>18</v>
      </c>
      <c r="N149" s="83">
        <f>G149/W149*60</f>
        <v>1272.0731707317068</v>
      </c>
      <c r="O149" s="87">
        <f>N149/M149</f>
        <v>70.670731707317046</v>
      </c>
      <c r="P149" s="89">
        <f t="shared" si="97"/>
        <v>0</v>
      </c>
      <c r="Q149" s="90">
        <f t="shared" si="98"/>
        <v>-9.3292682926829542</v>
      </c>
      <c r="R149" s="91">
        <f t="shared" si="99"/>
        <v>0.88338414634146312</v>
      </c>
      <c r="S149" s="640"/>
      <c r="T149" s="315">
        <v>0.76597222222222228</v>
      </c>
      <c r="U149" s="92">
        <v>0.79444444444444451</v>
      </c>
      <c r="V149" s="65">
        <v>7</v>
      </c>
      <c r="W149" s="85">
        <f t="shared" ref="W149:W151" si="101">(U149-T149)*24*60</f>
        <v>41.000000000000014</v>
      </c>
      <c r="X149" s="95"/>
      <c r="Y149" s="95"/>
      <c r="Z149" s="96"/>
      <c r="AA149" s="96"/>
      <c r="AB149" s="644"/>
      <c r="AC149" s="644"/>
      <c r="AD149" s="97"/>
      <c r="AE149" s="97"/>
      <c r="AF149" s="89">
        <f t="shared" si="63"/>
        <v>-167.9268292682932</v>
      </c>
      <c r="AG149" s="170">
        <f t="shared" si="64"/>
        <v>0.88338414634146301</v>
      </c>
      <c r="AH149" s="643"/>
    </row>
    <row r="150" spans="1:34" ht="16.25" customHeight="1">
      <c r="A150" s="638"/>
      <c r="B150" s="97" t="s">
        <v>251</v>
      </c>
      <c r="C150" s="289"/>
      <c r="D150" s="231" t="s">
        <v>234</v>
      </c>
      <c r="E150" s="103"/>
      <c r="F150" s="183">
        <v>54.29</v>
      </c>
      <c r="G150" s="100">
        <v>2202</v>
      </c>
      <c r="H150" s="129">
        <f t="shared" si="100"/>
        <v>119546.58</v>
      </c>
      <c r="I150" s="330"/>
      <c r="J150" s="130">
        <v>17</v>
      </c>
      <c r="K150" s="100">
        <v>1440</v>
      </c>
      <c r="L150" s="131">
        <v>84.705882352941174</v>
      </c>
      <c r="M150" s="155">
        <v>19</v>
      </c>
      <c r="N150" s="83">
        <f>G150/W150*60</f>
        <v>1405.5319148936173</v>
      </c>
      <c r="O150" s="87">
        <f>N150/M150</f>
        <v>73.975363941769331</v>
      </c>
      <c r="P150" s="89">
        <f t="shared" si="97"/>
        <v>2</v>
      </c>
      <c r="Q150" s="90">
        <f t="shared" si="98"/>
        <v>-10.730518411171843</v>
      </c>
      <c r="R150" s="91">
        <f t="shared" si="99"/>
        <v>0.87332026875699909</v>
      </c>
      <c r="S150" s="640"/>
      <c r="T150" s="315">
        <v>0.7993055555555556</v>
      </c>
      <c r="U150" s="92">
        <v>0.86458333333333337</v>
      </c>
      <c r="V150" s="65">
        <v>7</v>
      </c>
      <c r="W150" s="85">
        <f t="shared" si="101"/>
        <v>93.999999999999986</v>
      </c>
      <c r="X150" s="283"/>
      <c r="Y150" s="283"/>
      <c r="Z150" s="284"/>
      <c r="AA150" s="284"/>
      <c r="AB150" s="644"/>
      <c r="AC150" s="644"/>
      <c r="AD150" s="97"/>
      <c r="AE150" s="97"/>
      <c r="AF150" s="89">
        <f t="shared" si="63"/>
        <v>-34.468085106382659</v>
      </c>
      <c r="AG150" s="170">
        <f t="shared" si="64"/>
        <v>0.97606382978723427</v>
      </c>
      <c r="AH150" s="643"/>
    </row>
    <row r="151" spans="1:34" s="286" customFormat="1" ht="18" customHeight="1">
      <c r="A151" s="638"/>
      <c r="B151" s="97">
        <v>0</v>
      </c>
      <c r="C151" s="289"/>
      <c r="D151" s="102"/>
      <c r="E151" s="103"/>
      <c r="F151" s="183" t="s">
        <v>253</v>
      </c>
      <c r="G151" s="100"/>
      <c r="H151" s="129">
        <f t="shared" si="100"/>
        <v>0</v>
      </c>
      <c r="I151" s="330"/>
      <c r="J151" s="130"/>
      <c r="K151" s="100"/>
      <c r="L151" s="131"/>
      <c r="M151" s="155"/>
      <c r="N151" s="83"/>
      <c r="O151" s="87"/>
      <c r="P151" s="89"/>
      <c r="Q151" s="90"/>
      <c r="R151" s="91"/>
      <c r="S151" s="640"/>
      <c r="T151" s="315"/>
      <c r="U151" s="92"/>
      <c r="V151" s="65"/>
      <c r="W151" s="85">
        <f t="shared" si="101"/>
        <v>0</v>
      </c>
      <c r="X151" s="283"/>
      <c r="Y151" s="283"/>
      <c r="Z151" s="284"/>
      <c r="AA151" s="284"/>
      <c r="AB151" s="633"/>
      <c r="AC151" s="633"/>
      <c r="AD151" s="289"/>
      <c r="AE151" s="289"/>
      <c r="AF151" s="89">
        <f t="shared" si="63"/>
        <v>0</v>
      </c>
      <c r="AG151" s="170" t="e">
        <f t="shared" si="64"/>
        <v>#DIV/0!</v>
      </c>
      <c r="AH151" s="643"/>
    </row>
    <row r="152" spans="1:34" s="286" customFormat="1" ht="18" customHeight="1">
      <c r="A152" s="638"/>
      <c r="B152" s="97">
        <v>0</v>
      </c>
      <c r="C152" s="289"/>
      <c r="D152" s="320"/>
      <c r="E152" s="103"/>
      <c r="F152" s="183" t="s">
        <v>253</v>
      </c>
      <c r="G152" s="100"/>
      <c r="H152" s="129">
        <f t="shared" si="100"/>
        <v>0</v>
      </c>
      <c r="I152" s="330"/>
      <c r="J152" s="130"/>
      <c r="K152" s="100"/>
      <c r="L152" s="131"/>
      <c r="M152" s="155"/>
      <c r="N152" s="83"/>
      <c r="O152" s="87"/>
      <c r="P152" s="89"/>
      <c r="Q152" s="90"/>
      <c r="R152" s="91"/>
      <c r="S152" s="640"/>
      <c r="T152" s="331"/>
      <c r="U152" s="107"/>
      <c r="V152" s="105"/>
      <c r="W152" s="85"/>
      <c r="X152" s="287"/>
      <c r="Y152" s="287"/>
      <c r="Z152" s="284"/>
      <c r="AA152" s="284"/>
      <c r="AB152" s="633"/>
      <c r="AC152" s="633"/>
      <c r="AD152" s="289"/>
      <c r="AE152" s="289"/>
      <c r="AF152" s="89">
        <f t="shared" si="63"/>
        <v>0</v>
      </c>
      <c r="AG152" s="170" t="e">
        <f t="shared" si="64"/>
        <v>#DIV/0!</v>
      </c>
      <c r="AH152" s="643"/>
    </row>
    <row r="153" spans="1:34" s="286" customFormat="1" ht="18" customHeight="1">
      <c r="A153" s="638"/>
      <c r="B153" s="97">
        <v>0</v>
      </c>
      <c r="C153" s="289"/>
      <c r="D153" s="320"/>
      <c r="E153" s="103"/>
      <c r="F153" s="183" t="s">
        <v>253</v>
      </c>
      <c r="G153" s="100"/>
      <c r="H153" s="129">
        <f t="shared" si="100"/>
        <v>0</v>
      </c>
      <c r="I153" s="330"/>
      <c r="J153" s="130"/>
      <c r="K153" s="100"/>
      <c r="L153" s="131"/>
      <c r="M153" s="261"/>
      <c r="N153" s="83"/>
      <c r="O153" s="87"/>
      <c r="P153" s="89"/>
      <c r="Q153" s="90"/>
      <c r="R153" s="91"/>
      <c r="S153" s="640"/>
      <c r="T153" s="331"/>
      <c r="U153" s="107"/>
      <c r="V153" s="105"/>
      <c r="W153" s="85">
        <f t="shared" ref="W153:W159" si="102">(U153-T153)*24*60</f>
        <v>0</v>
      </c>
      <c r="X153" s="287"/>
      <c r="Y153" s="287"/>
      <c r="Z153" s="284"/>
      <c r="AA153" s="284"/>
      <c r="AB153" s="633"/>
      <c r="AC153" s="633"/>
      <c r="AD153" s="289"/>
      <c r="AE153" s="289"/>
      <c r="AF153" s="89">
        <f t="shared" si="63"/>
        <v>0</v>
      </c>
      <c r="AG153" s="170" t="e">
        <f t="shared" si="64"/>
        <v>#DIV/0!</v>
      </c>
      <c r="AH153" s="643"/>
    </row>
    <row r="154" spans="1:34" s="286" customFormat="1" ht="18" customHeight="1">
      <c r="A154" s="638"/>
      <c r="B154" s="97">
        <v>0</v>
      </c>
      <c r="C154" s="289"/>
      <c r="D154" s="320"/>
      <c r="E154" s="103"/>
      <c r="F154" s="183" t="s">
        <v>253</v>
      </c>
      <c r="G154" s="100"/>
      <c r="H154" s="129">
        <f t="shared" si="100"/>
        <v>0</v>
      </c>
      <c r="I154" s="330"/>
      <c r="J154" s="332"/>
      <c r="K154" s="299"/>
      <c r="L154" s="87"/>
      <c r="M154" s="261"/>
      <c r="N154" s="234"/>
      <c r="O154" s="292"/>
      <c r="P154" s="333"/>
      <c r="Q154" s="119"/>
      <c r="R154" s="174"/>
      <c r="S154" s="640"/>
      <c r="T154" s="331"/>
      <c r="U154" s="107"/>
      <c r="V154" s="105"/>
      <c r="W154" s="334">
        <f t="shared" si="102"/>
        <v>0</v>
      </c>
      <c r="X154" s="287"/>
      <c r="Y154" s="287"/>
      <c r="Z154" s="284"/>
      <c r="AA154" s="284"/>
      <c r="AB154" s="633"/>
      <c r="AC154" s="633"/>
      <c r="AD154" s="289"/>
      <c r="AE154" s="289"/>
      <c r="AF154" s="89">
        <f t="shared" si="63"/>
        <v>0</v>
      </c>
      <c r="AG154" s="170" t="e">
        <f t="shared" si="64"/>
        <v>#DIV/0!</v>
      </c>
      <c r="AH154" s="643"/>
    </row>
    <row r="155" spans="1:34" s="286" customFormat="1" ht="18" customHeight="1">
      <c r="A155" s="638"/>
      <c r="B155" s="97">
        <v>0</v>
      </c>
      <c r="C155" s="289"/>
      <c r="D155" s="320"/>
      <c r="E155" s="103"/>
      <c r="F155" s="183" t="s">
        <v>253</v>
      </c>
      <c r="G155" s="100"/>
      <c r="H155" s="129">
        <f t="shared" si="100"/>
        <v>0</v>
      </c>
      <c r="I155" s="330"/>
      <c r="J155" s="332"/>
      <c r="K155" s="299"/>
      <c r="L155" s="87"/>
      <c r="M155" s="261"/>
      <c r="N155" s="234"/>
      <c r="O155" s="292"/>
      <c r="P155" s="333"/>
      <c r="Q155" s="119"/>
      <c r="R155" s="174"/>
      <c r="S155" s="640"/>
      <c r="T155" s="331"/>
      <c r="U155" s="107"/>
      <c r="V155" s="105"/>
      <c r="W155" s="334">
        <f t="shared" si="102"/>
        <v>0</v>
      </c>
      <c r="X155" s="287"/>
      <c r="Y155" s="287"/>
      <c r="Z155" s="284"/>
      <c r="AA155" s="284"/>
      <c r="AB155" s="633"/>
      <c r="AC155" s="633"/>
      <c r="AD155" s="289"/>
      <c r="AE155" s="289"/>
      <c r="AF155" s="335"/>
      <c r="AG155" s="174"/>
      <c r="AH155" s="643"/>
    </row>
    <row r="156" spans="1:34" s="286" customFormat="1" ht="18" customHeight="1">
      <c r="A156" s="638"/>
      <c r="B156" s="289">
        <v>0</v>
      </c>
      <c r="C156" s="289"/>
      <c r="D156" s="320"/>
      <c r="E156" s="103"/>
      <c r="F156" s="183" t="s">
        <v>253</v>
      </c>
      <c r="G156" s="100"/>
      <c r="H156" s="129">
        <f t="shared" si="100"/>
        <v>0</v>
      </c>
      <c r="I156" s="330"/>
      <c r="J156" s="332"/>
      <c r="K156" s="299"/>
      <c r="L156" s="87"/>
      <c r="M156" s="261"/>
      <c r="N156" s="234"/>
      <c r="O156" s="292"/>
      <c r="P156" s="333"/>
      <c r="Q156" s="119"/>
      <c r="R156" s="174"/>
      <c r="S156" s="640"/>
      <c r="T156" s="331"/>
      <c r="U156" s="107"/>
      <c r="V156" s="105"/>
      <c r="W156" s="334">
        <f t="shared" si="102"/>
        <v>0</v>
      </c>
      <c r="X156" s="287"/>
      <c r="Y156" s="287"/>
      <c r="Z156" s="284"/>
      <c r="AA156" s="284"/>
      <c r="AB156" s="633"/>
      <c r="AC156" s="633"/>
      <c r="AD156" s="289"/>
      <c r="AE156" s="289"/>
      <c r="AF156" s="335"/>
      <c r="AG156" s="174"/>
      <c r="AH156" s="643"/>
    </row>
    <row r="157" spans="1:34" s="286" customFormat="1" ht="18" customHeight="1">
      <c r="A157" s="638"/>
      <c r="B157" s="289">
        <v>0</v>
      </c>
      <c r="C157" s="289"/>
      <c r="D157" s="320"/>
      <c r="E157" s="103"/>
      <c r="F157" s="308" t="s">
        <v>253</v>
      </c>
      <c r="G157" s="100"/>
      <c r="H157" s="298">
        <f t="shared" si="100"/>
        <v>0</v>
      </c>
      <c r="I157" s="330"/>
      <c r="J157" s="332"/>
      <c r="K157" s="299"/>
      <c r="L157" s="87"/>
      <c r="M157" s="261"/>
      <c r="N157" s="234"/>
      <c r="O157" s="292"/>
      <c r="P157" s="333"/>
      <c r="Q157" s="119"/>
      <c r="R157" s="174"/>
      <c r="S157" s="640"/>
      <c r="T157" s="331"/>
      <c r="U157" s="107"/>
      <c r="V157" s="105"/>
      <c r="W157" s="334">
        <f t="shared" si="102"/>
        <v>0</v>
      </c>
      <c r="X157" s="287"/>
      <c r="Y157" s="287"/>
      <c r="Z157" s="284"/>
      <c r="AA157" s="284"/>
      <c r="AB157" s="633"/>
      <c r="AC157" s="633"/>
      <c r="AD157" s="289"/>
      <c r="AE157" s="289"/>
      <c r="AF157" s="335"/>
      <c r="AG157" s="174"/>
      <c r="AH157" s="643"/>
    </row>
    <row r="158" spans="1:34" s="286" customFormat="1" ht="18" customHeight="1">
      <c r="A158" s="638"/>
      <c r="B158" s="289">
        <v>0</v>
      </c>
      <c r="C158" s="289"/>
      <c r="D158" s="320"/>
      <c r="E158" s="103"/>
      <c r="F158" s="308" t="s">
        <v>253</v>
      </c>
      <c r="G158" s="100"/>
      <c r="H158" s="298">
        <f t="shared" si="100"/>
        <v>0</v>
      </c>
      <c r="I158" s="330"/>
      <c r="J158" s="332"/>
      <c r="K158" s="299"/>
      <c r="L158" s="87"/>
      <c r="M158" s="261"/>
      <c r="N158" s="234"/>
      <c r="O158" s="292"/>
      <c r="P158" s="333"/>
      <c r="Q158" s="119"/>
      <c r="R158" s="174"/>
      <c r="S158" s="640"/>
      <c r="T158" s="331"/>
      <c r="U158" s="107"/>
      <c r="V158" s="105"/>
      <c r="W158" s="334">
        <f t="shared" si="102"/>
        <v>0</v>
      </c>
      <c r="X158" s="287"/>
      <c r="Y158" s="287"/>
      <c r="Z158" s="284"/>
      <c r="AA158" s="284"/>
      <c r="AB158" s="633"/>
      <c r="AC158" s="633"/>
      <c r="AD158" s="289"/>
      <c r="AE158" s="289"/>
      <c r="AF158" s="335"/>
      <c r="AG158" s="174"/>
      <c r="AH158" s="643"/>
    </row>
    <row r="159" spans="1:34" s="286" customFormat="1" ht="18" customHeight="1">
      <c r="A159" s="638"/>
      <c r="B159" s="289">
        <v>0</v>
      </c>
      <c r="C159" s="289"/>
      <c r="D159" s="320"/>
      <c r="E159" s="103"/>
      <c r="F159" s="308" t="s">
        <v>253</v>
      </c>
      <c r="G159" s="100"/>
      <c r="H159" s="298">
        <f t="shared" si="100"/>
        <v>0</v>
      </c>
      <c r="I159" s="330"/>
      <c r="J159" s="332"/>
      <c r="K159" s="234"/>
      <c r="L159" s="179"/>
      <c r="M159" s="137"/>
      <c r="N159" s="234"/>
      <c r="O159" s="292"/>
      <c r="P159" s="333"/>
      <c r="Q159" s="119"/>
      <c r="R159" s="174"/>
      <c r="S159" s="640"/>
      <c r="T159" s="331"/>
      <c r="U159" s="107"/>
      <c r="V159" s="105"/>
      <c r="W159" s="336">
        <f t="shared" si="102"/>
        <v>0</v>
      </c>
      <c r="X159" s="287"/>
      <c r="Y159" s="287"/>
      <c r="Z159" s="284"/>
      <c r="AA159" s="284"/>
      <c r="AB159" s="633"/>
      <c r="AC159" s="633"/>
      <c r="AD159" s="289"/>
      <c r="AE159" s="289"/>
      <c r="AF159" s="335"/>
      <c r="AG159" s="174"/>
      <c r="AH159" s="643"/>
    </row>
    <row r="160" spans="1:34" ht="18" customHeight="1">
      <c r="A160" s="638"/>
      <c r="B160" s="337">
        <v>0</v>
      </c>
      <c r="C160" s="338" t="s">
        <v>24</v>
      </c>
      <c r="D160" s="634" t="s">
        <v>220</v>
      </c>
      <c r="E160" s="635"/>
      <c r="F160" s="113"/>
      <c r="G160" s="264"/>
      <c r="H160" s="263"/>
      <c r="I160" s="116"/>
      <c r="J160" s="339">
        <v>17.333333333333332</v>
      </c>
      <c r="K160" s="339">
        <v>1440</v>
      </c>
      <c r="L160" s="340">
        <v>83.137254901960773</v>
      </c>
      <c r="M160" s="339">
        <f t="shared" ref="M160:O160" si="103">AVERAGE(M148:M159)</f>
        <v>17.666666666666668</v>
      </c>
      <c r="N160" s="339">
        <f t="shared" si="103"/>
        <v>1338.5876601207217</v>
      </c>
      <c r="O160" s="340">
        <f t="shared" si="103"/>
        <v>76.093654690046321</v>
      </c>
      <c r="P160" s="118">
        <f t="shared" ref="P160:P165" si="104">M160-J160</f>
        <v>0.3333333333333357</v>
      </c>
      <c r="Q160" s="119">
        <f t="shared" ref="Q160:Q165" si="105">O160-L160</f>
        <v>-7.0436002119144518</v>
      </c>
      <c r="R160" s="341">
        <f>O160/L160</f>
        <v>0.91527745028121765</v>
      </c>
      <c r="S160" s="640"/>
      <c r="T160" s="342"/>
      <c r="U160" s="342"/>
      <c r="V160" s="252"/>
      <c r="W160" s="252"/>
      <c r="X160" s="253"/>
      <c r="Y160" s="253"/>
      <c r="Z160" s="123">
        <f>SUM(Z148:Z159)</f>
        <v>0</v>
      </c>
      <c r="AA160" s="123">
        <f>SUM(AA148:AA159)</f>
        <v>0</v>
      </c>
      <c r="AB160" s="636"/>
      <c r="AC160" s="637"/>
      <c r="AD160" s="124">
        <f>SUM(AD148:AD159)</f>
        <v>0</v>
      </c>
      <c r="AE160" s="124">
        <f>SUM(AE148:AE159)</f>
        <v>0</v>
      </c>
      <c r="AF160" s="118">
        <f t="shared" si="63"/>
        <v>-101.41233987927831</v>
      </c>
      <c r="AG160" s="174">
        <f t="shared" si="64"/>
        <v>0.92957476397272343</v>
      </c>
      <c r="AH160" s="643"/>
    </row>
    <row r="161" spans="1:36" ht="18" customHeight="1">
      <c r="A161" s="631" t="s">
        <v>235</v>
      </c>
      <c r="B161" s="126" t="s">
        <v>250</v>
      </c>
      <c r="C161" s="126"/>
      <c r="D161" s="168" t="s">
        <v>179</v>
      </c>
      <c r="E161" s="169"/>
      <c r="F161" s="180">
        <v>34.229999999999997</v>
      </c>
      <c r="G161" s="100">
        <v>2611</v>
      </c>
      <c r="H161" s="129">
        <f t="shared" ref="H161:H170" si="106">F161*G161</f>
        <v>89374.53</v>
      </c>
      <c r="I161" s="97"/>
      <c r="J161" s="130">
        <v>11</v>
      </c>
      <c r="K161" s="100">
        <v>2250</v>
      </c>
      <c r="L161" s="131">
        <v>204.54545454545453</v>
      </c>
      <c r="M161" s="130">
        <v>11</v>
      </c>
      <c r="N161" s="100">
        <f t="shared" ref="N161:N165" si="107">G161/W161*60</f>
        <v>2175.8333333333321</v>
      </c>
      <c r="O161" s="131">
        <f t="shared" ref="O161:O165" si="108">N161/M161</f>
        <v>197.8030303030302</v>
      </c>
      <c r="P161" s="96">
        <f t="shared" si="104"/>
        <v>0</v>
      </c>
      <c r="Q161" s="132">
        <f t="shared" si="105"/>
        <v>-6.7424242424243346</v>
      </c>
      <c r="R161" s="133">
        <f t="shared" ref="R161:R165" si="109">O161/L161</f>
        <v>0.96703703703703658</v>
      </c>
      <c r="S161" s="632">
        <f>R173</f>
        <v>0.92416815665574048</v>
      </c>
      <c r="T161" s="134">
        <v>0.16666666666666666</v>
      </c>
      <c r="U161" s="134">
        <v>0.21666666666666667</v>
      </c>
      <c r="V161" s="97">
        <v>5</v>
      </c>
      <c r="W161" s="135">
        <f t="shared" ref="W161:W165" si="110">(U161-T161)*24*60</f>
        <v>72.000000000000028</v>
      </c>
      <c r="X161" s="136"/>
      <c r="Y161" s="136"/>
      <c r="Z161" s="96"/>
      <c r="AA161" s="96"/>
      <c r="AB161" s="629"/>
      <c r="AC161" s="629"/>
      <c r="AD161" s="97"/>
      <c r="AE161" s="97"/>
      <c r="AF161" s="96">
        <f t="shared" si="63"/>
        <v>-74.166666666667879</v>
      </c>
      <c r="AG161" s="133">
        <f t="shared" si="64"/>
        <v>0.96703703703703647</v>
      </c>
      <c r="AH161" s="632">
        <f>AG173</f>
        <v>0.9267131879627305</v>
      </c>
    </row>
    <row r="162" spans="1:36" ht="18" customHeight="1">
      <c r="A162" s="631"/>
      <c r="B162" s="126" t="s">
        <v>250</v>
      </c>
      <c r="C162" s="126"/>
      <c r="D162" s="168" t="s">
        <v>180</v>
      </c>
      <c r="E162" s="169"/>
      <c r="F162" s="180">
        <v>34.229999999999997</v>
      </c>
      <c r="G162" s="100">
        <v>3021</v>
      </c>
      <c r="H162" s="129">
        <f t="shared" si="106"/>
        <v>103408.82999999999</v>
      </c>
      <c r="I162" s="97"/>
      <c r="J162" s="130">
        <v>12</v>
      </c>
      <c r="K162" s="100">
        <v>2250</v>
      </c>
      <c r="L162" s="131">
        <v>187.5</v>
      </c>
      <c r="M162" s="130">
        <v>12</v>
      </c>
      <c r="N162" s="100">
        <f t="shared" si="107"/>
        <v>2183.8554216867465</v>
      </c>
      <c r="O162" s="131">
        <f t="shared" si="108"/>
        <v>181.98795180722888</v>
      </c>
      <c r="P162" s="96">
        <f t="shared" si="104"/>
        <v>0</v>
      </c>
      <c r="Q162" s="132">
        <f t="shared" si="105"/>
        <v>-5.5120481927711182</v>
      </c>
      <c r="R162" s="133">
        <f t="shared" si="109"/>
        <v>0.97060240963855404</v>
      </c>
      <c r="S162" s="632"/>
      <c r="T162" s="134">
        <v>0.23125000000000001</v>
      </c>
      <c r="U162" s="134">
        <v>0.28888888888888892</v>
      </c>
      <c r="V162" s="97">
        <v>21</v>
      </c>
      <c r="W162" s="135">
        <f t="shared" si="110"/>
        <v>83.000000000000028</v>
      </c>
      <c r="X162" s="136">
        <v>0.22013888888888888</v>
      </c>
      <c r="Y162" s="136">
        <v>0.22847222222222222</v>
      </c>
      <c r="Z162" s="96"/>
      <c r="AA162" s="96"/>
      <c r="AB162" s="629"/>
      <c r="AC162" s="629"/>
      <c r="AD162" s="97">
        <v>1</v>
      </c>
      <c r="AE162" s="97"/>
      <c r="AF162" s="96">
        <f t="shared" si="63"/>
        <v>-66.144578313253533</v>
      </c>
      <c r="AG162" s="133">
        <f t="shared" si="64"/>
        <v>0.97060240963855393</v>
      </c>
      <c r="AH162" s="632"/>
    </row>
    <row r="163" spans="1:36" ht="18" customHeight="1">
      <c r="A163" s="631"/>
      <c r="B163" s="126" t="s">
        <v>250</v>
      </c>
      <c r="C163" s="126"/>
      <c r="D163" s="317" t="s">
        <v>181</v>
      </c>
      <c r="E163" s="317"/>
      <c r="F163" s="180">
        <v>35.83</v>
      </c>
      <c r="G163" s="100">
        <v>4927</v>
      </c>
      <c r="H163" s="129">
        <f t="shared" si="106"/>
        <v>176534.41</v>
      </c>
      <c r="I163" s="97"/>
      <c r="J163" s="130">
        <v>10</v>
      </c>
      <c r="K163" s="100">
        <v>2250</v>
      </c>
      <c r="L163" s="131">
        <v>225</v>
      </c>
      <c r="M163" s="130">
        <v>10</v>
      </c>
      <c r="N163" s="100">
        <f t="shared" si="107"/>
        <v>2189.7777777777774</v>
      </c>
      <c r="O163" s="131">
        <f t="shared" si="108"/>
        <v>218.97777777777773</v>
      </c>
      <c r="P163" s="96">
        <f t="shared" si="104"/>
        <v>0</v>
      </c>
      <c r="Q163" s="132">
        <f t="shared" si="105"/>
        <v>-6.0222222222222683</v>
      </c>
      <c r="R163" s="133">
        <f t="shared" si="109"/>
        <v>0.97323456790123442</v>
      </c>
      <c r="S163" s="632"/>
      <c r="T163" s="134">
        <v>0.33055555555555555</v>
      </c>
      <c r="U163" s="134">
        <v>0.42430555555555555</v>
      </c>
      <c r="V163" s="97">
        <v>7</v>
      </c>
      <c r="W163" s="135">
        <f t="shared" si="110"/>
        <v>135</v>
      </c>
      <c r="X163" s="136"/>
      <c r="Y163" s="136"/>
      <c r="Z163" s="96"/>
      <c r="AA163" s="96"/>
      <c r="AB163" s="629"/>
      <c r="AC163" s="629"/>
      <c r="AD163" s="97"/>
      <c r="AE163" s="97"/>
      <c r="AF163" s="96">
        <f t="shared" si="63"/>
        <v>-60.222222222222626</v>
      </c>
      <c r="AG163" s="133">
        <f t="shared" si="64"/>
        <v>0.97323456790123442</v>
      </c>
      <c r="AH163" s="632"/>
    </row>
    <row r="164" spans="1:36" ht="18" customHeight="1">
      <c r="A164" s="631"/>
      <c r="B164" s="126" t="s">
        <v>250</v>
      </c>
      <c r="C164" s="126"/>
      <c r="D164" s="343" t="s">
        <v>182</v>
      </c>
      <c r="E164" s="343"/>
      <c r="F164" s="180">
        <v>34.229999999999997</v>
      </c>
      <c r="G164" s="100">
        <v>3910</v>
      </c>
      <c r="H164" s="129">
        <f t="shared" si="106"/>
        <v>133839.29999999999</v>
      </c>
      <c r="I164" s="97"/>
      <c r="J164" s="130">
        <v>9</v>
      </c>
      <c r="K164" s="100">
        <v>2796</v>
      </c>
      <c r="L164" s="131">
        <v>307.7</v>
      </c>
      <c r="M164" s="130">
        <v>9</v>
      </c>
      <c r="N164" s="100">
        <f t="shared" si="107"/>
        <v>2192.5233644859823</v>
      </c>
      <c r="O164" s="131">
        <f t="shared" si="108"/>
        <v>243.61370716510913</v>
      </c>
      <c r="P164" s="96">
        <f t="shared" si="104"/>
        <v>0</v>
      </c>
      <c r="Q164" s="132">
        <f t="shared" si="105"/>
        <v>-64.086292834890855</v>
      </c>
      <c r="R164" s="133">
        <f t="shared" si="109"/>
        <v>0.79172475516772556</v>
      </c>
      <c r="S164" s="632"/>
      <c r="T164" s="134">
        <v>0.43958333333333333</v>
      </c>
      <c r="U164" s="134">
        <v>0.51388888888888884</v>
      </c>
      <c r="V164" s="97">
        <v>22</v>
      </c>
      <c r="W164" s="135">
        <f t="shared" si="110"/>
        <v>106.99999999999994</v>
      </c>
      <c r="X164" s="136">
        <v>0.42777777777777781</v>
      </c>
      <c r="Y164" s="136">
        <v>0.4368055555555555</v>
      </c>
      <c r="Z164" s="96"/>
      <c r="AA164" s="96"/>
      <c r="AB164" s="629"/>
      <c r="AC164" s="629"/>
      <c r="AD164" s="97"/>
      <c r="AE164" s="97"/>
      <c r="AF164" s="96">
        <f t="shared" si="63"/>
        <v>-603.47663551401774</v>
      </c>
      <c r="AG164" s="133">
        <f t="shared" si="64"/>
        <v>0.78416429344992211</v>
      </c>
      <c r="AH164" s="632"/>
    </row>
    <row r="165" spans="1:36" ht="18" customHeight="1">
      <c r="A165" s="631"/>
      <c r="B165" s="126" t="s">
        <v>250</v>
      </c>
      <c r="C165" s="127"/>
      <c r="D165" s="168" t="s">
        <v>121</v>
      </c>
      <c r="E165" s="169"/>
      <c r="F165" s="128">
        <v>36.409999999999997</v>
      </c>
      <c r="G165" s="100">
        <v>3868.15</v>
      </c>
      <c r="H165" s="129">
        <f t="shared" si="106"/>
        <v>140839.34149999998</v>
      </c>
      <c r="I165" s="97">
        <v>2</v>
      </c>
      <c r="J165" s="130">
        <v>9</v>
      </c>
      <c r="K165" s="100">
        <v>2250</v>
      </c>
      <c r="L165" s="131">
        <v>250</v>
      </c>
      <c r="M165" s="130">
        <v>9</v>
      </c>
      <c r="N165" s="100">
        <f t="shared" si="107"/>
        <v>2189.5188679245298</v>
      </c>
      <c r="O165" s="131">
        <f t="shared" si="108"/>
        <v>243.27987421383665</v>
      </c>
      <c r="P165" s="96">
        <f t="shared" si="104"/>
        <v>0</v>
      </c>
      <c r="Q165" s="132">
        <f t="shared" si="105"/>
        <v>-6.7201257861633508</v>
      </c>
      <c r="R165" s="133">
        <f t="shared" si="109"/>
        <v>0.9731194968553466</v>
      </c>
      <c r="S165" s="632"/>
      <c r="T165" s="134">
        <v>0.51874999999999993</v>
      </c>
      <c r="U165" s="134">
        <v>0.59236111111111101</v>
      </c>
      <c r="V165" s="97">
        <v>7</v>
      </c>
      <c r="W165" s="135">
        <f t="shared" si="110"/>
        <v>105.99999999999994</v>
      </c>
      <c r="X165" s="136"/>
      <c r="Y165" s="136"/>
      <c r="Z165" s="96"/>
      <c r="AA165" s="96"/>
      <c r="AB165" s="629"/>
      <c r="AC165" s="629"/>
      <c r="AD165" s="97"/>
      <c r="AE165" s="97"/>
      <c r="AF165" s="96">
        <f t="shared" si="63"/>
        <v>-60.481132075470214</v>
      </c>
      <c r="AG165" s="133">
        <f t="shared" si="64"/>
        <v>0.9731194968553466</v>
      </c>
      <c r="AH165" s="632"/>
    </row>
    <row r="166" spans="1:36" ht="18" customHeight="1">
      <c r="A166" s="631"/>
      <c r="B166" s="126">
        <v>0</v>
      </c>
      <c r="C166" s="126"/>
      <c r="D166" s="168"/>
      <c r="E166" s="169"/>
      <c r="F166" s="180" t="s">
        <v>253</v>
      </c>
      <c r="G166" s="100"/>
      <c r="H166" s="129">
        <f t="shared" si="106"/>
        <v>0</v>
      </c>
      <c r="I166" s="97"/>
      <c r="J166" s="130"/>
      <c r="K166" s="100"/>
      <c r="L166" s="131"/>
      <c r="M166" s="130"/>
      <c r="N166" s="100"/>
      <c r="O166" s="131"/>
      <c r="P166" s="96"/>
      <c r="Q166" s="132"/>
      <c r="R166" s="133"/>
      <c r="S166" s="632"/>
      <c r="T166" s="134"/>
      <c r="U166" s="134"/>
      <c r="V166" s="97"/>
      <c r="W166" s="135"/>
      <c r="X166" s="136"/>
      <c r="Y166" s="136"/>
      <c r="Z166" s="96"/>
      <c r="AA166" s="96"/>
      <c r="AB166" s="629"/>
      <c r="AC166" s="629"/>
      <c r="AD166" s="97"/>
      <c r="AE166" s="97"/>
      <c r="AF166" s="96">
        <f t="shared" si="63"/>
        <v>0</v>
      </c>
      <c r="AG166" s="133" t="e">
        <f t="shared" si="64"/>
        <v>#DIV/0!</v>
      </c>
      <c r="AH166" s="632"/>
    </row>
    <row r="167" spans="1:36" ht="18" customHeight="1">
      <c r="A167" s="631"/>
      <c r="B167" s="126">
        <v>0</v>
      </c>
      <c r="C167" s="126"/>
      <c r="D167" s="320"/>
      <c r="E167" s="103"/>
      <c r="F167" s="180" t="s">
        <v>253</v>
      </c>
      <c r="G167" s="100"/>
      <c r="H167" s="129">
        <f t="shared" si="106"/>
        <v>0</v>
      </c>
      <c r="I167" s="97"/>
      <c r="J167" s="130"/>
      <c r="K167" s="100"/>
      <c r="L167" s="131"/>
      <c r="M167" s="130"/>
      <c r="N167" s="100"/>
      <c r="O167" s="131"/>
      <c r="P167" s="96"/>
      <c r="Q167" s="132"/>
      <c r="R167" s="133"/>
      <c r="S167" s="632"/>
      <c r="T167" s="134"/>
      <c r="U167" s="134"/>
      <c r="V167" s="97"/>
      <c r="W167" s="135"/>
      <c r="X167" s="136"/>
      <c r="Y167" s="136"/>
      <c r="Z167" s="96"/>
      <c r="AA167" s="96"/>
      <c r="AB167" s="629"/>
      <c r="AC167" s="629"/>
      <c r="AD167" s="97"/>
      <c r="AE167" s="97"/>
      <c r="AF167" s="96">
        <f t="shared" si="63"/>
        <v>0</v>
      </c>
      <c r="AG167" s="133" t="e">
        <f t="shared" si="64"/>
        <v>#DIV/0!</v>
      </c>
      <c r="AH167" s="632"/>
    </row>
    <row r="168" spans="1:36" ht="18" customHeight="1">
      <c r="A168" s="631"/>
      <c r="B168" s="126">
        <v>0</v>
      </c>
      <c r="C168" s="126"/>
      <c r="D168" s="320"/>
      <c r="E168" s="103"/>
      <c r="F168" s="180" t="s">
        <v>253</v>
      </c>
      <c r="G168" s="100"/>
      <c r="H168" s="129">
        <f t="shared" si="106"/>
        <v>0</v>
      </c>
      <c r="I168" s="97"/>
      <c r="J168" s="130"/>
      <c r="K168" s="100"/>
      <c r="L168" s="131"/>
      <c r="M168" s="130"/>
      <c r="N168" s="100"/>
      <c r="O168" s="131"/>
      <c r="P168" s="96"/>
      <c r="Q168" s="132"/>
      <c r="R168" s="133"/>
      <c r="S168" s="632"/>
      <c r="T168" s="134"/>
      <c r="U168" s="134"/>
      <c r="V168" s="97"/>
      <c r="W168" s="135"/>
      <c r="X168" s="136"/>
      <c r="Y168" s="136"/>
      <c r="Z168" s="96"/>
      <c r="AA168" s="96"/>
      <c r="AB168" s="629"/>
      <c r="AC168" s="629"/>
      <c r="AD168" s="97"/>
      <c r="AE168" s="97"/>
      <c r="AF168" s="96">
        <f t="shared" si="63"/>
        <v>0</v>
      </c>
      <c r="AG168" s="133" t="e">
        <f t="shared" si="64"/>
        <v>#DIV/0!</v>
      </c>
      <c r="AH168" s="632"/>
    </row>
    <row r="169" spans="1:36" ht="18" customHeight="1">
      <c r="A169" s="631"/>
      <c r="B169" s="126">
        <v>0</v>
      </c>
      <c r="C169" s="126"/>
      <c r="D169" s="320"/>
      <c r="E169" s="103"/>
      <c r="F169" s="180" t="s">
        <v>253</v>
      </c>
      <c r="G169" s="100"/>
      <c r="H169" s="129">
        <f t="shared" si="106"/>
        <v>0</v>
      </c>
      <c r="I169" s="97"/>
      <c r="J169" s="130"/>
      <c r="K169" s="100"/>
      <c r="L169" s="131"/>
      <c r="M169" s="130"/>
      <c r="N169" s="100"/>
      <c r="O169" s="131"/>
      <c r="P169" s="96"/>
      <c r="Q169" s="132"/>
      <c r="R169" s="133"/>
      <c r="S169" s="632"/>
      <c r="T169" s="134"/>
      <c r="U169" s="134"/>
      <c r="V169" s="97" t="s">
        <v>59</v>
      </c>
      <c r="W169" s="135">
        <f>(U169-T169)*24*60</f>
        <v>0</v>
      </c>
      <c r="X169" s="136"/>
      <c r="Y169" s="136"/>
      <c r="Z169" s="96"/>
      <c r="AA169" s="96"/>
      <c r="AB169" s="629"/>
      <c r="AC169" s="629"/>
      <c r="AD169" s="97"/>
      <c r="AE169" s="97"/>
      <c r="AF169" s="96">
        <f t="shared" si="63"/>
        <v>0</v>
      </c>
      <c r="AG169" s="133" t="e">
        <f t="shared" si="64"/>
        <v>#DIV/0!</v>
      </c>
      <c r="AH169" s="632"/>
    </row>
    <row r="170" spans="1:36" ht="18" customHeight="1">
      <c r="A170" s="631"/>
      <c r="B170" s="126">
        <v>0</v>
      </c>
      <c r="C170" s="126"/>
      <c r="D170" s="320"/>
      <c r="E170" s="103"/>
      <c r="F170" s="180" t="s">
        <v>253</v>
      </c>
      <c r="G170" s="100"/>
      <c r="H170" s="129">
        <f t="shared" si="106"/>
        <v>0</v>
      </c>
      <c r="I170" s="97"/>
      <c r="J170" s="130"/>
      <c r="K170" s="100"/>
      <c r="L170" s="131"/>
      <c r="M170" s="130"/>
      <c r="N170" s="100"/>
      <c r="O170" s="131"/>
      <c r="P170" s="96"/>
      <c r="Q170" s="132"/>
      <c r="R170" s="133"/>
      <c r="S170" s="632"/>
      <c r="T170" s="134"/>
      <c r="U170" s="134"/>
      <c r="V170" s="97"/>
      <c r="W170" s="135">
        <f>(U170-T170)*24*60</f>
        <v>0</v>
      </c>
      <c r="X170" s="136"/>
      <c r="Y170" s="136"/>
      <c r="Z170" s="96"/>
      <c r="AA170" s="96"/>
      <c r="AB170" s="629"/>
      <c r="AC170" s="629"/>
      <c r="AD170" s="97"/>
      <c r="AE170" s="97"/>
      <c r="AF170" s="96">
        <f t="shared" si="63"/>
        <v>0</v>
      </c>
      <c r="AG170" s="133" t="e">
        <f t="shared" si="64"/>
        <v>#DIV/0!</v>
      </c>
      <c r="AH170" s="632"/>
    </row>
    <row r="171" spans="1:36" ht="18" customHeight="1">
      <c r="A171" s="631"/>
      <c r="B171" s="126">
        <v>0</v>
      </c>
      <c r="C171" s="126"/>
      <c r="D171" s="320"/>
      <c r="E171" s="103"/>
      <c r="F171" s="180" t="s">
        <v>253</v>
      </c>
      <c r="G171" s="100"/>
      <c r="H171" s="129">
        <f t="shared" si="100"/>
        <v>0</v>
      </c>
      <c r="I171" s="97"/>
      <c r="J171" s="130"/>
      <c r="K171" s="100"/>
      <c r="L171" s="131"/>
      <c r="M171" s="130"/>
      <c r="N171" s="100"/>
      <c r="O171" s="131"/>
      <c r="P171" s="96"/>
      <c r="Q171" s="132"/>
      <c r="R171" s="133"/>
      <c r="S171" s="632"/>
      <c r="T171" s="134"/>
      <c r="U171" s="134"/>
      <c r="V171" s="97"/>
      <c r="W171" s="135">
        <f>(U171-T171)*24*60</f>
        <v>0</v>
      </c>
      <c r="X171" s="136"/>
      <c r="Y171" s="136"/>
      <c r="Z171" s="96"/>
      <c r="AA171" s="96"/>
      <c r="AB171" s="629"/>
      <c r="AC171" s="629"/>
      <c r="AD171" s="97"/>
      <c r="AE171" s="97"/>
      <c r="AF171" s="96"/>
      <c r="AG171" s="133"/>
      <c r="AH171" s="632"/>
    </row>
    <row r="172" spans="1:36" ht="18" customHeight="1">
      <c r="A172" s="631"/>
      <c r="B172" s="126">
        <v>0</v>
      </c>
      <c r="C172" s="126"/>
      <c r="D172" s="320"/>
      <c r="E172" s="103"/>
      <c r="F172" s="180" t="s">
        <v>253</v>
      </c>
      <c r="G172" s="100"/>
      <c r="H172" s="129">
        <f t="shared" si="100"/>
        <v>0</v>
      </c>
      <c r="I172" s="97"/>
      <c r="J172" s="130"/>
      <c r="K172" s="100"/>
      <c r="L172" s="131"/>
      <c r="M172" s="130"/>
      <c r="N172" s="100"/>
      <c r="O172" s="131"/>
      <c r="P172" s="96"/>
      <c r="Q172" s="132"/>
      <c r="R172" s="133"/>
      <c r="S172" s="632"/>
      <c r="T172" s="134"/>
      <c r="U172" s="134"/>
      <c r="V172" s="97"/>
      <c r="W172" s="135">
        <f>(U172-T172)*24*60</f>
        <v>0</v>
      </c>
      <c r="X172" s="136"/>
      <c r="Y172" s="136"/>
      <c r="Z172" s="96"/>
      <c r="AA172" s="96"/>
      <c r="AB172" s="629"/>
      <c r="AC172" s="629"/>
      <c r="AD172" s="97"/>
      <c r="AE172" s="97"/>
      <c r="AF172" s="96"/>
      <c r="AG172" s="133"/>
      <c r="AH172" s="632"/>
    </row>
    <row r="173" spans="1:36" ht="18" customHeight="1">
      <c r="A173" s="631"/>
      <c r="B173" s="126">
        <v>0</v>
      </c>
      <c r="C173" s="138" t="s">
        <v>25</v>
      </c>
      <c r="D173" s="630" t="s">
        <v>220</v>
      </c>
      <c r="E173" s="630"/>
      <c r="F173" s="139"/>
      <c r="G173" s="140"/>
      <c r="H173" s="141"/>
      <c r="I173" s="142"/>
      <c r="J173" s="140">
        <v>10.199999999999999</v>
      </c>
      <c r="K173" s="140">
        <v>2359.1999999999998</v>
      </c>
      <c r="L173" s="143">
        <v>234.9490909090909</v>
      </c>
      <c r="M173" s="140">
        <f t="shared" ref="M173:O173" si="111">AVERAGE(M161:M172)</f>
        <v>10.199999999999999</v>
      </c>
      <c r="N173" s="140">
        <f t="shared" si="111"/>
        <v>2186.3017530416737</v>
      </c>
      <c r="O173" s="143">
        <f t="shared" si="111"/>
        <v>217.13246825339652</v>
      </c>
      <c r="P173" s="96">
        <f>M173-J173</f>
        <v>0</v>
      </c>
      <c r="Q173" s="132">
        <f>O173-L173</f>
        <v>-17.816622655694374</v>
      </c>
      <c r="R173" s="144">
        <f>O173/L173</f>
        <v>0.92416815665574048</v>
      </c>
      <c r="S173" s="632"/>
      <c r="T173" s="134"/>
      <c r="U173" s="134"/>
      <c r="V173" s="100"/>
      <c r="W173" s="100"/>
      <c r="X173" s="131"/>
      <c r="Y173" s="131"/>
      <c r="Z173" s="145">
        <f>SUM(Z161:Z172)</f>
        <v>0</v>
      </c>
      <c r="AA173" s="145">
        <f>SUM(AA161:AA172)</f>
        <v>0</v>
      </c>
      <c r="AB173" s="629"/>
      <c r="AC173" s="629"/>
      <c r="AD173" s="146">
        <f>SUM(AD161:AD172)</f>
        <v>1</v>
      </c>
      <c r="AE173" s="146">
        <f>SUM(AE161:AE172)</f>
        <v>0</v>
      </c>
      <c r="AF173" s="96">
        <f t="shared" si="63"/>
        <v>-172.89824695832613</v>
      </c>
      <c r="AG173" s="133">
        <f t="shared" si="64"/>
        <v>0.9267131879627305</v>
      </c>
      <c r="AH173" s="632"/>
    </row>
    <row r="174" spans="1:36">
      <c r="AJ174" s="345" t="s">
        <v>183</v>
      </c>
    </row>
    <row r="175" spans="1:36">
      <c r="AJ175" s="345" t="s">
        <v>184</v>
      </c>
    </row>
    <row r="176" spans="1:36">
      <c r="AJ176" s="345" t="s">
        <v>236</v>
      </c>
    </row>
    <row r="177" spans="23:36">
      <c r="W177" s="70"/>
      <c r="AJ177" s="345" t="s">
        <v>185</v>
      </c>
    </row>
    <row r="178" spans="23:36">
      <c r="W178" s="70"/>
      <c r="AJ178" s="345" t="s">
        <v>186</v>
      </c>
    </row>
    <row r="179" spans="23:36">
      <c r="W179" s="70"/>
      <c r="AJ179" s="345" t="s">
        <v>187</v>
      </c>
    </row>
    <row r="180" spans="23:36">
      <c r="W180" s="70"/>
      <c r="AJ180" s="345" t="s">
        <v>188</v>
      </c>
    </row>
    <row r="181" spans="23:36">
      <c r="W181" s="70"/>
      <c r="AJ181" s="345" t="s">
        <v>189</v>
      </c>
    </row>
    <row r="182" spans="23:36">
      <c r="W182" s="70"/>
      <c r="AJ182" s="345" t="s">
        <v>190</v>
      </c>
    </row>
    <row r="183" spans="23:36">
      <c r="W183" s="70"/>
      <c r="AJ183" s="345" t="s">
        <v>191</v>
      </c>
    </row>
    <row r="184" spans="23:36">
      <c r="W184" s="70"/>
      <c r="AJ184" s="345" t="s">
        <v>192</v>
      </c>
    </row>
    <row r="185" spans="23:36">
      <c r="W185" s="70"/>
      <c r="AJ185" s="345" t="s">
        <v>237</v>
      </c>
    </row>
    <row r="186" spans="23:36">
      <c r="W186" s="70"/>
      <c r="AJ186" s="345" t="s">
        <v>238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1" type="noConversion"/>
  <conditionalFormatting sqref="Q147 AF147 Q173 AF173 AF123 Q30 AF121 Q121 Q95 AF95 AF43 Q43 AF134 Q134 AF17:AF19 AF136 AF32 Q82 AF82 Q154:Q159 AF125 Q17:Q18 AF155:AF159 AF21 AF25 AF27 AF29 AF5:AF12 AF23 AF57:AF70 Q57:Q70 Q13">
    <cfRule type="cellIs" dxfId="18533" priority="3702" operator="lessThan">
      <formula>0</formula>
    </cfRule>
  </conditionalFormatting>
  <conditionalFormatting sqref="AH57 AH70 S43 S123 S95 AH95 S5:S9 AH5:AH9 S134 AH17:AH18 S17:S18 S32 S82 AH82 S57:S70">
    <cfRule type="cellIs" dxfId="18532" priority="3701" operator="lessThan">
      <formula>0.8</formula>
    </cfRule>
  </conditionalFormatting>
  <conditionalFormatting sqref="R147 R173 R30 R121 R95 R43 R134 R82 R154:R159 R17:R18 R57:R70 R13">
    <cfRule type="cellIs" dxfId="18531" priority="3699" operator="lessThan">
      <formula>0.8</formula>
    </cfRule>
    <cfRule type="cellIs" dxfId="18530" priority="3700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 R13">
    <cfRule type="cellIs" dxfId="18529" priority="3697" operator="greaterThan">
      <formula>1</formula>
    </cfRule>
    <cfRule type="cellIs" dxfId="18528" priority="3698" operator="lessThan">
      <formula>0.8</formula>
    </cfRule>
  </conditionalFormatting>
  <conditionalFormatting sqref="P147 P30 P121 P95 P43 P134 P82 P154:P159 P17:P18 P57:P70 P13">
    <cfRule type="cellIs" dxfId="18527" priority="3696" operator="greaterThan">
      <formula>0</formula>
    </cfRule>
  </conditionalFormatting>
  <conditionalFormatting sqref="S161">
    <cfRule type="cellIs" dxfId="18526" priority="3695" operator="lessThan">
      <formula>0.8</formula>
    </cfRule>
  </conditionalFormatting>
  <conditionalFormatting sqref="Q161:Q166">
    <cfRule type="cellIs" dxfId="18525" priority="3694" operator="lessThan">
      <formula>0</formula>
    </cfRule>
  </conditionalFormatting>
  <conditionalFormatting sqref="R161:R166">
    <cfRule type="cellIs" dxfId="18524" priority="3692" operator="lessThan">
      <formula>0.8</formula>
    </cfRule>
    <cfRule type="cellIs" dxfId="18523" priority="3693" operator="greaterThan">
      <formula>1</formula>
    </cfRule>
  </conditionalFormatting>
  <conditionalFormatting sqref="R161:R166">
    <cfRule type="cellIs" dxfId="18522" priority="3690" operator="greaterThan">
      <formula>1</formula>
    </cfRule>
    <cfRule type="cellIs" dxfId="18521" priority="3691" operator="lessThan">
      <formula>0.8</formula>
    </cfRule>
  </conditionalFormatting>
  <conditionalFormatting sqref="P161:P166">
    <cfRule type="cellIs" dxfId="18520" priority="3689" operator="greaterThan">
      <formula>0</formula>
    </cfRule>
  </conditionalFormatting>
  <conditionalFormatting sqref="Q169:Q172 AF161:AF172">
    <cfRule type="cellIs" dxfId="18519" priority="3688" operator="lessThan">
      <formula>0</formula>
    </cfRule>
  </conditionalFormatting>
  <conditionalFormatting sqref="R169:R172">
    <cfRule type="cellIs" dxfId="18518" priority="3686" operator="lessThan">
      <formula>0.8</formula>
    </cfRule>
    <cfRule type="cellIs" dxfId="18517" priority="3687" operator="greaterThan">
      <formula>1</formula>
    </cfRule>
  </conditionalFormatting>
  <conditionalFormatting sqref="R169:R172 AG161:AG172">
    <cfRule type="cellIs" dxfId="18516" priority="3684" operator="greaterThan">
      <formula>1</formula>
    </cfRule>
    <cfRule type="cellIs" dxfId="18515" priority="3685" operator="lessThan">
      <formula>0.8</formula>
    </cfRule>
  </conditionalFormatting>
  <conditionalFormatting sqref="P169:P172">
    <cfRule type="cellIs" dxfId="18514" priority="3683" operator="greaterThan">
      <formula>0</formula>
    </cfRule>
  </conditionalFormatting>
  <conditionalFormatting sqref="AF145">
    <cfRule type="cellIs" dxfId="18513" priority="3682" operator="lessThan">
      <formula>0</formula>
    </cfRule>
  </conditionalFormatting>
  <conditionalFormatting sqref="AG145">
    <cfRule type="cellIs" dxfId="18512" priority="3680" operator="greaterThan">
      <formula>1</formula>
    </cfRule>
    <cfRule type="cellIs" dxfId="18511" priority="3681" operator="lessThan">
      <formula>0.8</formula>
    </cfRule>
  </conditionalFormatting>
  <conditionalFormatting sqref="AF44:AF52">
    <cfRule type="cellIs" dxfId="18510" priority="3679" operator="lessThan">
      <formula>0</formula>
    </cfRule>
  </conditionalFormatting>
  <conditionalFormatting sqref="AG44:AG52">
    <cfRule type="cellIs" dxfId="18509" priority="3677" operator="greaterThan">
      <formula>1</formula>
    </cfRule>
    <cfRule type="cellIs" dxfId="18508" priority="3678" operator="lessThan">
      <formula>0.8</formula>
    </cfRule>
  </conditionalFormatting>
  <conditionalFormatting sqref="AF83:AF94">
    <cfRule type="cellIs" dxfId="18507" priority="3676" operator="lessThan">
      <formula>0</formula>
    </cfRule>
  </conditionalFormatting>
  <conditionalFormatting sqref="AH83">
    <cfRule type="cellIs" dxfId="18506" priority="3675" operator="lessThan">
      <formula>0.8</formula>
    </cfRule>
  </conditionalFormatting>
  <conditionalFormatting sqref="AG83:AG94">
    <cfRule type="cellIs" dxfId="18505" priority="3673" operator="greaterThan">
      <formula>1</formula>
    </cfRule>
    <cfRule type="cellIs" dxfId="18504" priority="3674" operator="lessThan">
      <formula>0.8</formula>
    </cfRule>
  </conditionalFormatting>
  <conditionalFormatting sqref="S83">
    <cfRule type="cellIs" dxfId="18503" priority="3672" operator="lessThan">
      <formula>0.8</formula>
    </cfRule>
  </conditionalFormatting>
  <conditionalFormatting sqref="AH84">
    <cfRule type="cellIs" dxfId="18502" priority="3671" operator="lessThan">
      <formula>0.8</formula>
    </cfRule>
  </conditionalFormatting>
  <conditionalFormatting sqref="S84">
    <cfRule type="cellIs" dxfId="18501" priority="3670" operator="lessThan">
      <formula>0.8</formula>
    </cfRule>
  </conditionalFormatting>
  <conditionalFormatting sqref="S90">
    <cfRule type="cellIs" dxfId="18500" priority="3669" operator="lessThan">
      <formula>0.8</formula>
    </cfRule>
  </conditionalFormatting>
  <conditionalFormatting sqref="AH90">
    <cfRule type="cellIs" dxfId="18499" priority="3668" operator="lessThan">
      <formula>0.8</formula>
    </cfRule>
  </conditionalFormatting>
  <conditionalFormatting sqref="AF122">
    <cfRule type="cellIs" dxfId="18498" priority="3667" operator="lessThan">
      <formula>0</formula>
    </cfRule>
  </conditionalFormatting>
  <conditionalFormatting sqref="S122">
    <cfRule type="cellIs" dxfId="18497" priority="3666" operator="lessThan">
      <formula>0.8</formula>
    </cfRule>
  </conditionalFormatting>
  <conditionalFormatting sqref="AG122">
    <cfRule type="cellIs" dxfId="18496" priority="3664" operator="greaterThan">
      <formula>1</formula>
    </cfRule>
    <cfRule type="cellIs" dxfId="18495" priority="3665" operator="lessThan">
      <formula>0.8</formula>
    </cfRule>
  </conditionalFormatting>
  <conditionalFormatting sqref="P162:P168">
    <cfRule type="cellIs" dxfId="18494" priority="3658" operator="greaterThan">
      <formula>0</formula>
    </cfRule>
  </conditionalFormatting>
  <conditionalFormatting sqref="R162:R168">
    <cfRule type="cellIs" dxfId="18493" priority="3661" operator="lessThan">
      <formula>0.8</formula>
    </cfRule>
    <cfRule type="cellIs" dxfId="18492" priority="3662" operator="greaterThan">
      <formula>1</formula>
    </cfRule>
  </conditionalFormatting>
  <conditionalFormatting sqref="R162:R168">
    <cfRule type="cellIs" dxfId="18491" priority="3659" operator="greaterThan">
      <formula>1</formula>
    </cfRule>
    <cfRule type="cellIs" dxfId="18490" priority="3660" operator="lessThan">
      <formula>0.8</formula>
    </cfRule>
  </conditionalFormatting>
  <conditionalFormatting sqref="Q162:Q168">
    <cfRule type="cellIs" dxfId="18489" priority="3663" operator="lessThan">
      <formula>0</formula>
    </cfRule>
  </conditionalFormatting>
  <conditionalFormatting sqref="P132:P133">
    <cfRule type="cellIs" dxfId="18488" priority="3651" operator="greaterThan">
      <formula>0</formula>
    </cfRule>
  </conditionalFormatting>
  <conditionalFormatting sqref="AF124 Q132:Q133 AF126:AF133">
    <cfRule type="cellIs" dxfId="18487" priority="3657" operator="lessThan">
      <formula>0</formula>
    </cfRule>
  </conditionalFormatting>
  <conditionalFormatting sqref="S124:S133">
    <cfRule type="cellIs" dxfId="18486" priority="3656" operator="lessThan">
      <formula>0.8</formula>
    </cfRule>
  </conditionalFormatting>
  <conditionalFormatting sqref="R132:R133">
    <cfRule type="cellIs" dxfId="18485" priority="3654" operator="lessThan">
      <formula>0.8</formula>
    </cfRule>
    <cfRule type="cellIs" dxfId="18484" priority="3655" operator="greaterThan">
      <formula>1</formula>
    </cfRule>
  </conditionalFormatting>
  <conditionalFormatting sqref="AG124 R132:R133 AG126:AG133">
    <cfRule type="cellIs" dxfId="18483" priority="3652" operator="greaterThan">
      <formula>1</formula>
    </cfRule>
    <cfRule type="cellIs" dxfId="18482" priority="3653" operator="lessThan">
      <formula>0.8</formula>
    </cfRule>
  </conditionalFormatting>
  <conditionalFormatting sqref="AF112 AF115">
    <cfRule type="cellIs" dxfId="18481" priority="3650" operator="lessThan">
      <formula>0</formula>
    </cfRule>
  </conditionalFormatting>
  <conditionalFormatting sqref="AG112 AG115">
    <cfRule type="cellIs" dxfId="18480" priority="3648" operator="greaterThan">
      <formula>1</formula>
    </cfRule>
    <cfRule type="cellIs" dxfId="18479" priority="3649" operator="lessThan">
      <formula>0.8</formula>
    </cfRule>
  </conditionalFormatting>
  <conditionalFormatting sqref="AF111 AF114 AF117">
    <cfRule type="cellIs" dxfId="18478" priority="3647" operator="lessThan">
      <formula>0</formula>
    </cfRule>
  </conditionalFormatting>
  <conditionalFormatting sqref="AH109">
    <cfRule type="cellIs" dxfId="18477" priority="3646" operator="lessThan">
      <formula>0.8</formula>
    </cfRule>
  </conditionalFormatting>
  <conditionalFormatting sqref="AG111 AG114 AG117">
    <cfRule type="cellIs" dxfId="18476" priority="3644" operator="greaterThan">
      <formula>1</formula>
    </cfRule>
    <cfRule type="cellIs" dxfId="18475" priority="3645" operator="lessThan">
      <formula>0.8</formula>
    </cfRule>
  </conditionalFormatting>
  <conditionalFormatting sqref="R160 AG160">
    <cfRule type="cellIs" dxfId="18474" priority="3639" operator="greaterThan">
      <formula>1</formula>
    </cfRule>
    <cfRule type="cellIs" dxfId="18473" priority="3640" operator="lessThan">
      <formula>0.8</formula>
    </cfRule>
  </conditionalFormatting>
  <conditionalFormatting sqref="R160">
    <cfRule type="cellIs" dxfId="18472" priority="3641" operator="lessThan">
      <formula>0.8</formula>
    </cfRule>
    <cfRule type="cellIs" dxfId="18471" priority="3642" operator="greaterThan">
      <formula>1</formula>
    </cfRule>
  </conditionalFormatting>
  <conditionalFormatting sqref="P160">
    <cfRule type="cellIs" dxfId="18470" priority="3638" operator="greaterThan">
      <formula>0</formula>
    </cfRule>
  </conditionalFormatting>
  <conditionalFormatting sqref="AH148">
    <cfRule type="cellIs" dxfId="18469" priority="3637" operator="lessThan">
      <formula>0.8</formula>
    </cfRule>
  </conditionalFormatting>
  <conditionalFormatting sqref="Q160 AF160">
    <cfRule type="cellIs" dxfId="18468" priority="3643" operator="lessThan">
      <formula>0</formula>
    </cfRule>
  </conditionalFormatting>
  <conditionalFormatting sqref="AF148:AF154">
    <cfRule type="cellIs" dxfId="18467" priority="3636" operator="lessThan">
      <formula>0</formula>
    </cfRule>
  </conditionalFormatting>
  <conditionalFormatting sqref="S148">
    <cfRule type="cellIs" dxfId="18466" priority="3635" operator="lessThan">
      <formula>0.8</formula>
    </cfRule>
  </conditionalFormatting>
  <conditionalFormatting sqref="AG148:AG154">
    <cfRule type="cellIs" dxfId="18465" priority="3633" operator="greaterThan">
      <formula>1</formula>
    </cfRule>
    <cfRule type="cellIs" dxfId="18464" priority="3634" operator="lessThan">
      <formula>0.8</formula>
    </cfRule>
  </conditionalFormatting>
  <conditionalFormatting sqref="S86">
    <cfRule type="cellIs" dxfId="18463" priority="3632" operator="lessThan">
      <formula>0.8</formula>
    </cfRule>
  </conditionalFormatting>
  <conditionalFormatting sqref="S88 AH88">
    <cfRule type="cellIs" dxfId="18462" priority="3627" operator="lessThan">
      <formula>0.8</formula>
    </cfRule>
  </conditionalFormatting>
  <conditionalFormatting sqref="AH86">
    <cfRule type="cellIs" dxfId="18461" priority="3631" operator="lessThan">
      <formula>0.8</formula>
    </cfRule>
  </conditionalFormatting>
  <conditionalFormatting sqref="S87">
    <cfRule type="cellIs" dxfId="18460" priority="3630" operator="lessThan">
      <formula>0.8</formula>
    </cfRule>
  </conditionalFormatting>
  <conditionalFormatting sqref="AH87">
    <cfRule type="cellIs" dxfId="18459" priority="3629" operator="lessThan">
      <formula>0.8</formula>
    </cfRule>
  </conditionalFormatting>
  <conditionalFormatting sqref="S89 AH89">
    <cfRule type="cellIs" dxfId="18458" priority="3628" operator="lessThan">
      <formula>0.8</formula>
    </cfRule>
  </conditionalFormatting>
  <conditionalFormatting sqref="AF31">
    <cfRule type="cellIs" dxfId="18457" priority="3626" operator="lessThan">
      <formula>0</formula>
    </cfRule>
  </conditionalFormatting>
  <conditionalFormatting sqref="AH31 S31">
    <cfRule type="cellIs" dxfId="18456" priority="3625" operator="lessThan">
      <formula>0.8</formula>
    </cfRule>
  </conditionalFormatting>
  <conditionalFormatting sqref="AG31">
    <cfRule type="cellIs" dxfId="18455" priority="3623" operator="greaterThan">
      <formula>1</formula>
    </cfRule>
    <cfRule type="cellIs" dxfId="18454" priority="3624" operator="lessThan">
      <formula>0.8</formula>
    </cfRule>
  </conditionalFormatting>
  <conditionalFormatting sqref="AF135">
    <cfRule type="cellIs" dxfId="18453" priority="3622" operator="lessThan">
      <formula>0</formula>
    </cfRule>
  </conditionalFormatting>
  <conditionalFormatting sqref="AH135 S135">
    <cfRule type="cellIs" dxfId="18452" priority="3621" operator="lessThan">
      <formula>0.8</formula>
    </cfRule>
  </conditionalFormatting>
  <conditionalFormatting sqref="AG135">
    <cfRule type="cellIs" dxfId="18451" priority="3619" operator="greaterThan">
      <formula>1</formula>
    </cfRule>
    <cfRule type="cellIs" dxfId="18450" priority="3620" operator="lessThan">
      <formula>0.8</formula>
    </cfRule>
  </conditionalFormatting>
  <conditionalFormatting sqref="AF110 AF113 AF116">
    <cfRule type="cellIs" dxfId="18449" priority="3618" operator="lessThan">
      <formula>0</formula>
    </cfRule>
  </conditionalFormatting>
  <conditionalFormatting sqref="AG110 AG113 AG116">
    <cfRule type="cellIs" dxfId="18448" priority="3616" operator="greaterThan">
      <formula>1</formula>
    </cfRule>
    <cfRule type="cellIs" dxfId="18447" priority="3617" operator="lessThan">
      <formula>0.8</formula>
    </cfRule>
  </conditionalFormatting>
  <conditionalFormatting sqref="AF108 Q108">
    <cfRule type="cellIs" dxfId="18446" priority="3615" operator="lessThan">
      <formula>0</formula>
    </cfRule>
  </conditionalFormatting>
  <conditionalFormatting sqref="R108">
    <cfRule type="cellIs" dxfId="18445" priority="3613" operator="lessThan">
      <formula>0.8</formula>
    </cfRule>
    <cfRule type="cellIs" dxfId="18444" priority="3614" operator="greaterThan">
      <formula>1</formula>
    </cfRule>
  </conditionalFormatting>
  <conditionalFormatting sqref="AG108 R108">
    <cfRule type="cellIs" dxfId="18443" priority="3611" operator="greaterThan">
      <formula>1</formula>
    </cfRule>
    <cfRule type="cellIs" dxfId="18442" priority="3612" operator="lessThan">
      <formula>0.8</formula>
    </cfRule>
  </conditionalFormatting>
  <conditionalFormatting sqref="P108">
    <cfRule type="cellIs" dxfId="18441" priority="3610" operator="greaterThan">
      <formula>0</formula>
    </cfRule>
  </conditionalFormatting>
  <conditionalFormatting sqref="AH97">
    <cfRule type="cellIs" dxfId="18440" priority="3605" operator="lessThan">
      <formula>0.8</formula>
    </cfRule>
  </conditionalFormatting>
  <conditionalFormatting sqref="AG96">
    <cfRule type="cellIs" dxfId="18439" priority="3607" operator="greaterThan">
      <formula>1</formula>
    </cfRule>
    <cfRule type="cellIs" dxfId="18438" priority="3608" operator="lessThan">
      <formula>0.8</formula>
    </cfRule>
  </conditionalFormatting>
  <conditionalFormatting sqref="AF96">
    <cfRule type="cellIs" dxfId="18437" priority="3609" operator="lessThan">
      <formula>0</formula>
    </cfRule>
  </conditionalFormatting>
  <conditionalFormatting sqref="AG97">
    <cfRule type="cellIs" dxfId="18436" priority="3603" operator="greaterThan">
      <formula>1</formula>
    </cfRule>
    <cfRule type="cellIs" dxfId="18435" priority="3604" operator="lessThan">
      <formula>0.8</formula>
    </cfRule>
  </conditionalFormatting>
  <conditionalFormatting sqref="AF97">
    <cfRule type="cellIs" dxfId="18434" priority="3606" operator="lessThan">
      <formula>0</formula>
    </cfRule>
  </conditionalFormatting>
  <conditionalFormatting sqref="AF71 AF73 AF75 AF77 AF79">
    <cfRule type="cellIs" dxfId="18433" priority="3600" operator="lessThan">
      <formula>0</formula>
    </cfRule>
  </conditionalFormatting>
  <conditionalFormatting sqref="S71 AH71">
    <cfRule type="cellIs" dxfId="18432" priority="3599" operator="lessThan">
      <formula>0.8</formula>
    </cfRule>
  </conditionalFormatting>
  <conditionalFormatting sqref="AG71 AG73 AG75 AG77 AG79">
    <cfRule type="cellIs" dxfId="18431" priority="3597" operator="greaterThan">
      <formula>1</formula>
    </cfRule>
    <cfRule type="cellIs" dxfId="18430" priority="3598" operator="lessThan">
      <formula>0.8</formula>
    </cfRule>
  </conditionalFormatting>
  <conditionalFormatting sqref="AF72 AF74 AF76 AF78 AF80">
    <cfRule type="cellIs" dxfId="18429" priority="3596" operator="lessThan">
      <formula>0</formula>
    </cfRule>
  </conditionalFormatting>
  <conditionalFormatting sqref="S72 AH72">
    <cfRule type="cellIs" dxfId="18428" priority="3595" operator="lessThan">
      <formula>0.8</formula>
    </cfRule>
  </conditionalFormatting>
  <conditionalFormatting sqref="S11">
    <cfRule type="cellIs" dxfId="18427" priority="3602" operator="lessThan">
      <formula>0.8</formula>
    </cfRule>
  </conditionalFormatting>
  <conditionalFormatting sqref="S10">
    <cfRule type="cellIs" dxfId="18426" priority="3601" operator="lessThan">
      <formula>0.8</formula>
    </cfRule>
  </conditionalFormatting>
  <conditionalFormatting sqref="AG72 AG74 AG76 AG78 AG80">
    <cfRule type="cellIs" dxfId="18425" priority="3593" operator="greaterThan">
      <formula>1</formula>
    </cfRule>
    <cfRule type="cellIs" dxfId="18424" priority="3594" operator="lessThan">
      <formula>0.8</formula>
    </cfRule>
  </conditionalFormatting>
  <conditionalFormatting sqref="AF13:AF16 Q15:Q16">
    <cfRule type="cellIs" dxfId="18423" priority="3592" operator="lessThan">
      <formula>0</formula>
    </cfRule>
  </conditionalFormatting>
  <conditionalFormatting sqref="R15:R16">
    <cfRule type="cellIs" dxfId="18422" priority="3590" operator="lessThan">
      <formula>0.8</formula>
    </cfRule>
    <cfRule type="cellIs" dxfId="18421" priority="3591" operator="greaterThan">
      <formula>1</formula>
    </cfRule>
  </conditionalFormatting>
  <conditionalFormatting sqref="AG12:AG16 R15:R16">
    <cfRule type="cellIs" dxfId="18420" priority="3588" operator="greaterThan">
      <formula>1</formula>
    </cfRule>
    <cfRule type="cellIs" dxfId="18419" priority="3589" operator="lessThan">
      <formula>0.8</formula>
    </cfRule>
  </conditionalFormatting>
  <conditionalFormatting sqref="P15:P16">
    <cfRule type="cellIs" dxfId="18418" priority="3587" operator="greaterThan">
      <formula>0</formula>
    </cfRule>
  </conditionalFormatting>
  <conditionalFormatting sqref="AF98 AF100 AF102 AF104">
    <cfRule type="cellIs" dxfId="18417" priority="3586" operator="lessThan">
      <formula>0</formula>
    </cfRule>
  </conditionalFormatting>
  <conditionalFormatting sqref="AH98">
    <cfRule type="cellIs" dxfId="18416" priority="3585" operator="lessThan">
      <formula>0.8</formula>
    </cfRule>
  </conditionalFormatting>
  <conditionalFormatting sqref="AG98 AG100 AG102 AG104">
    <cfRule type="cellIs" dxfId="18415" priority="3583" operator="greaterThan">
      <formula>1</formula>
    </cfRule>
    <cfRule type="cellIs" dxfId="18414" priority="3584" operator="lessThan">
      <formula>0.8</formula>
    </cfRule>
  </conditionalFormatting>
  <conditionalFormatting sqref="AF20 AF22 AF24 AF26 AF28">
    <cfRule type="cellIs" dxfId="18413" priority="3582" operator="lessThan">
      <formula>0</formula>
    </cfRule>
  </conditionalFormatting>
  <conditionalFormatting sqref="AG20 AG22 AG24 AG26 AG28">
    <cfRule type="cellIs" dxfId="18412" priority="3580" operator="greaterThan">
      <formula>1</formula>
    </cfRule>
    <cfRule type="cellIs" dxfId="18411" priority="3581" operator="lessThan">
      <formula>0.8</formula>
    </cfRule>
  </conditionalFormatting>
  <conditionalFormatting sqref="AF33">
    <cfRule type="cellIs" dxfId="18410" priority="3579" operator="lessThan">
      <formula>0</formula>
    </cfRule>
  </conditionalFormatting>
  <conditionalFormatting sqref="AG33">
    <cfRule type="cellIs" dxfId="18409" priority="3577" operator="greaterThan">
      <formula>1</formula>
    </cfRule>
    <cfRule type="cellIs" dxfId="18408" priority="3578" operator="lessThan">
      <formula>0.8</formula>
    </cfRule>
  </conditionalFormatting>
  <conditionalFormatting sqref="P41:P42">
    <cfRule type="cellIs" dxfId="18407" priority="3571" operator="greaterThan">
      <formula>0</formula>
    </cfRule>
  </conditionalFormatting>
  <conditionalFormatting sqref="Q41:Q42 AF34:AF42">
    <cfRule type="cellIs" dxfId="18406" priority="3576" operator="lessThan">
      <formula>0</formula>
    </cfRule>
  </conditionalFormatting>
  <conditionalFormatting sqref="R41:R42">
    <cfRule type="cellIs" dxfId="18405" priority="3574" operator="lessThan">
      <formula>0.8</formula>
    </cfRule>
    <cfRule type="cellIs" dxfId="18404" priority="3575" operator="greaterThan">
      <formula>1</formula>
    </cfRule>
  </conditionalFormatting>
  <conditionalFormatting sqref="R41:R42 AG34:AG42">
    <cfRule type="cellIs" dxfId="18403" priority="3572" operator="greaterThan">
      <formula>1</formula>
    </cfRule>
    <cfRule type="cellIs" dxfId="18402" priority="3573" operator="lessThan">
      <formula>0.8</formula>
    </cfRule>
  </conditionalFormatting>
  <conditionalFormatting sqref="AF137:AF144">
    <cfRule type="cellIs" dxfId="18401" priority="3570" operator="lessThan">
      <formula>0</formula>
    </cfRule>
  </conditionalFormatting>
  <conditionalFormatting sqref="AH137 S137">
    <cfRule type="cellIs" dxfId="18400" priority="3569" operator="lessThan">
      <formula>0.8</formula>
    </cfRule>
  </conditionalFormatting>
  <conditionalFormatting sqref="AG137:AG144">
    <cfRule type="cellIs" dxfId="18399" priority="3567" operator="greaterThan">
      <formula>1</formula>
    </cfRule>
    <cfRule type="cellIs" dxfId="18398" priority="3568" operator="lessThan">
      <formula>0.8</formula>
    </cfRule>
  </conditionalFormatting>
  <conditionalFormatting sqref="AF53:AF55">
    <cfRule type="cellIs" dxfId="18397" priority="3566" operator="lessThan">
      <formula>0</formula>
    </cfRule>
  </conditionalFormatting>
  <conditionalFormatting sqref="AG53:AG55">
    <cfRule type="cellIs" dxfId="18396" priority="3564" operator="greaterThan">
      <formula>1</formula>
    </cfRule>
    <cfRule type="cellIs" dxfId="18395" priority="3565" operator="lessThan">
      <formula>0.8</formula>
    </cfRule>
  </conditionalFormatting>
  <conditionalFormatting sqref="AF56 Q56">
    <cfRule type="cellIs" dxfId="18394" priority="3563" operator="lessThan">
      <formula>0</formula>
    </cfRule>
  </conditionalFormatting>
  <conditionalFormatting sqref="R56">
    <cfRule type="cellIs" dxfId="18393" priority="3561" operator="lessThan">
      <formula>0.8</formula>
    </cfRule>
    <cfRule type="cellIs" dxfId="18392" priority="3562" operator="greaterThan">
      <formula>1</formula>
    </cfRule>
  </conditionalFormatting>
  <conditionalFormatting sqref="AG56 R56">
    <cfRule type="cellIs" dxfId="18391" priority="3559" operator="greaterThan">
      <formula>1</formula>
    </cfRule>
    <cfRule type="cellIs" dxfId="18390" priority="3560" operator="lessThan">
      <formula>0.8</formula>
    </cfRule>
  </conditionalFormatting>
  <conditionalFormatting sqref="P56">
    <cfRule type="cellIs" dxfId="18389" priority="3558" operator="greaterThan">
      <formula>0</formula>
    </cfRule>
  </conditionalFormatting>
  <conditionalFormatting sqref="P52:P55">
    <cfRule type="cellIs" dxfId="18388" priority="3552" operator="greaterThan">
      <formula>0</formula>
    </cfRule>
  </conditionalFormatting>
  <conditionalFormatting sqref="Q52:Q55">
    <cfRule type="cellIs" dxfId="18387" priority="3557" operator="lessThan">
      <formula>0</formula>
    </cfRule>
  </conditionalFormatting>
  <conditionalFormatting sqref="R52:R55">
    <cfRule type="cellIs" dxfId="18386" priority="3555" operator="lessThan">
      <formula>0.8</formula>
    </cfRule>
    <cfRule type="cellIs" dxfId="18385" priority="3556" operator="greaterThan">
      <formula>1</formula>
    </cfRule>
  </conditionalFormatting>
  <conditionalFormatting sqref="R52:R55">
    <cfRule type="cellIs" dxfId="18384" priority="3553" operator="greaterThan">
      <formula>1</formula>
    </cfRule>
    <cfRule type="cellIs" dxfId="18383" priority="3554" operator="lessThan">
      <formula>0.8</formula>
    </cfRule>
  </conditionalFormatting>
  <conditionalFormatting sqref="P80:P81">
    <cfRule type="cellIs" dxfId="18382" priority="3546" operator="greaterThan">
      <formula>0</formula>
    </cfRule>
  </conditionalFormatting>
  <conditionalFormatting sqref="AF81 Q80:Q81">
    <cfRule type="cellIs" dxfId="18381" priority="3551" operator="lessThan">
      <formula>0</formula>
    </cfRule>
  </conditionalFormatting>
  <conditionalFormatting sqref="R80:R81">
    <cfRule type="cellIs" dxfId="18380" priority="3549" operator="lessThan">
      <formula>0.8</formula>
    </cfRule>
    <cfRule type="cellIs" dxfId="18379" priority="3550" operator="greaterThan">
      <formula>1</formula>
    </cfRule>
  </conditionalFormatting>
  <conditionalFormatting sqref="AG81 R80:R81">
    <cfRule type="cellIs" dxfId="18378" priority="3547" operator="greaterThan">
      <formula>1</formula>
    </cfRule>
    <cfRule type="cellIs" dxfId="18377" priority="3548" operator="lessThan">
      <formula>0.8</formula>
    </cfRule>
  </conditionalFormatting>
  <conditionalFormatting sqref="AH85">
    <cfRule type="cellIs" dxfId="18376" priority="3545" operator="lessThan">
      <formula>0.8</formula>
    </cfRule>
  </conditionalFormatting>
  <conditionalFormatting sqref="S85">
    <cfRule type="cellIs" dxfId="18375" priority="3544" operator="lessThan">
      <formula>0.8</formula>
    </cfRule>
  </conditionalFormatting>
  <conditionalFormatting sqref="AF99 AF101 AF103">
    <cfRule type="cellIs" dxfId="18374" priority="3543" operator="lessThan">
      <formula>0</formula>
    </cfRule>
  </conditionalFormatting>
  <conditionalFormatting sqref="AG99 AG101 AG103">
    <cfRule type="cellIs" dxfId="18373" priority="3541" operator="greaterThan">
      <formula>1</formula>
    </cfRule>
    <cfRule type="cellIs" dxfId="18372" priority="3542" operator="lessThan">
      <formula>0.8</formula>
    </cfRule>
  </conditionalFormatting>
  <conditionalFormatting sqref="AF105:AF107">
    <cfRule type="cellIs" dxfId="18371" priority="3540" operator="lessThan">
      <formula>0</formula>
    </cfRule>
  </conditionalFormatting>
  <conditionalFormatting sqref="AH100:AH107">
    <cfRule type="cellIs" dxfId="18370" priority="3539" operator="lessThan">
      <formula>0.8</formula>
    </cfRule>
  </conditionalFormatting>
  <conditionalFormatting sqref="AG105:AG107">
    <cfRule type="cellIs" dxfId="18369" priority="3537" operator="greaterThan">
      <formula>1</formula>
    </cfRule>
    <cfRule type="cellIs" dxfId="18368" priority="3538" operator="lessThan">
      <formula>0.8</formula>
    </cfRule>
  </conditionalFormatting>
  <conditionalFormatting sqref="P106:P107">
    <cfRule type="cellIs" dxfId="18367" priority="3531" operator="greaterThan">
      <formula>0</formula>
    </cfRule>
  </conditionalFormatting>
  <conditionalFormatting sqref="Q106:Q107">
    <cfRule type="cellIs" dxfId="18366" priority="3536" operator="lessThan">
      <formula>0</formula>
    </cfRule>
  </conditionalFormatting>
  <conditionalFormatting sqref="R106:R107">
    <cfRule type="cellIs" dxfId="18365" priority="3534" operator="lessThan">
      <formula>0.8</formula>
    </cfRule>
    <cfRule type="cellIs" dxfId="18364" priority="3535" operator="greaterThan">
      <formula>1</formula>
    </cfRule>
  </conditionalFormatting>
  <conditionalFormatting sqref="R106:R107">
    <cfRule type="cellIs" dxfId="18363" priority="3532" operator="greaterThan">
      <formula>1</formula>
    </cfRule>
    <cfRule type="cellIs" dxfId="18362" priority="3533" operator="lessThan">
      <formula>0.8</formula>
    </cfRule>
  </conditionalFormatting>
  <conditionalFormatting sqref="AF109">
    <cfRule type="cellIs" dxfId="18361" priority="3530" operator="lessThan">
      <formula>0</formula>
    </cfRule>
  </conditionalFormatting>
  <conditionalFormatting sqref="S109">
    <cfRule type="cellIs" dxfId="18360" priority="3529" operator="lessThan">
      <formula>0.8</formula>
    </cfRule>
  </conditionalFormatting>
  <conditionalFormatting sqref="AG109">
    <cfRule type="cellIs" dxfId="18359" priority="3527" operator="greaterThan">
      <formula>1</formula>
    </cfRule>
    <cfRule type="cellIs" dxfId="18358" priority="3528" operator="lessThan">
      <formula>0.8</formula>
    </cfRule>
  </conditionalFormatting>
  <conditionalFormatting sqref="S150">
    <cfRule type="cellIs" dxfId="18357" priority="3526" operator="lessThan">
      <formula>0.8</formula>
    </cfRule>
  </conditionalFormatting>
  <conditionalFormatting sqref="AH150">
    <cfRule type="cellIs" dxfId="18356" priority="3525" operator="lessThan">
      <formula>0.8</formula>
    </cfRule>
  </conditionalFormatting>
  <conditionalFormatting sqref="S149">
    <cfRule type="cellIs" dxfId="18355" priority="3524" operator="lessThan">
      <formula>0.8</formula>
    </cfRule>
  </conditionalFormatting>
  <conditionalFormatting sqref="Q26:Q29">
    <cfRule type="cellIs" dxfId="18354" priority="3523" operator="lessThan">
      <formula>0</formula>
    </cfRule>
  </conditionalFormatting>
  <conditionalFormatting sqref="S21:S29 AH21:AH29">
    <cfRule type="cellIs" dxfId="18353" priority="3522" operator="lessThan">
      <formula>0.8</formula>
    </cfRule>
  </conditionalFormatting>
  <conditionalFormatting sqref="R26:R29">
    <cfRule type="cellIs" dxfId="18352" priority="3520" operator="lessThan">
      <formula>0.8</formula>
    </cfRule>
    <cfRule type="cellIs" dxfId="18351" priority="3521" operator="greaterThan">
      <formula>1</formula>
    </cfRule>
  </conditionalFormatting>
  <conditionalFormatting sqref="R26:R29">
    <cfRule type="cellIs" dxfId="18350" priority="3518" operator="greaterThan">
      <formula>1</formula>
    </cfRule>
    <cfRule type="cellIs" dxfId="18349" priority="3519" operator="lessThan">
      <formula>0.8</formula>
    </cfRule>
  </conditionalFormatting>
  <conditionalFormatting sqref="P26:P29">
    <cfRule type="cellIs" dxfId="18348" priority="3517" operator="greaterThan">
      <formula>0</formula>
    </cfRule>
  </conditionalFormatting>
  <conditionalFormatting sqref="AH91 S91">
    <cfRule type="cellIs" dxfId="18347" priority="3516" operator="lessThan">
      <formula>0.8</formula>
    </cfRule>
  </conditionalFormatting>
  <conditionalFormatting sqref="P92:P94">
    <cfRule type="cellIs" dxfId="18346" priority="3510" operator="greaterThan">
      <formula>0</formula>
    </cfRule>
  </conditionalFormatting>
  <conditionalFormatting sqref="Q92:Q94">
    <cfRule type="cellIs" dxfId="18345" priority="3515" operator="lessThan">
      <formula>0</formula>
    </cfRule>
  </conditionalFormatting>
  <conditionalFormatting sqref="R92:R94">
    <cfRule type="cellIs" dxfId="18344" priority="3513" operator="lessThan">
      <formula>0.8</formula>
    </cfRule>
    <cfRule type="cellIs" dxfId="18343" priority="3514" operator="greaterThan">
      <formula>1</formula>
    </cfRule>
  </conditionalFormatting>
  <conditionalFormatting sqref="R92:R94">
    <cfRule type="cellIs" dxfId="18342" priority="3511" operator="greaterThan">
      <formula>1</formula>
    </cfRule>
    <cfRule type="cellIs" dxfId="18341" priority="3512" operator="lessThan">
      <formula>0.8</formula>
    </cfRule>
  </conditionalFormatting>
  <conditionalFormatting sqref="AF146 Q144:Q146">
    <cfRule type="cellIs" dxfId="18340" priority="3509" operator="lessThan">
      <formula>0</formula>
    </cfRule>
  </conditionalFormatting>
  <conditionalFormatting sqref="AH139:AH146 S139:S146">
    <cfRule type="cellIs" dxfId="18339" priority="3508" operator="lessThan">
      <formula>0.8</formula>
    </cfRule>
  </conditionalFormatting>
  <conditionalFormatting sqref="R144:R146">
    <cfRule type="cellIs" dxfId="18338" priority="3506" operator="lessThan">
      <formula>0.8</formula>
    </cfRule>
    <cfRule type="cellIs" dxfId="18337" priority="3507" operator="greaterThan">
      <formula>1</formula>
    </cfRule>
  </conditionalFormatting>
  <conditionalFormatting sqref="AG146 R144:R146">
    <cfRule type="cellIs" dxfId="18336" priority="3504" operator="greaterThan">
      <formula>1</formula>
    </cfRule>
    <cfRule type="cellIs" dxfId="18335" priority="3505" operator="lessThan">
      <formula>0.8</formula>
    </cfRule>
  </conditionalFormatting>
  <conditionalFormatting sqref="P144:P146">
    <cfRule type="cellIs" dxfId="18334" priority="3503" operator="greaterThan">
      <formula>0</formula>
    </cfRule>
  </conditionalFormatting>
  <conditionalFormatting sqref="Q119:Q120">
    <cfRule type="cellIs" dxfId="18333" priority="3502" operator="lessThan">
      <formula>0</formula>
    </cfRule>
  </conditionalFormatting>
  <conditionalFormatting sqref="R119:R120">
    <cfRule type="cellIs" dxfId="18332" priority="3500" operator="lessThan">
      <formula>0.8</formula>
    </cfRule>
    <cfRule type="cellIs" dxfId="18331" priority="3501" operator="greaterThan">
      <formula>1</formula>
    </cfRule>
  </conditionalFormatting>
  <conditionalFormatting sqref="R119:R120">
    <cfRule type="cellIs" dxfId="18330" priority="3498" operator="greaterThan">
      <formula>1</formula>
    </cfRule>
    <cfRule type="cellIs" dxfId="18329" priority="3499" operator="lessThan">
      <formula>0.8</formula>
    </cfRule>
  </conditionalFormatting>
  <conditionalFormatting sqref="P119:P120">
    <cfRule type="cellIs" dxfId="18328" priority="3497" operator="greaterThan">
      <formula>0</formula>
    </cfRule>
  </conditionalFormatting>
  <conditionalFormatting sqref="AF118:AF120">
    <cfRule type="cellIs" dxfId="18327" priority="3496" operator="lessThan">
      <formula>0</formula>
    </cfRule>
  </conditionalFormatting>
  <conditionalFormatting sqref="AG118:AG120">
    <cfRule type="cellIs" dxfId="18326" priority="3494" operator="greaterThan">
      <formula>1</formula>
    </cfRule>
    <cfRule type="cellIs" dxfId="18325" priority="3495" operator="lessThan">
      <formula>0.8</formula>
    </cfRule>
  </conditionalFormatting>
  <conditionalFormatting sqref="S44:S56">
    <cfRule type="cellIs" dxfId="18324" priority="3493" operator="lessThan">
      <formula>0.8</formula>
    </cfRule>
  </conditionalFormatting>
  <conditionalFormatting sqref="S108">
    <cfRule type="cellIs" dxfId="18323" priority="3492" operator="lessThan">
      <formula>0.8</formula>
    </cfRule>
  </conditionalFormatting>
  <conditionalFormatting sqref="S96">
    <cfRule type="cellIs" dxfId="18322" priority="3491" operator="lessThan">
      <formula>0.8</formula>
    </cfRule>
  </conditionalFormatting>
  <conditionalFormatting sqref="S97">
    <cfRule type="cellIs" dxfId="18321" priority="3490" operator="lessThan">
      <formula>0.8</formula>
    </cfRule>
  </conditionalFormatting>
  <conditionalFormatting sqref="S103">
    <cfRule type="cellIs" dxfId="18320" priority="3489" operator="lessThan">
      <formula>0.8</formula>
    </cfRule>
  </conditionalFormatting>
  <conditionalFormatting sqref="S99">
    <cfRule type="cellIs" dxfId="18319" priority="3488" operator="lessThan">
      <formula>0.8</formula>
    </cfRule>
  </conditionalFormatting>
  <conditionalFormatting sqref="S101">
    <cfRule type="cellIs" dxfId="18318" priority="3485" operator="lessThan">
      <formula>0.8</formula>
    </cfRule>
  </conditionalFormatting>
  <conditionalFormatting sqref="S100">
    <cfRule type="cellIs" dxfId="18317" priority="3487" operator="lessThan">
      <formula>0.8</formula>
    </cfRule>
  </conditionalFormatting>
  <conditionalFormatting sqref="S102">
    <cfRule type="cellIs" dxfId="18316" priority="3486" operator="lessThan">
      <formula>0.8</formula>
    </cfRule>
  </conditionalFormatting>
  <conditionalFormatting sqref="S98">
    <cfRule type="cellIs" dxfId="18315" priority="3484" operator="lessThan">
      <formula>0.8</formula>
    </cfRule>
  </conditionalFormatting>
  <conditionalFormatting sqref="S104">
    <cfRule type="cellIs" dxfId="18314" priority="3483" operator="lessThan">
      <formula>0.8</formula>
    </cfRule>
  </conditionalFormatting>
  <conditionalFormatting sqref="P118">
    <cfRule type="cellIs" dxfId="18313" priority="3477" operator="greaterThan">
      <formula>0</formula>
    </cfRule>
  </conditionalFormatting>
  <conditionalFormatting sqref="Q118">
    <cfRule type="cellIs" dxfId="18312" priority="3482" operator="lessThan">
      <formula>0</formula>
    </cfRule>
  </conditionalFormatting>
  <conditionalFormatting sqref="R118">
    <cfRule type="cellIs" dxfId="18311" priority="3480" operator="lessThan">
      <formula>0.8</formula>
    </cfRule>
    <cfRule type="cellIs" dxfId="18310" priority="3481" operator="greaterThan">
      <formula>1</formula>
    </cfRule>
  </conditionalFormatting>
  <conditionalFormatting sqref="R118">
    <cfRule type="cellIs" dxfId="18309" priority="3478" operator="greaterThan">
      <formula>1</formula>
    </cfRule>
    <cfRule type="cellIs" dxfId="18308" priority="3479" operator="lessThan">
      <formula>0.8</formula>
    </cfRule>
  </conditionalFormatting>
  <conditionalFormatting sqref="Q162:Q166">
    <cfRule type="cellIs" dxfId="18307" priority="3476" operator="lessThan">
      <formula>0</formula>
    </cfRule>
  </conditionalFormatting>
  <conditionalFormatting sqref="R162:R166">
    <cfRule type="cellIs" dxfId="18306" priority="3474" operator="lessThan">
      <formula>0.8</formula>
    </cfRule>
    <cfRule type="cellIs" dxfId="18305" priority="3475" operator="greaterThan">
      <formula>1</formula>
    </cfRule>
  </conditionalFormatting>
  <conditionalFormatting sqref="R162:R166">
    <cfRule type="cellIs" dxfId="18304" priority="3472" operator="greaterThan">
      <formula>1</formula>
    </cfRule>
    <cfRule type="cellIs" dxfId="18303" priority="3473" operator="lessThan">
      <formula>0.8</formula>
    </cfRule>
  </conditionalFormatting>
  <conditionalFormatting sqref="P162:P166">
    <cfRule type="cellIs" dxfId="18302" priority="3471" operator="greaterThan">
      <formula>0</formula>
    </cfRule>
  </conditionalFormatting>
  <conditionalFormatting sqref="P167:P168">
    <cfRule type="cellIs" dxfId="18301" priority="3465" operator="greaterThan">
      <formula>0</formula>
    </cfRule>
  </conditionalFormatting>
  <conditionalFormatting sqref="R167:R168">
    <cfRule type="cellIs" dxfId="18300" priority="3468" operator="lessThan">
      <formula>0.8</formula>
    </cfRule>
    <cfRule type="cellIs" dxfId="18299" priority="3469" operator="greaterThan">
      <formula>1</formula>
    </cfRule>
  </conditionalFormatting>
  <conditionalFormatting sqref="R167:R168">
    <cfRule type="cellIs" dxfId="18298" priority="3466" operator="greaterThan">
      <formula>1</formula>
    </cfRule>
    <cfRule type="cellIs" dxfId="18297" priority="3467" operator="lessThan">
      <formula>0.8</formula>
    </cfRule>
  </conditionalFormatting>
  <conditionalFormatting sqref="Q167:Q168">
    <cfRule type="cellIs" dxfId="18296" priority="3470" operator="lessThan">
      <formula>0</formula>
    </cfRule>
  </conditionalFormatting>
  <conditionalFormatting sqref="Q117">
    <cfRule type="cellIs" dxfId="18295" priority="3464" operator="lessThan">
      <formula>0</formula>
    </cfRule>
  </conditionalFormatting>
  <conditionalFormatting sqref="R117">
    <cfRule type="cellIs" dxfId="18294" priority="3462" operator="lessThan">
      <formula>0.8</formula>
    </cfRule>
    <cfRule type="cellIs" dxfId="18293" priority="3463" operator="greaterThan">
      <formula>1</formula>
    </cfRule>
  </conditionalFormatting>
  <conditionalFormatting sqref="R117">
    <cfRule type="cellIs" dxfId="18292" priority="3460" operator="greaterThan">
      <formula>1</formula>
    </cfRule>
    <cfRule type="cellIs" dxfId="18291" priority="3461" operator="lessThan">
      <formula>0.8</formula>
    </cfRule>
  </conditionalFormatting>
  <conditionalFormatting sqref="P117">
    <cfRule type="cellIs" dxfId="18290" priority="3459" operator="greaterThan">
      <formula>0</formula>
    </cfRule>
  </conditionalFormatting>
  <conditionalFormatting sqref="Q117">
    <cfRule type="cellIs" dxfId="18289" priority="3458" operator="lessThan">
      <formula>0</formula>
    </cfRule>
  </conditionalFormatting>
  <conditionalFormatting sqref="R117">
    <cfRule type="cellIs" dxfId="18288" priority="3456" operator="lessThan">
      <formula>0.8</formula>
    </cfRule>
    <cfRule type="cellIs" dxfId="18287" priority="3457" operator="greaterThan">
      <formula>1</formula>
    </cfRule>
  </conditionalFormatting>
  <conditionalFormatting sqref="R117">
    <cfRule type="cellIs" dxfId="18286" priority="3454" operator="greaterThan">
      <formula>1</formula>
    </cfRule>
    <cfRule type="cellIs" dxfId="18285" priority="3455" operator="lessThan">
      <formula>0.8</formula>
    </cfRule>
  </conditionalFormatting>
  <conditionalFormatting sqref="P117">
    <cfRule type="cellIs" dxfId="18284" priority="3453" operator="greaterThan">
      <formula>0</formula>
    </cfRule>
  </conditionalFormatting>
  <conditionalFormatting sqref="P117">
    <cfRule type="cellIs" dxfId="18283" priority="3447" operator="greaterThan">
      <formula>0</formula>
    </cfRule>
  </conditionalFormatting>
  <conditionalFormatting sqref="Q117">
    <cfRule type="cellIs" dxfId="18282" priority="3452" operator="lessThan">
      <formula>0</formula>
    </cfRule>
  </conditionalFormatting>
  <conditionalFormatting sqref="R117">
    <cfRule type="cellIs" dxfId="18281" priority="3450" operator="lessThan">
      <formula>0.8</formula>
    </cfRule>
    <cfRule type="cellIs" dxfId="18280" priority="3451" operator="greaterThan">
      <formula>1</formula>
    </cfRule>
  </conditionalFormatting>
  <conditionalFormatting sqref="R117">
    <cfRule type="cellIs" dxfId="18279" priority="3448" operator="greaterThan">
      <formula>1</formula>
    </cfRule>
    <cfRule type="cellIs" dxfId="18278" priority="3449" operator="lessThan">
      <formula>0.8</formula>
    </cfRule>
  </conditionalFormatting>
  <conditionalFormatting sqref="P117">
    <cfRule type="cellIs" dxfId="18277" priority="3441" operator="greaterThan">
      <formula>0</formula>
    </cfRule>
  </conditionalFormatting>
  <conditionalFormatting sqref="Q117">
    <cfRule type="cellIs" dxfId="18276" priority="3446" operator="lessThan">
      <formula>0</formula>
    </cfRule>
  </conditionalFormatting>
  <conditionalFormatting sqref="R117">
    <cfRule type="cellIs" dxfId="18275" priority="3444" operator="lessThan">
      <formula>0.8</formula>
    </cfRule>
    <cfRule type="cellIs" dxfId="18274" priority="3445" operator="greaterThan">
      <formula>1</formula>
    </cfRule>
  </conditionalFormatting>
  <conditionalFormatting sqref="R117">
    <cfRule type="cellIs" dxfId="18273" priority="3442" operator="greaterThan">
      <formula>1</formula>
    </cfRule>
    <cfRule type="cellIs" dxfId="18272" priority="3443" operator="lessThan">
      <formula>0.8</formula>
    </cfRule>
  </conditionalFormatting>
  <conditionalFormatting sqref="P117">
    <cfRule type="cellIs" dxfId="18271" priority="3435" operator="greaterThan">
      <formula>0</formula>
    </cfRule>
  </conditionalFormatting>
  <conditionalFormatting sqref="Q117">
    <cfRule type="cellIs" dxfId="18270" priority="3440" operator="lessThan">
      <formula>0</formula>
    </cfRule>
  </conditionalFormatting>
  <conditionalFormatting sqref="R117">
    <cfRule type="cellIs" dxfId="18269" priority="3438" operator="lessThan">
      <formula>0.8</formula>
    </cfRule>
    <cfRule type="cellIs" dxfId="18268" priority="3439" operator="greaterThan">
      <formula>1</formula>
    </cfRule>
  </conditionalFormatting>
  <conditionalFormatting sqref="R117">
    <cfRule type="cellIs" dxfId="18267" priority="3436" operator="greaterThan">
      <formula>1</formula>
    </cfRule>
    <cfRule type="cellIs" dxfId="18266" priority="3437" operator="lessThan">
      <formula>0.8</formula>
    </cfRule>
  </conditionalFormatting>
  <conditionalFormatting sqref="Q117">
    <cfRule type="cellIs" dxfId="18265" priority="3434" operator="lessThan">
      <formula>0</formula>
    </cfRule>
  </conditionalFormatting>
  <conditionalFormatting sqref="R117">
    <cfRule type="cellIs" dxfId="18264" priority="3432" operator="lessThan">
      <formula>0.8</formula>
    </cfRule>
    <cfRule type="cellIs" dxfId="18263" priority="3433" operator="greaterThan">
      <formula>1</formula>
    </cfRule>
  </conditionalFormatting>
  <conditionalFormatting sqref="R117">
    <cfRule type="cellIs" dxfId="18262" priority="3430" operator="greaterThan">
      <formula>1</formula>
    </cfRule>
    <cfRule type="cellIs" dxfId="18261" priority="3431" operator="lessThan">
      <formula>0.8</formula>
    </cfRule>
  </conditionalFormatting>
  <conditionalFormatting sqref="P117">
    <cfRule type="cellIs" dxfId="18260" priority="3429" operator="greaterThan">
      <formula>0</formula>
    </cfRule>
  </conditionalFormatting>
  <conditionalFormatting sqref="P117">
    <cfRule type="cellIs" dxfId="18259" priority="3423" operator="greaterThan">
      <formula>0</formula>
    </cfRule>
  </conditionalFormatting>
  <conditionalFormatting sqref="Q117">
    <cfRule type="cellIs" dxfId="18258" priority="3428" operator="lessThan">
      <formula>0</formula>
    </cfRule>
  </conditionalFormatting>
  <conditionalFormatting sqref="R117">
    <cfRule type="cellIs" dxfId="18257" priority="3426" operator="lessThan">
      <formula>0.8</formula>
    </cfRule>
    <cfRule type="cellIs" dxfId="18256" priority="3427" operator="greaterThan">
      <formula>1</formula>
    </cfRule>
  </conditionalFormatting>
  <conditionalFormatting sqref="R117">
    <cfRule type="cellIs" dxfId="18255" priority="3424" operator="greaterThan">
      <formula>1</formula>
    </cfRule>
    <cfRule type="cellIs" dxfId="18254" priority="3425" operator="lessThan">
      <formula>0.8</formula>
    </cfRule>
  </conditionalFormatting>
  <conditionalFormatting sqref="P117">
    <cfRule type="cellIs" dxfId="18253" priority="3417" operator="greaterThan">
      <formula>0</formula>
    </cfRule>
  </conditionalFormatting>
  <conditionalFormatting sqref="Q117">
    <cfRule type="cellIs" dxfId="18252" priority="3422" operator="lessThan">
      <formula>0</formula>
    </cfRule>
  </conditionalFormatting>
  <conditionalFormatting sqref="R117">
    <cfRule type="cellIs" dxfId="18251" priority="3420" operator="lessThan">
      <formula>0.8</formula>
    </cfRule>
    <cfRule type="cellIs" dxfId="18250" priority="3421" operator="greaterThan">
      <formula>1</formula>
    </cfRule>
  </conditionalFormatting>
  <conditionalFormatting sqref="R117">
    <cfRule type="cellIs" dxfId="18249" priority="3418" operator="greaterThan">
      <formula>1</formula>
    </cfRule>
    <cfRule type="cellIs" dxfId="18248" priority="3419" operator="lessThan">
      <formula>0.8</formula>
    </cfRule>
  </conditionalFormatting>
  <conditionalFormatting sqref="Q117">
    <cfRule type="cellIs" dxfId="18247" priority="3416" operator="lessThan">
      <formula>0</formula>
    </cfRule>
  </conditionalFormatting>
  <conditionalFormatting sqref="R117">
    <cfRule type="cellIs" dxfId="18246" priority="3414" operator="lessThan">
      <formula>0.8</formula>
    </cfRule>
    <cfRule type="cellIs" dxfId="18245" priority="3415" operator="greaterThan">
      <formula>1</formula>
    </cfRule>
  </conditionalFormatting>
  <conditionalFormatting sqref="R117">
    <cfRule type="cellIs" dxfId="18244" priority="3412" operator="greaterThan">
      <formula>1</formula>
    </cfRule>
    <cfRule type="cellIs" dxfId="18243" priority="3413" operator="lessThan">
      <formula>0.8</formula>
    </cfRule>
  </conditionalFormatting>
  <conditionalFormatting sqref="P117">
    <cfRule type="cellIs" dxfId="18242" priority="3411" operator="greaterThan">
      <formula>0</formula>
    </cfRule>
  </conditionalFormatting>
  <conditionalFormatting sqref="P117">
    <cfRule type="cellIs" dxfId="18241" priority="3405" operator="greaterThan">
      <formula>0</formula>
    </cfRule>
  </conditionalFormatting>
  <conditionalFormatting sqref="Q117">
    <cfRule type="cellIs" dxfId="18240" priority="3410" operator="lessThan">
      <formula>0</formula>
    </cfRule>
  </conditionalFormatting>
  <conditionalFormatting sqref="R117">
    <cfRule type="cellIs" dxfId="18239" priority="3408" operator="lessThan">
      <formula>0.8</formula>
    </cfRule>
    <cfRule type="cellIs" dxfId="18238" priority="3409" operator="greaterThan">
      <formula>1</formula>
    </cfRule>
  </conditionalFormatting>
  <conditionalFormatting sqref="R117">
    <cfRule type="cellIs" dxfId="18237" priority="3406" operator="greaterThan">
      <formula>1</formula>
    </cfRule>
    <cfRule type="cellIs" dxfId="18236" priority="3407" operator="lessThan">
      <formula>0.8</formula>
    </cfRule>
  </conditionalFormatting>
  <conditionalFormatting sqref="Q117">
    <cfRule type="cellIs" dxfId="18235" priority="3404" operator="lessThan">
      <formula>0</formula>
    </cfRule>
  </conditionalFormatting>
  <conditionalFormatting sqref="R117">
    <cfRule type="cellIs" dxfId="18234" priority="3402" operator="lessThan">
      <formula>0.8</formula>
    </cfRule>
    <cfRule type="cellIs" dxfId="18233" priority="3403" operator="greaterThan">
      <formula>1</formula>
    </cfRule>
  </conditionalFormatting>
  <conditionalFormatting sqref="R117">
    <cfRule type="cellIs" dxfId="18232" priority="3400" operator="greaterThan">
      <formula>1</formula>
    </cfRule>
    <cfRule type="cellIs" dxfId="18231" priority="3401" operator="lessThan">
      <formula>0.8</formula>
    </cfRule>
  </conditionalFormatting>
  <conditionalFormatting sqref="P117">
    <cfRule type="cellIs" dxfId="18230" priority="3399" operator="greaterThan">
      <formula>0</formula>
    </cfRule>
  </conditionalFormatting>
  <conditionalFormatting sqref="Q117">
    <cfRule type="cellIs" dxfId="18229" priority="3398" operator="lessThan">
      <formula>0</formula>
    </cfRule>
  </conditionalFormatting>
  <conditionalFormatting sqref="R117">
    <cfRule type="cellIs" dxfId="18228" priority="3396" operator="lessThan">
      <formula>0.8</formula>
    </cfRule>
    <cfRule type="cellIs" dxfId="18227" priority="3397" operator="greaterThan">
      <formula>1</formula>
    </cfRule>
  </conditionalFormatting>
  <conditionalFormatting sqref="R117">
    <cfRule type="cellIs" dxfId="18226" priority="3394" operator="greaterThan">
      <formula>1</formula>
    </cfRule>
    <cfRule type="cellIs" dxfId="18225" priority="3395" operator="lessThan">
      <formula>0.8</formula>
    </cfRule>
  </conditionalFormatting>
  <conditionalFormatting sqref="P117">
    <cfRule type="cellIs" dxfId="18224" priority="3393" operator="greaterThan">
      <formula>0</formula>
    </cfRule>
  </conditionalFormatting>
  <conditionalFormatting sqref="Q83">
    <cfRule type="cellIs" dxfId="18223" priority="3392" operator="lessThan">
      <formula>0</formula>
    </cfRule>
  </conditionalFormatting>
  <conditionalFormatting sqref="R83">
    <cfRule type="cellIs" dxfId="18222" priority="3390" operator="lessThan">
      <formula>0.8</formula>
    </cfRule>
    <cfRule type="cellIs" dxfId="18221" priority="3391" operator="greaterThan">
      <formula>1</formula>
    </cfRule>
  </conditionalFormatting>
  <conditionalFormatting sqref="R83">
    <cfRule type="cellIs" dxfId="18220" priority="3388" operator="greaterThan">
      <formula>1</formula>
    </cfRule>
    <cfRule type="cellIs" dxfId="18219" priority="3389" operator="lessThan">
      <formula>0.8</formula>
    </cfRule>
  </conditionalFormatting>
  <conditionalFormatting sqref="P83">
    <cfRule type="cellIs" dxfId="18218" priority="3387" operator="greaterThan">
      <formula>0</formula>
    </cfRule>
  </conditionalFormatting>
  <conditionalFormatting sqref="Q83">
    <cfRule type="cellIs" dxfId="18217" priority="3386" operator="lessThan">
      <formula>0</formula>
    </cfRule>
  </conditionalFormatting>
  <conditionalFormatting sqref="R83">
    <cfRule type="cellIs" dxfId="18216" priority="3384" operator="lessThan">
      <formula>0.8</formula>
    </cfRule>
    <cfRule type="cellIs" dxfId="18215" priority="3385" operator="greaterThan">
      <formula>1</formula>
    </cfRule>
  </conditionalFormatting>
  <conditionalFormatting sqref="R83">
    <cfRule type="cellIs" dxfId="18214" priority="3382" operator="greaterThan">
      <formula>1</formula>
    </cfRule>
    <cfRule type="cellIs" dxfId="18213" priority="3383" operator="lessThan">
      <formula>0.8</formula>
    </cfRule>
  </conditionalFormatting>
  <conditionalFormatting sqref="P83">
    <cfRule type="cellIs" dxfId="18212" priority="3381" operator="greaterThan">
      <formula>0</formula>
    </cfRule>
  </conditionalFormatting>
  <conditionalFormatting sqref="Q83">
    <cfRule type="cellIs" dxfId="18211" priority="3380" operator="lessThan">
      <formula>0</formula>
    </cfRule>
  </conditionalFormatting>
  <conditionalFormatting sqref="R83">
    <cfRule type="cellIs" dxfId="18210" priority="3378" operator="lessThan">
      <formula>0.8</formula>
    </cfRule>
    <cfRule type="cellIs" dxfId="18209" priority="3379" operator="greaterThan">
      <formula>1</formula>
    </cfRule>
  </conditionalFormatting>
  <conditionalFormatting sqref="R83">
    <cfRule type="cellIs" dxfId="18208" priority="3376" operator="greaterThan">
      <formula>1</formula>
    </cfRule>
    <cfRule type="cellIs" dxfId="18207" priority="3377" operator="lessThan">
      <formula>0.8</formula>
    </cfRule>
  </conditionalFormatting>
  <conditionalFormatting sqref="P83">
    <cfRule type="cellIs" dxfId="18206" priority="3375" operator="greaterThan">
      <formula>0</formula>
    </cfRule>
  </conditionalFormatting>
  <conditionalFormatting sqref="Q83">
    <cfRule type="cellIs" dxfId="18205" priority="3374" operator="lessThan">
      <formula>0</formula>
    </cfRule>
  </conditionalFormatting>
  <conditionalFormatting sqref="R83">
    <cfRule type="cellIs" dxfId="18204" priority="3372" operator="lessThan">
      <formula>0.8</formula>
    </cfRule>
    <cfRule type="cellIs" dxfId="18203" priority="3373" operator="greaterThan">
      <formula>1</formula>
    </cfRule>
  </conditionalFormatting>
  <conditionalFormatting sqref="R83">
    <cfRule type="cellIs" dxfId="18202" priority="3370" operator="greaterThan">
      <formula>1</formula>
    </cfRule>
    <cfRule type="cellIs" dxfId="18201" priority="3371" operator="lessThan">
      <formula>0.8</formula>
    </cfRule>
  </conditionalFormatting>
  <conditionalFormatting sqref="P83">
    <cfRule type="cellIs" dxfId="18200" priority="3369" operator="greaterThan">
      <formula>0</formula>
    </cfRule>
  </conditionalFormatting>
  <conditionalFormatting sqref="P83">
    <cfRule type="cellIs" dxfId="18199" priority="3363" operator="greaterThan">
      <formula>0</formula>
    </cfRule>
  </conditionalFormatting>
  <conditionalFormatting sqref="Q83">
    <cfRule type="cellIs" dxfId="18198" priority="3368" operator="lessThan">
      <formula>0</formula>
    </cfRule>
  </conditionalFormatting>
  <conditionalFormatting sqref="R83">
    <cfRule type="cellIs" dxfId="18197" priority="3366" operator="lessThan">
      <formula>0.8</formula>
    </cfRule>
    <cfRule type="cellIs" dxfId="18196" priority="3367" operator="greaterThan">
      <formula>1</formula>
    </cfRule>
  </conditionalFormatting>
  <conditionalFormatting sqref="R83">
    <cfRule type="cellIs" dxfId="18195" priority="3364" operator="greaterThan">
      <formula>1</formula>
    </cfRule>
    <cfRule type="cellIs" dxfId="18194" priority="3365" operator="lessThan">
      <formula>0.8</formula>
    </cfRule>
  </conditionalFormatting>
  <conditionalFormatting sqref="P83">
    <cfRule type="cellIs" dxfId="18193" priority="3357" operator="greaterThan">
      <formula>0</formula>
    </cfRule>
  </conditionalFormatting>
  <conditionalFormatting sqref="Q83">
    <cfRule type="cellIs" dxfId="18192" priority="3362" operator="lessThan">
      <formula>0</formula>
    </cfRule>
  </conditionalFormatting>
  <conditionalFormatting sqref="R83">
    <cfRule type="cellIs" dxfId="18191" priority="3360" operator="lessThan">
      <formula>0.8</formula>
    </cfRule>
    <cfRule type="cellIs" dxfId="18190" priority="3361" operator="greaterThan">
      <formula>1</formula>
    </cfRule>
  </conditionalFormatting>
  <conditionalFormatting sqref="R83">
    <cfRule type="cellIs" dxfId="18189" priority="3358" operator="greaterThan">
      <formula>1</formula>
    </cfRule>
    <cfRule type="cellIs" dxfId="18188" priority="3359" operator="lessThan">
      <formula>0.8</formula>
    </cfRule>
  </conditionalFormatting>
  <conditionalFormatting sqref="R83">
    <cfRule type="cellIs" dxfId="18187" priority="3354" operator="lessThan">
      <formula>0.8</formula>
    </cfRule>
    <cfRule type="cellIs" dxfId="18186" priority="3355" operator="greaterThan">
      <formula>1</formula>
    </cfRule>
  </conditionalFormatting>
  <conditionalFormatting sqref="R83">
    <cfRule type="cellIs" dxfId="18185" priority="3352" operator="greaterThan">
      <formula>1</formula>
    </cfRule>
    <cfRule type="cellIs" dxfId="18184" priority="3353" operator="lessThan">
      <formula>0.8</formula>
    </cfRule>
  </conditionalFormatting>
  <conditionalFormatting sqref="P83">
    <cfRule type="cellIs" dxfId="18183" priority="3351" operator="greaterThan">
      <formula>0</formula>
    </cfRule>
  </conditionalFormatting>
  <conditionalFormatting sqref="Q83">
    <cfRule type="cellIs" dxfId="18182" priority="3356" operator="lessThan">
      <formula>0</formula>
    </cfRule>
  </conditionalFormatting>
  <conditionalFormatting sqref="Q83">
    <cfRule type="cellIs" dxfId="18181" priority="3350" operator="lessThan">
      <formula>0</formula>
    </cfRule>
  </conditionalFormatting>
  <conditionalFormatting sqref="R83">
    <cfRule type="cellIs" dxfId="18180" priority="3348" operator="lessThan">
      <formula>0.8</formula>
    </cfRule>
    <cfRule type="cellIs" dxfId="18179" priority="3349" operator="greaterThan">
      <formula>1</formula>
    </cfRule>
  </conditionalFormatting>
  <conditionalFormatting sqref="R83">
    <cfRule type="cellIs" dxfId="18178" priority="3346" operator="greaterThan">
      <formula>1</formula>
    </cfRule>
    <cfRule type="cellIs" dxfId="18177" priority="3347" operator="lessThan">
      <formula>0.8</formula>
    </cfRule>
  </conditionalFormatting>
  <conditionalFormatting sqref="P83">
    <cfRule type="cellIs" dxfId="18176" priority="3345" operator="greaterThan">
      <formula>0</formula>
    </cfRule>
  </conditionalFormatting>
  <conditionalFormatting sqref="P83">
    <cfRule type="cellIs" dxfId="18175" priority="3339" operator="greaterThan">
      <formula>0</formula>
    </cfRule>
  </conditionalFormatting>
  <conditionalFormatting sqref="Q83">
    <cfRule type="cellIs" dxfId="18174" priority="3344" operator="lessThan">
      <formula>0</formula>
    </cfRule>
  </conditionalFormatting>
  <conditionalFormatting sqref="R83">
    <cfRule type="cellIs" dxfId="18173" priority="3342" operator="lessThan">
      <formula>0.8</formula>
    </cfRule>
    <cfRule type="cellIs" dxfId="18172" priority="3343" operator="greaterThan">
      <formula>1</formula>
    </cfRule>
  </conditionalFormatting>
  <conditionalFormatting sqref="R83">
    <cfRule type="cellIs" dxfId="18171" priority="3340" operator="greaterThan">
      <formula>1</formula>
    </cfRule>
    <cfRule type="cellIs" dxfId="18170" priority="3341" operator="lessThan">
      <formula>0.8</formula>
    </cfRule>
  </conditionalFormatting>
  <conditionalFormatting sqref="P83">
    <cfRule type="cellIs" dxfId="18169" priority="3333" operator="greaterThan">
      <formula>0</formula>
    </cfRule>
  </conditionalFormatting>
  <conditionalFormatting sqref="Q83">
    <cfRule type="cellIs" dxfId="18168" priority="3338" operator="lessThan">
      <formula>0</formula>
    </cfRule>
  </conditionalFormatting>
  <conditionalFormatting sqref="R83">
    <cfRule type="cellIs" dxfId="18167" priority="3336" operator="lessThan">
      <formula>0.8</formula>
    </cfRule>
    <cfRule type="cellIs" dxfId="18166" priority="3337" operator="greaterThan">
      <formula>1</formula>
    </cfRule>
  </conditionalFormatting>
  <conditionalFormatting sqref="R83">
    <cfRule type="cellIs" dxfId="18165" priority="3334" operator="greaterThan">
      <formula>1</formula>
    </cfRule>
    <cfRule type="cellIs" dxfId="18164" priority="3335" operator="lessThan">
      <formula>0.8</formula>
    </cfRule>
  </conditionalFormatting>
  <conditionalFormatting sqref="R83">
    <cfRule type="cellIs" dxfId="18163" priority="3330" operator="lessThan">
      <formula>0.8</formula>
    </cfRule>
    <cfRule type="cellIs" dxfId="18162" priority="3331" operator="greaterThan">
      <formula>1</formula>
    </cfRule>
  </conditionalFormatting>
  <conditionalFormatting sqref="R83">
    <cfRule type="cellIs" dxfId="18161" priority="3328" operator="greaterThan">
      <formula>1</formula>
    </cfRule>
    <cfRule type="cellIs" dxfId="18160" priority="3329" operator="lessThan">
      <formula>0.8</formula>
    </cfRule>
  </conditionalFormatting>
  <conditionalFormatting sqref="P83">
    <cfRule type="cellIs" dxfId="18159" priority="3327" operator="greaterThan">
      <formula>0</formula>
    </cfRule>
  </conditionalFormatting>
  <conditionalFormatting sqref="Q83">
    <cfRule type="cellIs" dxfId="18158" priority="3332" operator="lessThan">
      <formula>0</formula>
    </cfRule>
  </conditionalFormatting>
  <conditionalFormatting sqref="P83">
    <cfRule type="cellIs" dxfId="18157" priority="3321" operator="greaterThan">
      <formula>0</formula>
    </cfRule>
  </conditionalFormatting>
  <conditionalFormatting sqref="Q83">
    <cfRule type="cellIs" dxfId="18156" priority="3326" operator="lessThan">
      <formula>0</formula>
    </cfRule>
  </conditionalFormatting>
  <conditionalFormatting sqref="R83">
    <cfRule type="cellIs" dxfId="18155" priority="3324" operator="lessThan">
      <formula>0.8</formula>
    </cfRule>
    <cfRule type="cellIs" dxfId="18154" priority="3325" operator="greaterThan">
      <formula>1</formula>
    </cfRule>
  </conditionalFormatting>
  <conditionalFormatting sqref="R83">
    <cfRule type="cellIs" dxfId="18153" priority="3322" operator="greaterThan">
      <formula>1</formula>
    </cfRule>
    <cfRule type="cellIs" dxfId="18152" priority="3323" operator="lessThan">
      <formula>0.8</formula>
    </cfRule>
  </conditionalFormatting>
  <conditionalFormatting sqref="R83">
    <cfRule type="cellIs" dxfId="18151" priority="3318" operator="lessThan">
      <formula>0.8</formula>
    </cfRule>
    <cfRule type="cellIs" dxfId="18150" priority="3319" operator="greaterThan">
      <formula>1</formula>
    </cfRule>
  </conditionalFormatting>
  <conditionalFormatting sqref="R83">
    <cfRule type="cellIs" dxfId="18149" priority="3316" operator="greaterThan">
      <formula>1</formula>
    </cfRule>
    <cfRule type="cellIs" dxfId="18148" priority="3317" operator="lessThan">
      <formula>0.8</formula>
    </cfRule>
  </conditionalFormatting>
  <conditionalFormatting sqref="P83">
    <cfRule type="cellIs" dxfId="18147" priority="3315" operator="greaterThan">
      <formula>0</formula>
    </cfRule>
  </conditionalFormatting>
  <conditionalFormatting sqref="Q83">
    <cfRule type="cellIs" dxfId="18146" priority="3320" operator="lessThan">
      <formula>0</formula>
    </cfRule>
  </conditionalFormatting>
  <conditionalFormatting sqref="R83">
    <cfRule type="cellIs" dxfId="18145" priority="3312" operator="lessThan">
      <formula>0.8</formula>
    </cfRule>
    <cfRule type="cellIs" dxfId="18144" priority="3313" operator="greaterThan">
      <formula>1</formula>
    </cfRule>
  </conditionalFormatting>
  <conditionalFormatting sqref="R83">
    <cfRule type="cellIs" dxfId="18143" priority="3310" operator="greaterThan">
      <formula>1</formula>
    </cfRule>
    <cfRule type="cellIs" dxfId="18142" priority="3311" operator="lessThan">
      <formula>0.8</formula>
    </cfRule>
  </conditionalFormatting>
  <conditionalFormatting sqref="P83">
    <cfRule type="cellIs" dxfId="18141" priority="3309" operator="greaterThan">
      <formula>0</formula>
    </cfRule>
  </conditionalFormatting>
  <conditionalFormatting sqref="Q83">
    <cfRule type="cellIs" dxfId="18140" priority="3314" operator="lessThan">
      <formula>0</formula>
    </cfRule>
  </conditionalFormatting>
  <conditionalFormatting sqref="Q83">
    <cfRule type="cellIs" dxfId="18139" priority="3308" operator="lessThan">
      <formula>0</formula>
    </cfRule>
  </conditionalFormatting>
  <conditionalFormatting sqref="R83">
    <cfRule type="cellIs" dxfId="18138" priority="3306" operator="lessThan">
      <formula>0.8</formula>
    </cfRule>
    <cfRule type="cellIs" dxfId="18137" priority="3307" operator="greaterThan">
      <formula>1</formula>
    </cfRule>
  </conditionalFormatting>
  <conditionalFormatting sqref="R83">
    <cfRule type="cellIs" dxfId="18136" priority="3304" operator="greaterThan">
      <formula>1</formula>
    </cfRule>
    <cfRule type="cellIs" dxfId="18135" priority="3305" operator="lessThan">
      <formula>0.8</formula>
    </cfRule>
  </conditionalFormatting>
  <conditionalFormatting sqref="P83">
    <cfRule type="cellIs" dxfId="18134" priority="3303" operator="greaterThan">
      <formula>0</formula>
    </cfRule>
  </conditionalFormatting>
  <conditionalFormatting sqref="Q83">
    <cfRule type="cellIs" dxfId="18133" priority="3297" operator="lessThan">
      <formula>0</formula>
    </cfRule>
  </conditionalFormatting>
  <conditionalFormatting sqref="R83">
    <cfRule type="cellIs" dxfId="18132" priority="3301" operator="lessThan">
      <formula>0.8</formula>
    </cfRule>
    <cfRule type="cellIs" dxfId="18131" priority="3302" operator="greaterThan">
      <formula>1</formula>
    </cfRule>
  </conditionalFormatting>
  <conditionalFormatting sqref="R83">
    <cfRule type="cellIs" dxfId="18130" priority="3299" operator="greaterThan">
      <formula>1</formula>
    </cfRule>
    <cfRule type="cellIs" dxfId="18129" priority="3300" operator="lessThan">
      <formula>0.8</formula>
    </cfRule>
  </conditionalFormatting>
  <conditionalFormatting sqref="P83">
    <cfRule type="cellIs" dxfId="18128" priority="3298" operator="greaterThan">
      <formula>0</formula>
    </cfRule>
  </conditionalFormatting>
  <conditionalFormatting sqref="Q83">
    <cfRule type="cellIs" dxfId="18127" priority="3296" operator="lessThan">
      <formula>0</formula>
    </cfRule>
  </conditionalFormatting>
  <conditionalFormatting sqref="R83">
    <cfRule type="cellIs" dxfId="18126" priority="3294" operator="lessThan">
      <formula>0.8</formula>
    </cfRule>
    <cfRule type="cellIs" dxfId="18125" priority="3295" operator="greaterThan">
      <formula>1</formula>
    </cfRule>
  </conditionalFormatting>
  <conditionalFormatting sqref="R83">
    <cfRule type="cellIs" dxfId="18124" priority="3292" operator="greaterThan">
      <formula>1</formula>
    </cfRule>
    <cfRule type="cellIs" dxfId="18123" priority="3293" operator="lessThan">
      <formula>0.8</formula>
    </cfRule>
  </conditionalFormatting>
  <conditionalFormatting sqref="P83">
    <cfRule type="cellIs" dxfId="18122" priority="3291" operator="greaterThan">
      <formula>0</formula>
    </cfRule>
  </conditionalFormatting>
  <conditionalFormatting sqref="Q83">
    <cfRule type="cellIs" dxfId="18121" priority="3290" operator="lessThan">
      <formula>0</formula>
    </cfRule>
  </conditionalFormatting>
  <conditionalFormatting sqref="R83">
    <cfRule type="cellIs" dxfId="18120" priority="3288" operator="lessThan">
      <formula>0.8</formula>
    </cfRule>
    <cfRule type="cellIs" dxfId="18119" priority="3289" operator="greaterThan">
      <formula>1</formula>
    </cfRule>
  </conditionalFormatting>
  <conditionalFormatting sqref="R83">
    <cfRule type="cellIs" dxfId="18118" priority="3286" operator="greaterThan">
      <formula>1</formula>
    </cfRule>
    <cfRule type="cellIs" dxfId="18117" priority="3287" operator="lessThan">
      <formula>0.8</formula>
    </cfRule>
  </conditionalFormatting>
  <conditionalFormatting sqref="P83">
    <cfRule type="cellIs" dxfId="18116" priority="3285" operator="greaterThan">
      <formula>0</formula>
    </cfRule>
  </conditionalFormatting>
  <conditionalFormatting sqref="Q83">
    <cfRule type="cellIs" dxfId="18115" priority="3284" operator="lessThan">
      <formula>0</formula>
    </cfRule>
  </conditionalFormatting>
  <conditionalFormatting sqref="R83">
    <cfRule type="cellIs" dxfId="18114" priority="3282" operator="lessThan">
      <formula>0.8</formula>
    </cfRule>
    <cfRule type="cellIs" dxfId="18113" priority="3283" operator="greaterThan">
      <formula>1</formula>
    </cfRule>
  </conditionalFormatting>
  <conditionalFormatting sqref="R83">
    <cfRule type="cellIs" dxfId="18112" priority="3280" operator="greaterThan">
      <formula>1</formula>
    </cfRule>
    <cfRule type="cellIs" dxfId="18111" priority="3281" operator="lessThan">
      <formula>0.8</formula>
    </cfRule>
  </conditionalFormatting>
  <conditionalFormatting sqref="P83">
    <cfRule type="cellIs" dxfId="18110" priority="3279" operator="greaterThan">
      <formula>0</formula>
    </cfRule>
  </conditionalFormatting>
  <conditionalFormatting sqref="Q83">
    <cfRule type="cellIs" dxfId="18109" priority="3278" operator="lessThan">
      <formula>0</formula>
    </cfRule>
  </conditionalFormatting>
  <conditionalFormatting sqref="R83">
    <cfRule type="cellIs" dxfId="18108" priority="3276" operator="lessThan">
      <formula>0.8</formula>
    </cfRule>
    <cfRule type="cellIs" dxfId="18107" priority="3277" operator="greaterThan">
      <formula>1</formula>
    </cfRule>
  </conditionalFormatting>
  <conditionalFormatting sqref="R83">
    <cfRule type="cellIs" dxfId="18106" priority="3274" operator="greaterThan">
      <formula>1</formula>
    </cfRule>
    <cfRule type="cellIs" dxfId="18105" priority="3275" operator="lessThan">
      <formula>0.8</formula>
    </cfRule>
  </conditionalFormatting>
  <conditionalFormatting sqref="P83">
    <cfRule type="cellIs" dxfId="18104" priority="3273" operator="greaterThan">
      <formula>0</formula>
    </cfRule>
  </conditionalFormatting>
  <conditionalFormatting sqref="Q83">
    <cfRule type="cellIs" dxfId="18103" priority="3272" operator="lessThan">
      <formula>0</formula>
    </cfRule>
  </conditionalFormatting>
  <conditionalFormatting sqref="R83">
    <cfRule type="cellIs" dxfId="18102" priority="3270" operator="lessThan">
      <formula>0.8</formula>
    </cfRule>
    <cfRule type="cellIs" dxfId="18101" priority="3271" operator="greaterThan">
      <formula>1</formula>
    </cfRule>
  </conditionalFormatting>
  <conditionalFormatting sqref="R83">
    <cfRule type="cellIs" dxfId="18100" priority="3268" operator="greaterThan">
      <formula>1</formula>
    </cfRule>
    <cfRule type="cellIs" dxfId="18099" priority="3269" operator="lessThan">
      <formula>0.8</formula>
    </cfRule>
  </conditionalFormatting>
  <conditionalFormatting sqref="P83">
    <cfRule type="cellIs" dxfId="18098" priority="3267" operator="greaterThan">
      <formula>0</formula>
    </cfRule>
  </conditionalFormatting>
  <conditionalFormatting sqref="P83">
    <cfRule type="cellIs" dxfId="18097" priority="3261" operator="greaterThan">
      <formula>0</formula>
    </cfRule>
  </conditionalFormatting>
  <conditionalFormatting sqref="Q83">
    <cfRule type="cellIs" dxfId="18096" priority="3266" operator="lessThan">
      <formula>0</formula>
    </cfRule>
  </conditionalFormatting>
  <conditionalFormatting sqref="R83">
    <cfRule type="cellIs" dxfId="18095" priority="3264" operator="lessThan">
      <formula>0.8</formula>
    </cfRule>
    <cfRule type="cellIs" dxfId="18094" priority="3265" operator="greaterThan">
      <formula>1</formula>
    </cfRule>
  </conditionalFormatting>
  <conditionalFormatting sqref="R83">
    <cfRule type="cellIs" dxfId="18093" priority="3262" operator="greaterThan">
      <formula>1</formula>
    </cfRule>
    <cfRule type="cellIs" dxfId="18092" priority="3263" operator="lessThan">
      <formula>0.8</formula>
    </cfRule>
  </conditionalFormatting>
  <conditionalFormatting sqref="P83">
    <cfRule type="cellIs" dxfId="18091" priority="3255" operator="greaterThan">
      <formula>0</formula>
    </cfRule>
  </conditionalFormatting>
  <conditionalFormatting sqref="Q83">
    <cfRule type="cellIs" dxfId="18090" priority="3260" operator="lessThan">
      <formula>0</formula>
    </cfRule>
  </conditionalFormatting>
  <conditionalFormatting sqref="R83">
    <cfRule type="cellIs" dxfId="18089" priority="3258" operator="lessThan">
      <formula>0.8</formula>
    </cfRule>
    <cfRule type="cellIs" dxfId="18088" priority="3259" operator="greaterThan">
      <formula>1</formula>
    </cfRule>
  </conditionalFormatting>
  <conditionalFormatting sqref="R83">
    <cfRule type="cellIs" dxfId="18087" priority="3256" operator="greaterThan">
      <formula>1</formula>
    </cfRule>
    <cfRule type="cellIs" dxfId="18086" priority="3257" operator="lessThan">
      <formula>0.8</formula>
    </cfRule>
  </conditionalFormatting>
  <conditionalFormatting sqref="R83">
    <cfRule type="cellIs" dxfId="18085" priority="3252" operator="lessThan">
      <formula>0.8</formula>
    </cfRule>
    <cfRule type="cellIs" dxfId="18084" priority="3253" operator="greaterThan">
      <formula>1</formula>
    </cfRule>
  </conditionalFormatting>
  <conditionalFormatting sqref="R83">
    <cfRule type="cellIs" dxfId="18083" priority="3250" operator="greaterThan">
      <formula>1</formula>
    </cfRule>
    <cfRule type="cellIs" dxfId="18082" priority="3251" operator="lessThan">
      <formula>0.8</formula>
    </cfRule>
  </conditionalFormatting>
  <conditionalFormatting sqref="P83">
    <cfRule type="cellIs" dxfId="18081" priority="3249" operator="greaterThan">
      <formula>0</formula>
    </cfRule>
  </conditionalFormatting>
  <conditionalFormatting sqref="Q83">
    <cfRule type="cellIs" dxfId="18080" priority="3254" operator="lessThan">
      <formula>0</formula>
    </cfRule>
  </conditionalFormatting>
  <conditionalFormatting sqref="Q83">
    <cfRule type="cellIs" dxfId="18079" priority="3248" operator="lessThan">
      <formula>0</formula>
    </cfRule>
  </conditionalFormatting>
  <conditionalFormatting sqref="R83">
    <cfRule type="cellIs" dxfId="18078" priority="3246" operator="lessThan">
      <formula>0.8</formula>
    </cfRule>
    <cfRule type="cellIs" dxfId="18077" priority="3247" operator="greaterThan">
      <formula>1</formula>
    </cfRule>
  </conditionalFormatting>
  <conditionalFormatting sqref="R83">
    <cfRule type="cellIs" dxfId="18076" priority="3244" operator="greaterThan">
      <formula>1</formula>
    </cfRule>
    <cfRule type="cellIs" dxfId="18075" priority="3245" operator="lessThan">
      <formula>0.8</formula>
    </cfRule>
  </conditionalFormatting>
  <conditionalFormatting sqref="P83">
    <cfRule type="cellIs" dxfId="18074" priority="3243" operator="greaterThan">
      <formula>0</formula>
    </cfRule>
  </conditionalFormatting>
  <conditionalFormatting sqref="Q83">
    <cfRule type="cellIs" dxfId="18073" priority="3242" operator="lessThan">
      <formula>0</formula>
    </cfRule>
  </conditionalFormatting>
  <conditionalFormatting sqref="R83">
    <cfRule type="cellIs" dxfId="18072" priority="3240" operator="lessThan">
      <formula>0.8</formula>
    </cfRule>
    <cfRule type="cellIs" dxfId="18071" priority="3241" operator="greaterThan">
      <formula>1</formula>
    </cfRule>
  </conditionalFormatting>
  <conditionalFormatting sqref="R83">
    <cfRule type="cellIs" dxfId="18070" priority="3238" operator="greaterThan">
      <formula>1</formula>
    </cfRule>
    <cfRule type="cellIs" dxfId="18069" priority="3239" operator="lessThan">
      <formula>0.8</formula>
    </cfRule>
  </conditionalFormatting>
  <conditionalFormatting sqref="P83">
    <cfRule type="cellIs" dxfId="18068" priority="3237" operator="greaterThan">
      <formula>0</formula>
    </cfRule>
  </conditionalFormatting>
  <conditionalFormatting sqref="Q83">
    <cfRule type="cellIs" dxfId="18067" priority="3236" operator="lessThan">
      <formula>0</formula>
    </cfRule>
  </conditionalFormatting>
  <conditionalFormatting sqref="R83">
    <cfRule type="cellIs" dxfId="18066" priority="3234" operator="lessThan">
      <formula>0.8</formula>
    </cfRule>
    <cfRule type="cellIs" dxfId="18065" priority="3235" operator="greaterThan">
      <formula>1</formula>
    </cfRule>
  </conditionalFormatting>
  <conditionalFormatting sqref="R83">
    <cfRule type="cellIs" dxfId="18064" priority="3232" operator="greaterThan">
      <formula>1</formula>
    </cfRule>
    <cfRule type="cellIs" dxfId="18063" priority="3233" operator="lessThan">
      <formula>0.8</formula>
    </cfRule>
  </conditionalFormatting>
  <conditionalFormatting sqref="P83">
    <cfRule type="cellIs" dxfId="18062" priority="3231" operator="greaterThan">
      <formula>0</formula>
    </cfRule>
  </conditionalFormatting>
  <conditionalFormatting sqref="Q83">
    <cfRule type="cellIs" dxfId="18061" priority="3230" operator="lessThan">
      <formula>0</formula>
    </cfRule>
  </conditionalFormatting>
  <conditionalFormatting sqref="R83">
    <cfRule type="cellIs" dxfId="18060" priority="3228" operator="lessThan">
      <formula>0.8</formula>
    </cfRule>
    <cfRule type="cellIs" dxfId="18059" priority="3229" operator="greaterThan">
      <formula>1</formula>
    </cfRule>
  </conditionalFormatting>
  <conditionalFormatting sqref="R83">
    <cfRule type="cellIs" dxfId="18058" priority="3226" operator="greaterThan">
      <formula>1</formula>
    </cfRule>
    <cfRule type="cellIs" dxfId="18057" priority="3227" operator="lessThan">
      <formula>0.8</formula>
    </cfRule>
  </conditionalFormatting>
  <conditionalFormatting sqref="P83">
    <cfRule type="cellIs" dxfId="18056" priority="3225" operator="greaterThan">
      <formula>0</formula>
    </cfRule>
  </conditionalFormatting>
  <conditionalFormatting sqref="P83">
    <cfRule type="cellIs" dxfId="18055" priority="3219" operator="greaterThan">
      <formula>0</formula>
    </cfRule>
  </conditionalFormatting>
  <conditionalFormatting sqref="Q83">
    <cfRule type="cellIs" dxfId="18054" priority="3224" operator="lessThan">
      <formula>0</formula>
    </cfRule>
  </conditionalFormatting>
  <conditionalFormatting sqref="R83">
    <cfRule type="cellIs" dxfId="18053" priority="3222" operator="lessThan">
      <formula>0.8</formula>
    </cfRule>
    <cfRule type="cellIs" dxfId="18052" priority="3223" operator="greaterThan">
      <formula>1</formula>
    </cfRule>
  </conditionalFormatting>
  <conditionalFormatting sqref="R83">
    <cfRule type="cellIs" dxfId="18051" priority="3220" operator="greaterThan">
      <formula>1</formula>
    </cfRule>
    <cfRule type="cellIs" dxfId="18050" priority="3221" operator="lessThan">
      <formula>0.8</formula>
    </cfRule>
  </conditionalFormatting>
  <conditionalFormatting sqref="P83">
    <cfRule type="cellIs" dxfId="18049" priority="3213" operator="greaterThan">
      <formula>0</formula>
    </cfRule>
  </conditionalFormatting>
  <conditionalFormatting sqref="Q83">
    <cfRule type="cellIs" dxfId="18048" priority="3218" operator="lessThan">
      <formula>0</formula>
    </cfRule>
  </conditionalFormatting>
  <conditionalFormatting sqref="R83">
    <cfRule type="cellIs" dxfId="18047" priority="3216" operator="lessThan">
      <formula>0.8</formula>
    </cfRule>
    <cfRule type="cellIs" dxfId="18046" priority="3217" operator="greaterThan">
      <formula>1</formula>
    </cfRule>
  </conditionalFormatting>
  <conditionalFormatting sqref="R83">
    <cfRule type="cellIs" dxfId="18045" priority="3214" operator="greaterThan">
      <formula>1</formula>
    </cfRule>
    <cfRule type="cellIs" dxfId="18044" priority="3215" operator="lessThan">
      <formula>0.8</formula>
    </cfRule>
  </conditionalFormatting>
  <conditionalFormatting sqref="R83">
    <cfRule type="cellIs" dxfId="18043" priority="3210" operator="lessThan">
      <formula>0.8</formula>
    </cfRule>
    <cfRule type="cellIs" dxfId="18042" priority="3211" operator="greaterThan">
      <formula>1</formula>
    </cfRule>
  </conditionalFormatting>
  <conditionalFormatting sqref="R83">
    <cfRule type="cellIs" dxfId="18041" priority="3208" operator="greaterThan">
      <formula>1</formula>
    </cfRule>
    <cfRule type="cellIs" dxfId="18040" priority="3209" operator="lessThan">
      <formula>0.8</formula>
    </cfRule>
  </conditionalFormatting>
  <conditionalFormatting sqref="P83">
    <cfRule type="cellIs" dxfId="18039" priority="3207" operator="greaterThan">
      <formula>0</formula>
    </cfRule>
  </conditionalFormatting>
  <conditionalFormatting sqref="Q83">
    <cfRule type="cellIs" dxfId="18038" priority="3212" operator="lessThan">
      <formula>0</formula>
    </cfRule>
  </conditionalFormatting>
  <conditionalFormatting sqref="Q83">
    <cfRule type="cellIs" dxfId="18037" priority="3206" operator="lessThan">
      <formula>0</formula>
    </cfRule>
  </conditionalFormatting>
  <conditionalFormatting sqref="R83">
    <cfRule type="cellIs" dxfId="18036" priority="3204" operator="lessThan">
      <formula>0.8</formula>
    </cfRule>
    <cfRule type="cellIs" dxfId="18035" priority="3205" operator="greaterThan">
      <formula>1</formula>
    </cfRule>
  </conditionalFormatting>
  <conditionalFormatting sqref="R83">
    <cfRule type="cellIs" dxfId="18034" priority="3202" operator="greaterThan">
      <formula>1</formula>
    </cfRule>
    <cfRule type="cellIs" dxfId="18033" priority="3203" operator="lessThan">
      <formula>0.8</formula>
    </cfRule>
  </conditionalFormatting>
  <conditionalFormatting sqref="P83">
    <cfRule type="cellIs" dxfId="18032" priority="3201" operator="greaterThan">
      <formula>0</formula>
    </cfRule>
  </conditionalFormatting>
  <conditionalFormatting sqref="P83">
    <cfRule type="cellIs" dxfId="18031" priority="3195" operator="greaterThan">
      <formula>0</formula>
    </cfRule>
  </conditionalFormatting>
  <conditionalFormatting sqref="Q83">
    <cfRule type="cellIs" dxfId="18030" priority="3200" operator="lessThan">
      <formula>0</formula>
    </cfRule>
  </conditionalFormatting>
  <conditionalFormatting sqref="R83">
    <cfRule type="cellIs" dxfId="18029" priority="3198" operator="lessThan">
      <formula>0.8</formula>
    </cfRule>
    <cfRule type="cellIs" dxfId="18028" priority="3199" operator="greaterThan">
      <formula>1</formula>
    </cfRule>
  </conditionalFormatting>
  <conditionalFormatting sqref="R83">
    <cfRule type="cellIs" dxfId="18027" priority="3196" operator="greaterThan">
      <formula>1</formula>
    </cfRule>
    <cfRule type="cellIs" dxfId="18026" priority="3197" operator="lessThan">
      <formula>0.8</formula>
    </cfRule>
  </conditionalFormatting>
  <conditionalFormatting sqref="P83">
    <cfRule type="cellIs" dxfId="18025" priority="3189" operator="greaterThan">
      <formula>0</formula>
    </cfRule>
  </conditionalFormatting>
  <conditionalFormatting sqref="Q83">
    <cfRule type="cellIs" dxfId="18024" priority="3194" operator="lessThan">
      <formula>0</formula>
    </cfRule>
  </conditionalFormatting>
  <conditionalFormatting sqref="R83">
    <cfRule type="cellIs" dxfId="18023" priority="3192" operator="lessThan">
      <formula>0.8</formula>
    </cfRule>
    <cfRule type="cellIs" dxfId="18022" priority="3193" operator="greaterThan">
      <formula>1</formula>
    </cfRule>
  </conditionalFormatting>
  <conditionalFormatting sqref="R83">
    <cfRule type="cellIs" dxfId="18021" priority="3190" operator="greaterThan">
      <formula>1</formula>
    </cfRule>
    <cfRule type="cellIs" dxfId="18020" priority="3191" operator="lessThan">
      <formula>0.8</formula>
    </cfRule>
  </conditionalFormatting>
  <conditionalFormatting sqref="R83">
    <cfRule type="cellIs" dxfId="18019" priority="3186" operator="lessThan">
      <formula>0.8</formula>
    </cfRule>
    <cfRule type="cellIs" dxfId="18018" priority="3187" operator="greaterThan">
      <formula>1</formula>
    </cfRule>
  </conditionalFormatting>
  <conditionalFormatting sqref="R83">
    <cfRule type="cellIs" dxfId="18017" priority="3184" operator="greaterThan">
      <formula>1</formula>
    </cfRule>
    <cfRule type="cellIs" dxfId="18016" priority="3185" operator="lessThan">
      <formula>0.8</formula>
    </cfRule>
  </conditionalFormatting>
  <conditionalFormatting sqref="P83">
    <cfRule type="cellIs" dxfId="18015" priority="3183" operator="greaterThan">
      <formula>0</formula>
    </cfRule>
  </conditionalFormatting>
  <conditionalFormatting sqref="Q83">
    <cfRule type="cellIs" dxfId="18014" priority="3188" operator="lessThan">
      <formula>0</formula>
    </cfRule>
  </conditionalFormatting>
  <conditionalFormatting sqref="P83">
    <cfRule type="cellIs" dxfId="18013" priority="3177" operator="greaterThan">
      <formula>0</formula>
    </cfRule>
  </conditionalFormatting>
  <conditionalFormatting sqref="Q83">
    <cfRule type="cellIs" dxfId="18012" priority="3182" operator="lessThan">
      <formula>0</formula>
    </cfRule>
  </conditionalFormatting>
  <conditionalFormatting sqref="R83">
    <cfRule type="cellIs" dxfId="18011" priority="3180" operator="lessThan">
      <formula>0.8</formula>
    </cfRule>
    <cfRule type="cellIs" dxfId="18010" priority="3181" operator="greaterThan">
      <formula>1</formula>
    </cfRule>
  </conditionalFormatting>
  <conditionalFormatting sqref="R83">
    <cfRule type="cellIs" dxfId="18009" priority="3178" operator="greaterThan">
      <formula>1</formula>
    </cfRule>
    <cfRule type="cellIs" dxfId="18008" priority="3179" operator="lessThan">
      <formula>0.8</formula>
    </cfRule>
  </conditionalFormatting>
  <conditionalFormatting sqref="R83">
    <cfRule type="cellIs" dxfId="18007" priority="3174" operator="lessThan">
      <formula>0.8</formula>
    </cfRule>
    <cfRule type="cellIs" dxfId="18006" priority="3175" operator="greaterThan">
      <formula>1</formula>
    </cfRule>
  </conditionalFormatting>
  <conditionalFormatting sqref="R83">
    <cfRule type="cellIs" dxfId="18005" priority="3172" operator="greaterThan">
      <formula>1</formula>
    </cfRule>
    <cfRule type="cellIs" dxfId="18004" priority="3173" operator="lessThan">
      <formula>0.8</formula>
    </cfRule>
  </conditionalFormatting>
  <conditionalFormatting sqref="P83">
    <cfRule type="cellIs" dxfId="18003" priority="3171" operator="greaterThan">
      <formula>0</formula>
    </cfRule>
  </conditionalFormatting>
  <conditionalFormatting sqref="Q83">
    <cfRule type="cellIs" dxfId="18002" priority="3176" operator="lessThan">
      <formula>0</formula>
    </cfRule>
  </conditionalFormatting>
  <conditionalFormatting sqref="R83">
    <cfRule type="cellIs" dxfId="18001" priority="3168" operator="lessThan">
      <formula>0.8</formula>
    </cfRule>
    <cfRule type="cellIs" dxfId="18000" priority="3169" operator="greaterThan">
      <formula>1</formula>
    </cfRule>
  </conditionalFormatting>
  <conditionalFormatting sqref="R83">
    <cfRule type="cellIs" dxfId="17999" priority="3166" operator="greaterThan">
      <formula>1</formula>
    </cfRule>
    <cfRule type="cellIs" dxfId="17998" priority="3167" operator="lessThan">
      <formula>0.8</formula>
    </cfRule>
  </conditionalFormatting>
  <conditionalFormatting sqref="P83">
    <cfRule type="cellIs" dxfId="17997" priority="3165" operator="greaterThan">
      <formula>0</formula>
    </cfRule>
  </conditionalFormatting>
  <conditionalFormatting sqref="Q83">
    <cfRule type="cellIs" dxfId="17996" priority="3170" operator="lessThan">
      <formula>0</formula>
    </cfRule>
  </conditionalFormatting>
  <conditionalFormatting sqref="Q83">
    <cfRule type="cellIs" dxfId="17995" priority="3164" operator="lessThan">
      <formula>0</formula>
    </cfRule>
  </conditionalFormatting>
  <conditionalFormatting sqref="R83">
    <cfRule type="cellIs" dxfId="17994" priority="3162" operator="lessThan">
      <formula>0.8</formula>
    </cfRule>
    <cfRule type="cellIs" dxfId="17993" priority="3163" operator="greaterThan">
      <formula>1</formula>
    </cfRule>
  </conditionalFormatting>
  <conditionalFormatting sqref="R83">
    <cfRule type="cellIs" dxfId="17992" priority="3160" operator="greaterThan">
      <formula>1</formula>
    </cfRule>
    <cfRule type="cellIs" dxfId="17991" priority="3161" operator="lessThan">
      <formula>0.8</formula>
    </cfRule>
  </conditionalFormatting>
  <conditionalFormatting sqref="P83">
    <cfRule type="cellIs" dxfId="17990" priority="3159" operator="greaterThan">
      <formula>0</formula>
    </cfRule>
  </conditionalFormatting>
  <conditionalFormatting sqref="Q83">
    <cfRule type="cellIs" dxfId="17989" priority="3153" operator="lessThan">
      <formula>0</formula>
    </cfRule>
  </conditionalFormatting>
  <conditionalFormatting sqref="R83">
    <cfRule type="cellIs" dxfId="17988" priority="3157" operator="lessThan">
      <formula>0.8</formula>
    </cfRule>
    <cfRule type="cellIs" dxfId="17987" priority="3158" operator="greaterThan">
      <formula>1</formula>
    </cfRule>
  </conditionalFormatting>
  <conditionalFormatting sqref="R83">
    <cfRule type="cellIs" dxfId="17986" priority="3155" operator="greaterThan">
      <formula>1</formula>
    </cfRule>
    <cfRule type="cellIs" dxfId="17985" priority="3156" operator="lessThan">
      <formula>0.8</formula>
    </cfRule>
  </conditionalFormatting>
  <conditionalFormatting sqref="P83">
    <cfRule type="cellIs" dxfId="17984" priority="3154" operator="greaterThan">
      <formula>0</formula>
    </cfRule>
  </conditionalFormatting>
  <conditionalFormatting sqref="Q83">
    <cfRule type="cellIs" dxfId="17983" priority="3152" operator="lessThan">
      <formula>0</formula>
    </cfRule>
  </conditionalFormatting>
  <conditionalFormatting sqref="R83">
    <cfRule type="cellIs" dxfId="17982" priority="3150" operator="lessThan">
      <formula>0.8</formula>
    </cfRule>
    <cfRule type="cellIs" dxfId="17981" priority="3151" operator="greaterThan">
      <formula>1</formula>
    </cfRule>
  </conditionalFormatting>
  <conditionalFormatting sqref="R83">
    <cfRule type="cellIs" dxfId="17980" priority="3148" operator="greaterThan">
      <formula>1</formula>
    </cfRule>
    <cfRule type="cellIs" dxfId="17979" priority="3149" operator="lessThan">
      <formula>0.8</formula>
    </cfRule>
  </conditionalFormatting>
  <conditionalFormatting sqref="P83">
    <cfRule type="cellIs" dxfId="17978" priority="3147" operator="greaterThan">
      <formula>0</formula>
    </cfRule>
  </conditionalFormatting>
  <conditionalFormatting sqref="Q83">
    <cfRule type="cellIs" dxfId="17977" priority="3146" operator="lessThan">
      <formula>0</formula>
    </cfRule>
  </conditionalFormatting>
  <conditionalFormatting sqref="R83">
    <cfRule type="cellIs" dxfId="17976" priority="3144" operator="lessThan">
      <formula>0.8</formula>
    </cfRule>
    <cfRule type="cellIs" dxfId="17975" priority="3145" operator="greaterThan">
      <formula>1</formula>
    </cfRule>
  </conditionalFormatting>
  <conditionalFormatting sqref="R83">
    <cfRule type="cellIs" dxfId="17974" priority="3142" operator="greaterThan">
      <formula>1</formula>
    </cfRule>
    <cfRule type="cellIs" dxfId="17973" priority="3143" operator="lessThan">
      <formula>0.8</formula>
    </cfRule>
  </conditionalFormatting>
  <conditionalFormatting sqref="P83">
    <cfRule type="cellIs" dxfId="17972" priority="3141" operator="greaterThan">
      <formula>0</formula>
    </cfRule>
  </conditionalFormatting>
  <conditionalFormatting sqref="Q83">
    <cfRule type="cellIs" dxfId="17971" priority="3140" operator="lessThan">
      <formula>0</formula>
    </cfRule>
  </conditionalFormatting>
  <conditionalFormatting sqref="R83">
    <cfRule type="cellIs" dxfId="17970" priority="3138" operator="lessThan">
      <formula>0.8</formula>
    </cfRule>
    <cfRule type="cellIs" dxfId="17969" priority="3139" operator="greaterThan">
      <formula>1</formula>
    </cfRule>
  </conditionalFormatting>
  <conditionalFormatting sqref="R83">
    <cfRule type="cellIs" dxfId="17968" priority="3136" operator="greaterThan">
      <formula>1</formula>
    </cfRule>
    <cfRule type="cellIs" dxfId="17967" priority="3137" operator="lessThan">
      <formula>0.8</formula>
    </cfRule>
  </conditionalFormatting>
  <conditionalFormatting sqref="P83">
    <cfRule type="cellIs" dxfId="17966" priority="3135" operator="greaterThan">
      <formula>0</formula>
    </cfRule>
  </conditionalFormatting>
  <conditionalFormatting sqref="Q83">
    <cfRule type="cellIs" dxfId="17965" priority="3134" operator="lessThan">
      <formula>0</formula>
    </cfRule>
  </conditionalFormatting>
  <conditionalFormatting sqref="R83">
    <cfRule type="cellIs" dxfId="17964" priority="3132" operator="lessThan">
      <formula>0.8</formula>
    </cfRule>
    <cfRule type="cellIs" dxfId="17963" priority="3133" operator="greaterThan">
      <formula>1</formula>
    </cfRule>
  </conditionalFormatting>
  <conditionalFormatting sqref="R83">
    <cfRule type="cellIs" dxfId="17962" priority="3130" operator="greaterThan">
      <formula>1</formula>
    </cfRule>
    <cfRule type="cellIs" dxfId="17961" priority="3131" operator="lessThan">
      <formula>0.8</formula>
    </cfRule>
  </conditionalFormatting>
  <conditionalFormatting sqref="P83">
    <cfRule type="cellIs" dxfId="17960" priority="3129" operator="greaterThan">
      <formula>0</formula>
    </cfRule>
  </conditionalFormatting>
  <conditionalFormatting sqref="Q83">
    <cfRule type="cellIs" dxfId="17959" priority="3128" operator="lessThan">
      <formula>0</formula>
    </cfRule>
  </conditionalFormatting>
  <conditionalFormatting sqref="R83">
    <cfRule type="cellIs" dxfId="17958" priority="3126" operator="lessThan">
      <formula>0.8</formula>
    </cfRule>
    <cfRule type="cellIs" dxfId="17957" priority="3127" operator="greaterThan">
      <formula>1</formula>
    </cfRule>
  </conditionalFormatting>
  <conditionalFormatting sqref="R83">
    <cfRule type="cellIs" dxfId="17956" priority="3124" operator="greaterThan">
      <formula>1</formula>
    </cfRule>
    <cfRule type="cellIs" dxfId="17955" priority="3125" operator="lessThan">
      <formula>0.8</formula>
    </cfRule>
  </conditionalFormatting>
  <conditionalFormatting sqref="P83">
    <cfRule type="cellIs" dxfId="17954" priority="3123" operator="greaterThan">
      <formula>0</formula>
    </cfRule>
  </conditionalFormatting>
  <conditionalFormatting sqref="P83">
    <cfRule type="cellIs" dxfId="17953" priority="3117" operator="greaterThan">
      <formula>0</formula>
    </cfRule>
  </conditionalFormatting>
  <conditionalFormatting sqref="Q83">
    <cfRule type="cellIs" dxfId="17952" priority="3122" operator="lessThan">
      <formula>0</formula>
    </cfRule>
  </conditionalFormatting>
  <conditionalFormatting sqref="R83">
    <cfRule type="cellIs" dxfId="17951" priority="3120" operator="lessThan">
      <formula>0.8</formula>
    </cfRule>
    <cfRule type="cellIs" dxfId="17950" priority="3121" operator="greaterThan">
      <formula>1</formula>
    </cfRule>
  </conditionalFormatting>
  <conditionalFormatting sqref="R83">
    <cfRule type="cellIs" dxfId="17949" priority="3118" operator="greaterThan">
      <formula>1</formula>
    </cfRule>
    <cfRule type="cellIs" dxfId="17948" priority="3119" operator="lessThan">
      <formula>0.8</formula>
    </cfRule>
  </conditionalFormatting>
  <conditionalFormatting sqref="P83">
    <cfRule type="cellIs" dxfId="17947" priority="3111" operator="greaterThan">
      <formula>0</formula>
    </cfRule>
  </conditionalFormatting>
  <conditionalFormatting sqref="Q83">
    <cfRule type="cellIs" dxfId="17946" priority="3116" operator="lessThan">
      <formula>0</formula>
    </cfRule>
  </conditionalFormatting>
  <conditionalFormatting sqref="R83">
    <cfRule type="cellIs" dxfId="17945" priority="3114" operator="lessThan">
      <formula>0.8</formula>
    </cfRule>
    <cfRule type="cellIs" dxfId="17944" priority="3115" operator="greaterThan">
      <formula>1</formula>
    </cfRule>
  </conditionalFormatting>
  <conditionalFormatting sqref="R83">
    <cfRule type="cellIs" dxfId="17943" priority="3112" operator="greaterThan">
      <formula>1</formula>
    </cfRule>
    <cfRule type="cellIs" dxfId="17942" priority="3113" operator="lessThan">
      <formula>0.8</formula>
    </cfRule>
  </conditionalFormatting>
  <conditionalFormatting sqref="R83">
    <cfRule type="cellIs" dxfId="17941" priority="3108" operator="lessThan">
      <formula>0.8</formula>
    </cfRule>
    <cfRule type="cellIs" dxfId="17940" priority="3109" operator="greaterThan">
      <formula>1</formula>
    </cfRule>
  </conditionalFormatting>
  <conditionalFormatting sqref="R83">
    <cfRule type="cellIs" dxfId="17939" priority="3106" operator="greaterThan">
      <formula>1</formula>
    </cfRule>
    <cfRule type="cellIs" dxfId="17938" priority="3107" operator="lessThan">
      <formula>0.8</formula>
    </cfRule>
  </conditionalFormatting>
  <conditionalFormatting sqref="P83">
    <cfRule type="cellIs" dxfId="17937" priority="3105" operator="greaterThan">
      <formula>0</formula>
    </cfRule>
  </conditionalFormatting>
  <conditionalFormatting sqref="Q83">
    <cfRule type="cellIs" dxfId="17936" priority="3110" operator="lessThan">
      <formula>0</formula>
    </cfRule>
  </conditionalFormatting>
  <conditionalFormatting sqref="Q83">
    <cfRule type="cellIs" dxfId="17935" priority="3099" operator="lessThan">
      <formula>0</formula>
    </cfRule>
  </conditionalFormatting>
  <conditionalFormatting sqref="P83">
    <cfRule type="cellIs" dxfId="17934" priority="3100" operator="greaterThan">
      <formula>0</formula>
    </cfRule>
  </conditionalFormatting>
  <conditionalFormatting sqref="R83">
    <cfRule type="cellIs" dxfId="17933" priority="3103" operator="lessThan">
      <formula>0.8</formula>
    </cfRule>
    <cfRule type="cellIs" dxfId="17932" priority="3104" operator="greaterThan">
      <formula>1</formula>
    </cfRule>
  </conditionalFormatting>
  <conditionalFormatting sqref="R83">
    <cfRule type="cellIs" dxfId="17931" priority="3101" operator="greaterThan">
      <formula>1</formula>
    </cfRule>
    <cfRule type="cellIs" dxfId="17930" priority="3102" operator="lessThan">
      <formula>0.8</formula>
    </cfRule>
  </conditionalFormatting>
  <conditionalFormatting sqref="Q83">
    <cfRule type="cellIs" dxfId="17929" priority="3093" operator="lessThan">
      <formula>0</formula>
    </cfRule>
  </conditionalFormatting>
  <conditionalFormatting sqref="R83">
    <cfRule type="cellIs" dxfId="17928" priority="3097" operator="lessThan">
      <formula>0.8</formula>
    </cfRule>
    <cfRule type="cellIs" dxfId="17927" priority="3098" operator="greaterThan">
      <formula>1</formula>
    </cfRule>
  </conditionalFormatting>
  <conditionalFormatting sqref="R83">
    <cfRule type="cellIs" dxfId="17926" priority="3095" operator="greaterThan">
      <formula>1</formula>
    </cfRule>
    <cfRule type="cellIs" dxfId="17925" priority="3096" operator="lessThan">
      <formula>0.8</formula>
    </cfRule>
  </conditionalFormatting>
  <conditionalFormatting sqref="P83">
    <cfRule type="cellIs" dxfId="17924" priority="3094" operator="greaterThan">
      <formula>0</formula>
    </cfRule>
  </conditionalFormatting>
  <conditionalFormatting sqref="Q83">
    <cfRule type="cellIs" dxfId="17923" priority="3092" operator="lessThan">
      <formula>0</formula>
    </cfRule>
  </conditionalFormatting>
  <conditionalFormatting sqref="R83">
    <cfRule type="cellIs" dxfId="17922" priority="3090" operator="lessThan">
      <formula>0.8</formula>
    </cfRule>
    <cfRule type="cellIs" dxfId="17921" priority="3091" operator="greaterThan">
      <formula>1</formula>
    </cfRule>
  </conditionalFormatting>
  <conditionalFormatting sqref="R83">
    <cfRule type="cellIs" dxfId="17920" priority="3088" operator="greaterThan">
      <formula>1</formula>
    </cfRule>
    <cfRule type="cellIs" dxfId="17919" priority="3089" operator="lessThan">
      <formula>0.8</formula>
    </cfRule>
  </conditionalFormatting>
  <conditionalFormatting sqref="P83">
    <cfRule type="cellIs" dxfId="17918" priority="3087" operator="greaterThan">
      <formula>0</formula>
    </cfRule>
  </conditionalFormatting>
  <conditionalFormatting sqref="Q83">
    <cfRule type="cellIs" dxfId="17917" priority="3086" operator="lessThan">
      <formula>0</formula>
    </cfRule>
  </conditionalFormatting>
  <conditionalFormatting sqref="R83">
    <cfRule type="cellIs" dxfId="17916" priority="3084" operator="lessThan">
      <formula>0.8</formula>
    </cfRule>
    <cfRule type="cellIs" dxfId="17915" priority="3085" operator="greaterThan">
      <formula>1</formula>
    </cfRule>
  </conditionalFormatting>
  <conditionalFormatting sqref="R83">
    <cfRule type="cellIs" dxfId="17914" priority="3082" operator="greaterThan">
      <formula>1</formula>
    </cfRule>
    <cfRule type="cellIs" dxfId="17913" priority="3083" operator="lessThan">
      <formula>0.8</formula>
    </cfRule>
  </conditionalFormatting>
  <conditionalFormatting sqref="P83">
    <cfRule type="cellIs" dxfId="17912" priority="3081" operator="greaterThan">
      <formula>0</formula>
    </cfRule>
  </conditionalFormatting>
  <conditionalFormatting sqref="Q83">
    <cfRule type="cellIs" dxfId="17911" priority="3080" operator="lessThan">
      <formula>0</formula>
    </cfRule>
  </conditionalFormatting>
  <conditionalFormatting sqref="R83">
    <cfRule type="cellIs" dxfId="17910" priority="3078" operator="lessThan">
      <formula>0.8</formula>
    </cfRule>
    <cfRule type="cellIs" dxfId="17909" priority="3079" operator="greaterThan">
      <formula>1</formula>
    </cfRule>
  </conditionalFormatting>
  <conditionalFormatting sqref="R83">
    <cfRule type="cellIs" dxfId="17908" priority="3076" operator="greaterThan">
      <formula>1</formula>
    </cfRule>
    <cfRule type="cellIs" dxfId="17907" priority="3077" operator="lessThan">
      <formula>0.8</formula>
    </cfRule>
  </conditionalFormatting>
  <conditionalFormatting sqref="P83">
    <cfRule type="cellIs" dxfId="17906" priority="3075" operator="greaterThan">
      <formula>0</formula>
    </cfRule>
  </conditionalFormatting>
  <conditionalFormatting sqref="Q83">
    <cfRule type="cellIs" dxfId="17905" priority="3074" operator="lessThan">
      <formula>0</formula>
    </cfRule>
  </conditionalFormatting>
  <conditionalFormatting sqref="R83">
    <cfRule type="cellIs" dxfId="17904" priority="3072" operator="lessThan">
      <formula>0.8</formula>
    </cfRule>
    <cfRule type="cellIs" dxfId="17903" priority="3073" operator="greaterThan">
      <formula>1</formula>
    </cfRule>
  </conditionalFormatting>
  <conditionalFormatting sqref="R83">
    <cfRule type="cellIs" dxfId="17902" priority="3070" operator="greaterThan">
      <formula>1</formula>
    </cfRule>
    <cfRule type="cellIs" dxfId="17901" priority="3071" operator="lessThan">
      <formula>0.8</formula>
    </cfRule>
  </conditionalFormatting>
  <conditionalFormatting sqref="P83">
    <cfRule type="cellIs" dxfId="17900" priority="3069" operator="greaterThan">
      <formula>0</formula>
    </cfRule>
  </conditionalFormatting>
  <conditionalFormatting sqref="Q83">
    <cfRule type="cellIs" dxfId="17899" priority="3068" operator="lessThan">
      <formula>0</formula>
    </cfRule>
  </conditionalFormatting>
  <conditionalFormatting sqref="R83">
    <cfRule type="cellIs" dxfId="17898" priority="3066" operator="lessThan">
      <formula>0.8</formula>
    </cfRule>
    <cfRule type="cellIs" dxfId="17897" priority="3067" operator="greaterThan">
      <formula>1</formula>
    </cfRule>
  </conditionalFormatting>
  <conditionalFormatting sqref="R83">
    <cfRule type="cellIs" dxfId="17896" priority="3064" operator="greaterThan">
      <formula>1</formula>
    </cfRule>
    <cfRule type="cellIs" dxfId="17895" priority="3065" operator="lessThan">
      <formula>0.8</formula>
    </cfRule>
  </conditionalFormatting>
  <conditionalFormatting sqref="P83">
    <cfRule type="cellIs" dxfId="17894" priority="3063" operator="greaterThan">
      <formula>0</formula>
    </cfRule>
  </conditionalFormatting>
  <conditionalFormatting sqref="Q83">
    <cfRule type="cellIs" dxfId="17893" priority="3062" operator="lessThan">
      <formula>0</formula>
    </cfRule>
  </conditionalFormatting>
  <conditionalFormatting sqref="R83">
    <cfRule type="cellIs" dxfId="17892" priority="3060" operator="lessThan">
      <formula>0.8</formula>
    </cfRule>
    <cfRule type="cellIs" dxfId="17891" priority="3061" operator="greaterThan">
      <formula>1</formula>
    </cfRule>
  </conditionalFormatting>
  <conditionalFormatting sqref="R83">
    <cfRule type="cellIs" dxfId="17890" priority="3058" operator="greaterThan">
      <formula>1</formula>
    </cfRule>
    <cfRule type="cellIs" dxfId="17889" priority="3059" operator="lessThan">
      <formula>0.8</formula>
    </cfRule>
  </conditionalFormatting>
  <conditionalFormatting sqref="P83">
    <cfRule type="cellIs" dxfId="17888" priority="3057" operator="greaterThan">
      <formula>0</formula>
    </cfRule>
  </conditionalFormatting>
  <conditionalFormatting sqref="Q83">
    <cfRule type="cellIs" dxfId="17887" priority="3056" operator="lessThan">
      <formula>0</formula>
    </cfRule>
  </conditionalFormatting>
  <conditionalFormatting sqref="R83">
    <cfRule type="cellIs" dxfId="17886" priority="3054" operator="lessThan">
      <formula>0.8</formula>
    </cfRule>
    <cfRule type="cellIs" dxfId="17885" priority="3055" operator="greaterThan">
      <formula>1</formula>
    </cfRule>
  </conditionalFormatting>
  <conditionalFormatting sqref="R83">
    <cfRule type="cellIs" dxfId="17884" priority="3052" operator="greaterThan">
      <formula>1</formula>
    </cfRule>
    <cfRule type="cellIs" dxfId="17883" priority="3053" operator="lessThan">
      <formula>0.8</formula>
    </cfRule>
  </conditionalFormatting>
  <conditionalFormatting sqref="P83">
    <cfRule type="cellIs" dxfId="17882" priority="3051" operator="greaterThan">
      <formula>0</formula>
    </cfRule>
  </conditionalFormatting>
  <conditionalFormatting sqref="P83">
    <cfRule type="cellIs" dxfId="17881" priority="3045" operator="greaterThan">
      <formula>0</formula>
    </cfRule>
  </conditionalFormatting>
  <conditionalFormatting sqref="Q83">
    <cfRule type="cellIs" dxfId="17880" priority="3050" operator="lessThan">
      <formula>0</formula>
    </cfRule>
  </conditionalFormatting>
  <conditionalFormatting sqref="R83">
    <cfRule type="cellIs" dxfId="17879" priority="3048" operator="lessThan">
      <formula>0.8</formula>
    </cfRule>
    <cfRule type="cellIs" dxfId="17878" priority="3049" operator="greaterThan">
      <formula>1</formula>
    </cfRule>
  </conditionalFormatting>
  <conditionalFormatting sqref="R83">
    <cfRule type="cellIs" dxfId="17877" priority="3046" operator="greaterThan">
      <formula>1</formula>
    </cfRule>
    <cfRule type="cellIs" dxfId="17876" priority="3047" operator="lessThan">
      <formula>0.8</formula>
    </cfRule>
  </conditionalFormatting>
  <conditionalFormatting sqref="P83">
    <cfRule type="cellIs" dxfId="17875" priority="3039" operator="greaterThan">
      <formula>0</formula>
    </cfRule>
  </conditionalFormatting>
  <conditionalFormatting sqref="Q83">
    <cfRule type="cellIs" dxfId="17874" priority="3044" operator="lessThan">
      <formula>0</formula>
    </cfRule>
  </conditionalFormatting>
  <conditionalFormatting sqref="R83">
    <cfRule type="cellIs" dxfId="17873" priority="3042" operator="lessThan">
      <formula>0.8</formula>
    </cfRule>
    <cfRule type="cellIs" dxfId="17872" priority="3043" operator="greaterThan">
      <formula>1</formula>
    </cfRule>
  </conditionalFormatting>
  <conditionalFormatting sqref="R83">
    <cfRule type="cellIs" dxfId="17871" priority="3040" operator="greaterThan">
      <formula>1</formula>
    </cfRule>
    <cfRule type="cellIs" dxfId="17870" priority="3041" operator="lessThan">
      <formula>0.8</formula>
    </cfRule>
  </conditionalFormatting>
  <conditionalFormatting sqref="R83">
    <cfRule type="cellIs" dxfId="17869" priority="3036" operator="lessThan">
      <formula>0.8</formula>
    </cfRule>
    <cfRule type="cellIs" dxfId="17868" priority="3037" operator="greaterThan">
      <formula>1</formula>
    </cfRule>
  </conditionalFormatting>
  <conditionalFormatting sqref="R83">
    <cfRule type="cellIs" dxfId="17867" priority="3034" operator="greaterThan">
      <formula>1</formula>
    </cfRule>
    <cfRule type="cellIs" dxfId="17866" priority="3035" operator="lessThan">
      <formula>0.8</formula>
    </cfRule>
  </conditionalFormatting>
  <conditionalFormatting sqref="P83">
    <cfRule type="cellIs" dxfId="17865" priority="3033" operator="greaterThan">
      <formula>0</formula>
    </cfRule>
  </conditionalFormatting>
  <conditionalFormatting sqref="Q83">
    <cfRule type="cellIs" dxfId="17864" priority="3038" operator="lessThan">
      <formula>0</formula>
    </cfRule>
  </conditionalFormatting>
  <conditionalFormatting sqref="Q83">
    <cfRule type="cellIs" dxfId="17863" priority="3032" operator="lessThan">
      <formula>0</formula>
    </cfRule>
  </conditionalFormatting>
  <conditionalFormatting sqref="R83">
    <cfRule type="cellIs" dxfId="17862" priority="3030" operator="lessThan">
      <formula>0.8</formula>
    </cfRule>
    <cfRule type="cellIs" dxfId="17861" priority="3031" operator="greaterThan">
      <formula>1</formula>
    </cfRule>
  </conditionalFormatting>
  <conditionalFormatting sqref="R83">
    <cfRule type="cellIs" dxfId="17860" priority="3028" operator="greaterThan">
      <formula>1</formula>
    </cfRule>
    <cfRule type="cellIs" dxfId="17859" priority="3029" operator="lessThan">
      <formula>0.8</formula>
    </cfRule>
  </conditionalFormatting>
  <conditionalFormatting sqref="P83">
    <cfRule type="cellIs" dxfId="17858" priority="3027" operator="greaterThan">
      <formula>0</formula>
    </cfRule>
  </conditionalFormatting>
  <conditionalFormatting sqref="P83">
    <cfRule type="cellIs" dxfId="17857" priority="3021" operator="greaterThan">
      <formula>0</formula>
    </cfRule>
  </conditionalFormatting>
  <conditionalFormatting sqref="Q83">
    <cfRule type="cellIs" dxfId="17856" priority="3026" operator="lessThan">
      <formula>0</formula>
    </cfRule>
  </conditionalFormatting>
  <conditionalFormatting sqref="R83">
    <cfRule type="cellIs" dxfId="17855" priority="3024" operator="lessThan">
      <formula>0.8</formula>
    </cfRule>
    <cfRule type="cellIs" dxfId="17854" priority="3025" operator="greaterThan">
      <formula>1</formula>
    </cfRule>
  </conditionalFormatting>
  <conditionalFormatting sqref="R83">
    <cfRule type="cellIs" dxfId="17853" priority="3022" operator="greaterThan">
      <formula>1</formula>
    </cfRule>
    <cfRule type="cellIs" dxfId="17852" priority="3023" operator="lessThan">
      <formula>0.8</formula>
    </cfRule>
  </conditionalFormatting>
  <conditionalFormatting sqref="P83">
    <cfRule type="cellIs" dxfId="17851" priority="3015" operator="greaterThan">
      <formula>0</formula>
    </cfRule>
  </conditionalFormatting>
  <conditionalFormatting sqref="Q83">
    <cfRule type="cellIs" dxfId="17850" priority="3020" operator="lessThan">
      <formula>0</formula>
    </cfRule>
  </conditionalFormatting>
  <conditionalFormatting sqref="R83">
    <cfRule type="cellIs" dxfId="17849" priority="3018" operator="lessThan">
      <formula>0.8</formula>
    </cfRule>
    <cfRule type="cellIs" dxfId="17848" priority="3019" operator="greaterThan">
      <formula>1</formula>
    </cfRule>
  </conditionalFormatting>
  <conditionalFormatting sqref="R83">
    <cfRule type="cellIs" dxfId="17847" priority="3016" operator="greaterThan">
      <formula>1</formula>
    </cfRule>
    <cfRule type="cellIs" dxfId="17846" priority="3017" operator="lessThan">
      <formula>0.8</formula>
    </cfRule>
  </conditionalFormatting>
  <conditionalFormatting sqref="R83">
    <cfRule type="cellIs" dxfId="17845" priority="3012" operator="lessThan">
      <formula>0.8</formula>
    </cfRule>
    <cfRule type="cellIs" dxfId="17844" priority="3013" operator="greaterThan">
      <formula>1</formula>
    </cfRule>
  </conditionalFormatting>
  <conditionalFormatting sqref="R83">
    <cfRule type="cellIs" dxfId="17843" priority="3010" operator="greaterThan">
      <formula>1</formula>
    </cfRule>
    <cfRule type="cellIs" dxfId="17842" priority="3011" operator="lessThan">
      <formula>0.8</formula>
    </cfRule>
  </conditionalFormatting>
  <conditionalFormatting sqref="P83">
    <cfRule type="cellIs" dxfId="17841" priority="3009" operator="greaterThan">
      <formula>0</formula>
    </cfRule>
  </conditionalFormatting>
  <conditionalFormatting sqref="Q83">
    <cfRule type="cellIs" dxfId="17840" priority="3014" operator="lessThan">
      <formula>0</formula>
    </cfRule>
  </conditionalFormatting>
  <conditionalFormatting sqref="P83">
    <cfRule type="cellIs" dxfId="17839" priority="3003" operator="greaterThan">
      <formula>0</formula>
    </cfRule>
  </conditionalFormatting>
  <conditionalFormatting sqref="Q83">
    <cfRule type="cellIs" dxfId="17838" priority="3008" operator="lessThan">
      <formula>0</formula>
    </cfRule>
  </conditionalFormatting>
  <conditionalFormatting sqref="R83">
    <cfRule type="cellIs" dxfId="17837" priority="3006" operator="lessThan">
      <formula>0.8</formula>
    </cfRule>
    <cfRule type="cellIs" dxfId="17836" priority="3007" operator="greaterThan">
      <formula>1</formula>
    </cfRule>
  </conditionalFormatting>
  <conditionalFormatting sqref="R83">
    <cfRule type="cellIs" dxfId="17835" priority="3004" operator="greaterThan">
      <formula>1</formula>
    </cfRule>
    <cfRule type="cellIs" dxfId="17834" priority="3005" operator="lessThan">
      <formula>0.8</formula>
    </cfRule>
  </conditionalFormatting>
  <conditionalFormatting sqref="R83">
    <cfRule type="cellIs" dxfId="17833" priority="3000" operator="lessThan">
      <formula>0.8</formula>
    </cfRule>
    <cfRule type="cellIs" dxfId="17832" priority="3001" operator="greaterThan">
      <formula>1</formula>
    </cfRule>
  </conditionalFormatting>
  <conditionalFormatting sqref="R83">
    <cfRule type="cellIs" dxfId="17831" priority="2998" operator="greaterThan">
      <formula>1</formula>
    </cfRule>
    <cfRule type="cellIs" dxfId="17830" priority="2999" operator="lessThan">
      <formula>0.8</formula>
    </cfRule>
  </conditionalFormatting>
  <conditionalFormatting sqref="P83">
    <cfRule type="cellIs" dxfId="17829" priority="2997" operator="greaterThan">
      <formula>0</formula>
    </cfRule>
  </conditionalFormatting>
  <conditionalFormatting sqref="Q83">
    <cfRule type="cellIs" dxfId="17828" priority="3002" operator="lessThan">
      <formula>0</formula>
    </cfRule>
  </conditionalFormatting>
  <conditionalFormatting sqref="R83">
    <cfRule type="cellIs" dxfId="17827" priority="2994" operator="lessThan">
      <formula>0.8</formula>
    </cfRule>
    <cfRule type="cellIs" dxfId="17826" priority="2995" operator="greaterThan">
      <formula>1</formula>
    </cfRule>
  </conditionalFormatting>
  <conditionalFormatting sqref="R83">
    <cfRule type="cellIs" dxfId="17825" priority="2992" operator="greaterThan">
      <formula>1</formula>
    </cfRule>
    <cfRule type="cellIs" dxfId="17824" priority="2993" operator="lessThan">
      <formula>0.8</formula>
    </cfRule>
  </conditionalFormatting>
  <conditionalFormatting sqref="P83">
    <cfRule type="cellIs" dxfId="17823" priority="2991" operator="greaterThan">
      <formula>0</formula>
    </cfRule>
  </conditionalFormatting>
  <conditionalFormatting sqref="Q83">
    <cfRule type="cellIs" dxfId="17822" priority="2996" operator="lessThan">
      <formula>0</formula>
    </cfRule>
  </conditionalFormatting>
  <conditionalFormatting sqref="Q83">
    <cfRule type="cellIs" dxfId="17821" priority="2990" operator="lessThan">
      <formula>0</formula>
    </cfRule>
  </conditionalFormatting>
  <conditionalFormatting sqref="R83">
    <cfRule type="cellIs" dxfId="17820" priority="2988" operator="lessThan">
      <formula>0.8</formula>
    </cfRule>
    <cfRule type="cellIs" dxfId="17819" priority="2989" operator="greaterThan">
      <formula>1</formula>
    </cfRule>
  </conditionalFormatting>
  <conditionalFormatting sqref="R83">
    <cfRule type="cellIs" dxfId="17818" priority="2986" operator="greaterThan">
      <formula>1</formula>
    </cfRule>
    <cfRule type="cellIs" dxfId="17817" priority="2987" operator="lessThan">
      <formula>0.8</formula>
    </cfRule>
  </conditionalFormatting>
  <conditionalFormatting sqref="P83">
    <cfRule type="cellIs" dxfId="17816" priority="2985" operator="greaterThan">
      <formula>0</formula>
    </cfRule>
  </conditionalFormatting>
  <conditionalFormatting sqref="Q83">
    <cfRule type="cellIs" dxfId="17815" priority="2979" operator="lessThan">
      <formula>0</formula>
    </cfRule>
  </conditionalFormatting>
  <conditionalFormatting sqref="R83">
    <cfRule type="cellIs" dxfId="17814" priority="2983" operator="lessThan">
      <formula>0.8</formula>
    </cfRule>
    <cfRule type="cellIs" dxfId="17813" priority="2984" operator="greaterThan">
      <formula>1</formula>
    </cfRule>
  </conditionalFormatting>
  <conditionalFormatting sqref="R83">
    <cfRule type="cellIs" dxfId="17812" priority="2981" operator="greaterThan">
      <formula>1</formula>
    </cfRule>
    <cfRule type="cellIs" dxfId="17811" priority="2982" operator="lessThan">
      <formula>0.8</formula>
    </cfRule>
  </conditionalFormatting>
  <conditionalFormatting sqref="P83">
    <cfRule type="cellIs" dxfId="17810" priority="2980" operator="greaterThan">
      <formula>0</formula>
    </cfRule>
  </conditionalFormatting>
  <conditionalFormatting sqref="Q83">
    <cfRule type="cellIs" dxfId="17809" priority="2978" operator="lessThan">
      <formula>0</formula>
    </cfRule>
  </conditionalFormatting>
  <conditionalFormatting sqref="R83">
    <cfRule type="cellIs" dxfId="17808" priority="2976" operator="lessThan">
      <formula>0.8</formula>
    </cfRule>
    <cfRule type="cellIs" dxfId="17807" priority="2977" operator="greaterThan">
      <formula>1</formula>
    </cfRule>
  </conditionalFormatting>
  <conditionalFormatting sqref="R83">
    <cfRule type="cellIs" dxfId="17806" priority="2974" operator="greaterThan">
      <formula>1</formula>
    </cfRule>
    <cfRule type="cellIs" dxfId="17805" priority="2975" operator="lessThan">
      <formula>0.8</formula>
    </cfRule>
  </conditionalFormatting>
  <conditionalFormatting sqref="P83">
    <cfRule type="cellIs" dxfId="17804" priority="2973" operator="greaterThan">
      <formula>0</formula>
    </cfRule>
  </conditionalFormatting>
  <conditionalFormatting sqref="Q83">
    <cfRule type="cellIs" dxfId="17803" priority="2972" operator="lessThan">
      <formula>0</formula>
    </cfRule>
  </conditionalFormatting>
  <conditionalFormatting sqref="R83">
    <cfRule type="cellIs" dxfId="17802" priority="2970" operator="lessThan">
      <formula>0.8</formula>
    </cfRule>
    <cfRule type="cellIs" dxfId="17801" priority="2971" operator="greaterThan">
      <formula>1</formula>
    </cfRule>
  </conditionalFormatting>
  <conditionalFormatting sqref="R83">
    <cfRule type="cellIs" dxfId="17800" priority="2968" operator="greaterThan">
      <formula>1</formula>
    </cfRule>
    <cfRule type="cellIs" dxfId="17799" priority="2969" operator="lessThan">
      <formula>0.8</formula>
    </cfRule>
  </conditionalFormatting>
  <conditionalFormatting sqref="P83">
    <cfRule type="cellIs" dxfId="17798" priority="2967" operator="greaterThan">
      <formula>0</formula>
    </cfRule>
  </conditionalFormatting>
  <conditionalFormatting sqref="Q83">
    <cfRule type="cellIs" dxfId="17797" priority="2966" operator="lessThan">
      <formula>0</formula>
    </cfRule>
  </conditionalFormatting>
  <conditionalFormatting sqref="R83">
    <cfRule type="cellIs" dxfId="17796" priority="2964" operator="lessThan">
      <formula>0.8</formula>
    </cfRule>
    <cfRule type="cellIs" dxfId="17795" priority="2965" operator="greaterThan">
      <formula>1</formula>
    </cfRule>
  </conditionalFormatting>
  <conditionalFormatting sqref="R83">
    <cfRule type="cellIs" dxfId="17794" priority="2962" operator="greaterThan">
      <formula>1</formula>
    </cfRule>
    <cfRule type="cellIs" dxfId="17793" priority="2963" operator="lessThan">
      <formula>0.8</formula>
    </cfRule>
  </conditionalFormatting>
  <conditionalFormatting sqref="P83">
    <cfRule type="cellIs" dxfId="17792" priority="2961" operator="greaterThan">
      <formula>0</formula>
    </cfRule>
  </conditionalFormatting>
  <conditionalFormatting sqref="Q83">
    <cfRule type="cellIs" dxfId="17791" priority="2960" operator="lessThan">
      <formula>0</formula>
    </cfRule>
  </conditionalFormatting>
  <conditionalFormatting sqref="R83">
    <cfRule type="cellIs" dxfId="17790" priority="2958" operator="lessThan">
      <formula>0.8</formula>
    </cfRule>
    <cfRule type="cellIs" dxfId="17789" priority="2959" operator="greaterThan">
      <formula>1</formula>
    </cfRule>
  </conditionalFormatting>
  <conditionalFormatting sqref="R83">
    <cfRule type="cellIs" dxfId="17788" priority="2956" operator="greaterThan">
      <formula>1</formula>
    </cfRule>
    <cfRule type="cellIs" dxfId="17787" priority="2957" operator="lessThan">
      <formula>0.8</formula>
    </cfRule>
  </conditionalFormatting>
  <conditionalFormatting sqref="P83">
    <cfRule type="cellIs" dxfId="17786" priority="2955" operator="greaterThan">
      <formula>0</formula>
    </cfRule>
  </conditionalFormatting>
  <conditionalFormatting sqref="Q83">
    <cfRule type="cellIs" dxfId="17785" priority="2954" operator="lessThan">
      <formula>0</formula>
    </cfRule>
  </conditionalFormatting>
  <conditionalFormatting sqref="R83">
    <cfRule type="cellIs" dxfId="17784" priority="2952" operator="lessThan">
      <formula>0.8</formula>
    </cfRule>
    <cfRule type="cellIs" dxfId="17783" priority="2953" operator="greaterThan">
      <formula>1</formula>
    </cfRule>
  </conditionalFormatting>
  <conditionalFormatting sqref="R83">
    <cfRule type="cellIs" dxfId="17782" priority="2950" operator="greaterThan">
      <formula>1</formula>
    </cfRule>
    <cfRule type="cellIs" dxfId="17781" priority="2951" operator="lessThan">
      <formula>0.8</formula>
    </cfRule>
  </conditionalFormatting>
  <conditionalFormatting sqref="P83">
    <cfRule type="cellIs" dxfId="17780" priority="2949" operator="greaterThan">
      <formula>0</formula>
    </cfRule>
  </conditionalFormatting>
  <conditionalFormatting sqref="P83">
    <cfRule type="cellIs" dxfId="17779" priority="2943" operator="greaterThan">
      <formula>0</formula>
    </cfRule>
  </conditionalFormatting>
  <conditionalFormatting sqref="Q83">
    <cfRule type="cellIs" dxfId="17778" priority="2948" operator="lessThan">
      <formula>0</formula>
    </cfRule>
  </conditionalFormatting>
  <conditionalFormatting sqref="R83">
    <cfRule type="cellIs" dxfId="17777" priority="2946" operator="lessThan">
      <formula>0.8</formula>
    </cfRule>
    <cfRule type="cellIs" dxfId="17776" priority="2947" operator="greaterThan">
      <formula>1</formula>
    </cfRule>
  </conditionalFormatting>
  <conditionalFormatting sqref="R83">
    <cfRule type="cellIs" dxfId="17775" priority="2944" operator="greaterThan">
      <formula>1</formula>
    </cfRule>
    <cfRule type="cellIs" dxfId="17774" priority="2945" operator="lessThan">
      <formula>0.8</formula>
    </cfRule>
  </conditionalFormatting>
  <conditionalFormatting sqref="P83">
    <cfRule type="cellIs" dxfId="17773" priority="2937" operator="greaterThan">
      <formula>0</formula>
    </cfRule>
  </conditionalFormatting>
  <conditionalFormatting sqref="Q83">
    <cfRule type="cellIs" dxfId="17772" priority="2942" operator="lessThan">
      <formula>0</formula>
    </cfRule>
  </conditionalFormatting>
  <conditionalFormatting sqref="R83">
    <cfRule type="cellIs" dxfId="17771" priority="2940" operator="lessThan">
      <formula>0.8</formula>
    </cfRule>
    <cfRule type="cellIs" dxfId="17770" priority="2941" operator="greaterThan">
      <formula>1</formula>
    </cfRule>
  </conditionalFormatting>
  <conditionalFormatting sqref="R83">
    <cfRule type="cellIs" dxfId="17769" priority="2938" operator="greaterThan">
      <formula>1</formula>
    </cfRule>
    <cfRule type="cellIs" dxfId="17768" priority="2939" operator="lessThan">
      <formula>0.8</formula>
    </cfRule>
  </conditionalFormatting>
  <conditionalFormatting sqref="R83">
    <cfRule type="cellIs" dxfId="17767" priority="2934" operator="lessThan">
      <formula>0.8</formula>
    </cfRule>
    <cfRule type="cellIs" dxfId="17766" priority="2935" operator="greaterThan">
      <formula>1</formula>
    </cfRule>
  </conditionalFormatting>
  <conditionalFormatting sqref="R83">
    <cfRule type="cellIs" dxfId="17765" priority="2932" operator="greaterThan">
      <formula>1</formula>
    </cfRule>
    <cfRule type="cellIs" dxfId="17764" priority="2933" operator="lessThan">
      <formula>0.8</formula>
    </cfRule>
  </conditionalFormatting>
  <conditionalFormatting sqref="P83">
    <cfRule type="cellIs" dxfId="17763" priority="2931" operator="greaterThan">
      <formula>0</formula>
    </cfRule>
  </conditionalFormatting>
  <conditionalFormatting sqref="Q83">
    <cfRule type="cellIs" dxfId="17762" priority="2936" operator="lessThan">
      <formula>0</formula>
    </cfRule>
  </conditionalFormatting>
  <conditionalFormatting sqref="P123 P125:P129">
    <cfRule type="cellIs" dxfId="17761" priority="2925" operator="greaterThan">
      <formula>0</formula>
    </cfRule>
  </conditionalFormatting>
  <conditionalFormatting sqref="Q123 Q125:Q129">
    <cfRule type="cellIs" dxfId="17760" priority="2930" operator="lessThan">
      <formula>0</formula>
    </cfRule>
  </conditionalFormatting>
  <conditionalFormatting sqref="R123 R125:R129">
    <cfRule type="cellIs" dxfId="17759" priority="2928" operator="lessThan">
      <formula>0.8</formula>
    </cfRule>
    <cfRule type="cellIs" dxfId="17758" priority="2929" operator="greaterThan">
      <formula>1</formula>
    </cfRule>
  </conditionalFormatting>
  <conditionalFormatting sqref="R123 R125:R129">
    <cfRule type="cellIs" dxfId="17757" priority="2926" operator="greaterThan">
      <formula>1</formula>
    </cfRule>
    <cfRule type="cellIs" dxfId="17756" priority="2927" operator="lessThan">
      <formula>0.8</formula>
    </cfRule>
  </conditionalFormatting>
  <conditionalFormatting sqref="Q123 Q125:Q129">
    <cfRule type="cellIs" dxfId="17755" priority="2924" operator="lessThan">
      <formula>0</formula>
    </cfRule>
  </conditionalFormatting>
  <conditionalFormatting sqref="R123 R125:R129">
    <cfRule type="cellIs" dxfId="17754" priority="2922" operator="lessThan">
      <formula>0.8</formula>
    </cfRule>
    <cfRule type="cellIs" dxfId="17753" priority="2923" operator="greaterThan">
      <formula>1</formula>
    </cfRule>
  </conditionalFormatting>
  <conditionalFormatting sqref="R123 R125:R129">
    <cfRule type="cellIs" dxfId="17752" priority="2920" operator="greaterThan">
      <formula>1</formula>
    </cfRule>
    <cfRule type="cellIs" dxfId="17751" priority="2921" operator="lessThan">
      <formula>0.8</formula>
    </cfRule>
  </conditionalFormatting>
  <conditionalFormatting sqref="P123 P125:P129">
    <cfRule type="cellIs" dxfId="17750" priority="2919" operator="greaterThan">
      <formula>0</formula>
    </cfRule>
  </conditionalFormatting>
  <conditionalFormatting sqref="Q31">
    <cfRule type="cellIs" dxfId="17749" priority="2918" operator="lessThan">
      <formula>0</formula>
    </cfRule>
  </conditionalFormatting>
  <conditionalFormatting sqref="R31">
    <cfRule type="cellIs" dxfId="17748" priority="2916" operator="lessThan">
      <formula>0.8</formula>
    </cfRule>
    <cfRule type="cellIs" dxfId="17747" priority="2917" operator="greaterThan">
      <formula>1</formula>
    </cfRule>
  </conditionalFormatting>
  <conditionalFormatting sqref="R31">
    <cfRule type="cellIs" dxfId="17746" priority="2914" operator="greaterThan">
      <formula>1</formula>
    </cfRule>
    <cfRule type="cellIs" dxfId="17745" priority="2915" operator="lessThan">
      <formula>0.8</formula>
    </cfRule>
  </conditionalFormatting>
  <conditionalFormatting sqref="P31">
    <cfRule type="cellIs" dxfId="17744" priority="2913" operator="greaterThan">
      <formula>0</formula>
    </cfRule>
  </conditionalFormatting>
  <conditionalFormatting sqref="Q31">
    <cfRule type="cellIs" dxfId="17743" priority="2912" operator="lessThan">
      <formula>0</formula>
    </cfRule>
  </conditionalFormatting>
  <conditionalFormatting sqref="R31">
    <cfRule type="cellIs" dxfId="17742" priority="2910" operator="lessThan">
      <formula>0.8</formula>
    </cfRule>
    <cfRule type="cellIs" dxfId="17741" priority="2911" operator="greaterThan">
      <formula>1</formula>
    </cfRule>
  </conditionalFormatting>
  <conditionalFormatting sqref="R31">
    <cfRule type="cellIs" dxfId="17740" priority="2908" operator="greaterThan">
      <formula>1</formula>
    </cfRule>
    <cfRule type="cellIs" dxfId="17739" priority="2909" operator="lessThan">
      <formula>0.8</formula>
    </cfRule>
  </conditionalFormatting>
  <conditionalFormatting sqref="P31">
    <cfRule type="cellIs" dxfId="17738" priority="2907" operator="greaterThan">
      <formula>0</formula>
    </cfRule>
  </conditionalFormatting>
  <conditionalFormatting sqref="Q31">
    <cfRule type="cellIs" dxfId="17737" priority="2906" operator="lessThan">
      <formula>0</formula>
    </cfRule>
  </conditionalFormatting>
  <conditionalFormatting sqref="R31">
    <cfRule type="cellIs" dxfId="17736" priority="2904" operator="lessThan">
      <formula>0.8</formula>
    </cfRule>
    <cfRule type="cellIs" dxfId="17735" priority="2905" operator="greaterThan">
      <formula>1</formula>
    </cfRule>
  </conditionalFormatting>
  <conditionalFormatting sqref="R31">
    <cfRule type="cellIs" dxfId="17734" priority="2902" operator="greaterThan">
      <formula>1</formula>
    </cfRule>
    <cfRule type="cellIs" dxfId="17733" priority="2903" operator="lessThan">
      <formula>0.8</formula>
    </cfRule>
  </conditionalFormatting>
  <conditionalFormatting sqref="P31">
    <cfRule type="cellIs" dxfId="17732" priority="2901" operator="greaterThan">
      <formula>0</formula>
    </cfRule>
  </conditionalFormatting>
  <conditionalFormatting sqref="Q31">
    <cfRule type="cellIs" dxfId="17731" priority="2900" operator="lessThan">
      <formula>0</formula>
    </cfRule>
  </conditionalFormatting>
  <conditionalFormatting sqref="R31">
    <cfRule type="cellIs" dxfId="17730" priority="2898" operator="lessThan">
      <formula>0.8</formula>
    </cfRule>
    <cfRule type="cellIs" dxfId="17729" priority="2899" operator="greaterThan">
      <formula>1</formula>
    </cfRule>
  </conditionalFormatting>
  <conditionalFormatting sqref="R31">
    <cfRule type="cellIs" dxfId="17728" priority="2896" operator="greaterThan">
      <formula>1</formula>
    </cfRule>
    <cfRule type="cellIs" dxfId="17727" priority="2897" operator="lessThan">
      <formula>0.8</formula>
    </cfRule>
  </conditionalFormatting>
  <conditionalFormatting sqref="P31">
    <cfRule type="cellIs" dxfId="17726" priority="2895" operator="greaterThan">
      <formula>0</formula>
    </cfRule>
  </conditionalFormatting>
  <conditionalFormatting sqref="P31">
    <cfRule type="cellIs" dxfId="17725" priority="2889" operator="greaterThan">
      <formula>0</formula>
    </cfRule>
  </conditionalFormatting>
  <conditionalFormatting sqref="Q31">
    <cfRule type="cellIs" dxfId="17724" priority="2894" operator="lessThan">
      <formula>0</formula>
    </cfRule>
  </conditionalFormatting>
  <conditionalFormatting sqref="R31">
    <cfRule type="cellIs" dxfId="17723" priority="2892" operator="lessThan">
      <formula>0.8</formula>
    </cfRule>
    <cfRule type="cellIs" dxfId="17722" priority="2893" operator="greaterThan">
      <formula>1</formula>
    </cfRule>
  </conditionalFormatting>
  <conditionalFormatting sqref="R31">
    <cfRule type="cellIs" dxfId="17721" priority="2890" operator="greaterThan">
      <formula>1</formula>
    </cfRule>
    <cfRule type="cellIs" dxfId="17720" priority="2891" operator="lessThan">
      <formula>0.8</formula>
    </cfRule>
  </conditionalFormatting>
  <conditionalFormatting sqref="P31">
    <cfRule type="cellIs" dxfId="17719" priority="2883" operator="greaterThan">
      <formula>0</formula>
    </cfRule>
  </conditionalFormatting>
  <conditionalFormatting sqref="Q31">
    <cfRule type="cellIs" dxfId="17718" priority="2888" operator="lessThan">
      <formula>0</formula>
    </cfRule>
  </conditionalFormatting>
  <conditionalFormatting sqref="R31">
    <cfRule type="cellIs" dxfId="17717" priority="2886" operator="lessThan">
      <formula>0.8</formula>
    </cfRule>
    <cfRule type="cellIs" dxfId="17716" priority="2887" operator="greaterThan">
      <formula>1</formula>
    </cfRule>
  </conditionalFormatting>
  <conditionalFormatting sqref="R31">
    <cfRule type="cellIs" dxfId="17715" priority="2884" operator="greaterThan">
      <formula>1</formula>
    </cfRule>
    <cfRule type="cellIs" dxfId="17714" priority="2885" operator="lessThan">
      <formula>0.8</formula>
    </cfRule>
  </conditionalFormatting>
  <conditionalFormatting sqref="R31">
    <cfRule type="cellIs" dxfId="17713" priority="2880" operator="lessThan">
      <formula>0.8</formula>
    </cfRule>
    <cfRule type="cellIs" dxfId="17712" priority="2881" operator="greaterThan">
      <formula>1</formula>
    </cfRule>
  </conditionalFormatting>
  <conditionalFormatting sqref="R31">
    <cfRule type="cellIs" dxfId="17711" priority="2878" operator="greaterThan">
      <formula>1</formula>
    </cfRule>
    <cfRule type="cellIs" dxfId="17710" priority="2879" operator="lessThan">
      <formula>0.8</formula>
    </cfRule>
  </conditionalFormatting>
  <conditionalFormatting sqref="P31">
    <cfRule type="cellIs" dxfId="17709" priority="2877" operator="greaterThan">
      <formula>0</formula>
    </cfRule>
  </conditionalFormatting>
  <conditionalFormatting sqref="Q31">
    <cfRule type="cellIs" dxfId="17708" priority="2882" operator="lessThan">
      <formula>0</formula>
    </cfRule>
  </conditionalFormatting>
  <conditionalFormatting sqref="Q31">
    <cfRule type="cellIs" dxfId="17707" priority="2876" operator="lessThan">
      <formula>0</formula>
    </cfRule>
  </conditionalFormatting>
  <conditionalFormatting sqref="R31">
    <cfRule type="cellIs" dxfId="17706" priority="2874" operator="lessThan">
      <formula>0.8</formula>
    </cfRule>
    <cfRule type="cellIs" dxfId="17705" priority="2875" operator="greaterThan">
      <formula>1</formula>
    </cfRule>
  </conditionalFormatting>
  <conditionalFormatting sqref="R31">
    <cfRule type="cellIs" dxfId="17704" priority="2872" operator="greaterThan">
      <formula>1</formula>
    </cfRule>
    <cfRule type="cellIs" dxfId="17703" priority="2873" operator="lessThan">
      <formula>0.8</formula>
    </cfRule>
  </conditionalFormatting>
  <conditionalFormatting sqref="P31">
    <cfRule type="cellIs" dxfId="17702" priority="2871" operator="greaterThan">
      <formula>0</formula>
    </cfRule>
  </conditionalFormatting>
  <conditionalFormatting sqref="P31">
    <cfRule type="cellIs" dxfId="17701" priority="2865" operator="greaterThan">
      <formula>0</formula>
    </cfRule>
  </conditionalFormatting>
  <conditionalFormatting sqref="Q31">
    <cfRule type="cellIs" dxfId="17700" priority="2870" operator="lessThan">
      <formula>0</formula>
    </cfRule>
  </conditionalFormatting>
  <conditionalFormatting sqref="R31">
    <cfRule type="cellIs" dxfId="17699" priority="2868" operator="lessThan">
      <formula>0.8</formula>
    </cfRule>
    <cfRule type="cellIs" dxfId="17698" priority="2869" operator="greaterThan">
      <formula>1</formula>
    </cfRule>
  </conditionalFormatting>
  <conditionalFormatting sqref="R31">
    <cfRule type="cellIs" dxfId="17697" priority="2866" operator="greaterThan">
      <formula>1</formula>
    </cfRule>
    <cfRule type="cellIs" dxfId="17696" priority="2867" operator="lessThan">
      <formula>0.8</formula>
    </cfRule>
  </conditionalFormatting>
  <conditionalFormatting sqref="P31">
    <cfRule type="cellIs" dxfId="17695" priority="2859" operator="greaterThan">
      <formula>0</formula>
    </cfRule>
  </conditionalFormatting>
  <conditionalFormatting sqref="Q31">
    <cfRule type="cellIs" dxfId="17694" priority="2864" operator="lessThan">
      <formula>0</formula>
    </cfRule>
  </conditionalFormatting>
  <conditionalFormatting sqref="R31">
    <cfRule type="cellIs" dxfId="17693" priority="2862" operator="lessThan">
      <formula>0.8</formula>
    </cfRule>
    <cfRule type="cellIs" dxfId="17692" priority="2863" operator="greaterThan">
      <formula>1</formula>
    </cfRule>
  </conditionalFormatting>
  <conditionalFormatting sqref="R31">
    <cfRule type="cellIs" dxfId="17691" priority="2860" operator="greaterThan">
      <formula>1</formula>
    </cfRule>
    <cfRule type="cellIs" dxfId="17690" priority="2861" operator="lessThan">
      <formula>0.8</formula>
    </cfRule>
  </conditionalFormatting>
  <conditionalFormatting sqref="R31">
    <cfRule type="cellIs" dxfId="17689" priority="2856" operator="lessThan">
      <formula>0.8</formula>
    </cfRule>
    <cfRule type="cellIs" dxfId="17688" priority="2857" operator="greaterThan">
      <formula>1</formula>
    </cfRule>
  </conditionalFormatting>
  <conditionalFormatting sqref="R31">
    <cfRule type="cellIs" dxfId="17687" priority="2854" operator="greaterThan">
      <formula>1</formula>
    </cfRule>
    <cfRule type="cellIs" dxfId="17686" priority="2855" operator="lessThan">
      <formula>0.8</formula>
    </cfRule>
  </conditionalFormatting>
  <conditionalFormatting sqref="P31">
    <cfRule type="cellIs" dxfId="17685" priority="2853" operator="greaterThan">
      <formula>0</formula>
    </cfRule>
  </conditionalFormatting>
  <conditionalFormatting sqref="Q31">
    <cfRule type="cellIs" dxfId="17684" priority="2858" operator="lessThan">
      <formula>0</formula>
    </cfRule>
  </conditionalFormatting>
  <conditionalFormatting sqref="P31">
    <cfRule type="cellIs" dxfId="17683" priority="2847" operator="greaterThan">
      <formula>0</formula>
    </cfRule>
  </conditionalFormatting>
  <conditionalFormatting sqref="Q31">
    <cfRule type="cellIs" dxfId="17682" priority="2852" operator="lessThan">
      <formula>0</formula>
    </cfRule>
  </conditionalFormatting>
  <conditionalFormatting sqref="R31">
    <cfRule type="cellIs" dxfId="17681" priority="2850" operator="lessThan">
      <formula>0.8</formula>
    </cfRule>
    <cfRule type="cellIs" dxfId="17680" priority="2851" operator="greaterThan">
      <formula>1</formula>
    </cfRule>
  </conditionalFormatting>
  <conditionalFormatting sqref="R31">
    <cfRule type="cellIs" dxfId="17679" priority="2848" operator="greaterThan">
      <formula>1</formula>
    </cfRule>
    <cfRule type="cellIs" dxfId="17678" priority="2849" operator="lessThan">
      <formula>0.8</formula>
    </cfRule>
  </conditionalFormatting>
  <conditionalFormatting sqref="R31">
    <cfRule type="cellIs" dxfId="17677" priority="2844" operator="lessThan">
      <formula>0.8</formula>
    </cfRule>
    <cfRule type="cellIs" dxfId="17676" priority="2845" operator="greaterThan">
      <formula>1</formula>
    </cfRule>
  </conditionalFormatting>
  <conditionalFormatting sqref="R31">
    <cfRule type="cellIs" dxfId="17675" priority="2842" operator="greaterThan">
      <formula>1</formula>
    </cfRule>
    <cfRule type="cellIs" dxfId="17674" priority="2843" operator="lessThan">
      <formula>0.8</formula>
    </cfRule>
  </conditionalFormatting>
  <conditionalFormatting sqref="P31">
    <cfRule type="cellIs" dxfId="17673" priority="2841" operator="greaterThan">
      <formula>0</formula>
    </cfRule>
  </conditionalFormatting>
  <conditionalFormatting sqref="Q31">
    <cfRule type="cellIs" dxfId="17672" priority="2846" operator="lessThan">
      <formula>0</formula>
    </cfRule>
  </conditionalFormatting>
  <conditionalFormatting sqref="R31">
    <cfRule type="cellIs" dxfId="17671" priority="2838" operator="lessThan">
      <formula>0.8</formula>
    </cfRule>
    <cfRule type="cellIs" dxfId="17670" priority="2839" operator="greaterThan">
      <formula>1</formula>
    </cfRule>
  </conditionalFormatting>
  <conditionalFormatting sqref="R31">
    <cfRule type="cellIs" dxfId="17669" priority="2836" operator="greaterThan">
      <formula>1</formula>
    </cfRule>
    <cfRule type="cellIs" dxfId="17668" priority="2837" operator="lessThan">
      <formula>0.8</formula>
    </cfRule>
  </conditionalFormatting>
  <conditionalFormatting sqref="P31">
    <cfRule type="cellIs" dxfId="17667" priority="2835" operator="greaterThan">
      <formula>0</formula>
    </cfRule>
  </conditionalFormatting>
  <conditionalFormatting sqref="Q31">
    <cfRule type="cellIs" dxfId="17666" priority="2840" operator="lessThan">
      <formula>0</formula>
    </cfRule>
  </conditionalFormatting>
  <conditionalFormatting sqref="Q31">
    <cfRule type="cellIs" dxfId="17665" priority="2834" operator="lessThan">
      <formula>0</formula>
    </cfRule>
  </conditionalFormatting>
  <conditionalFormatting sqref="R31">
    <cfRule type="cellIs" dxfId="17664" priority="2832" operator="lessThan">
      <formula>0.8</formula>
    </cfRule>
    <cfRule type="cellIs" dxfId="17663" priority="2833" operator="greaterThan">
      <formula>1</formula>
    </cfRule>
  </conditionalFormatting>
  <conditionalFormatting sqref="R31">
    <cfRule type="cellIs" dxfId="17662" priority="2830" operator="greaterThan">
      <formula>1</formula>
    </cfRule>
    <cfRule type="cellIs" dxfId="17661" priority="2831" operator="lessThan">
      <formula>0.8</formula>
    </cfRule>
  </conditionalFormatting>
  <conditionalFormatting sqref="P31">
    <cfRule type="cellIs" dxfId="17660" priority="2829" operator="greaterThan">
      <formula>0</formula>
    </cfRule>
  </conditionalFormatting>
  <conditionalFormatting sqref="Q31">
    <cfRule type="cellIs" dxfId="17659" priority="2823" operator="lessThan">
      <formula>0</formula>
    </cfRule>
  </conditionalFormatting>
  <conditionalFormatting sqref="R31">
    <cfRule type="cellIs" dxfId="17658" priority="2827" operator="lessThan">
      <formula>0.8</formula>
    </cfRule>
    <cfRule type="cellIs" dxfId="17657" priority="2828" operator="greaterThan">
      <formula>1</formula>
    </cfRule>
  </conditionalFormatting>
  <conditionalFormatting sqref="R31">
    <cfRule type="cellIs" dxfId="17656" priority="2825" operator="greaterThan">
      <formula>1</formula>
    </cfRule>
    <cfRule type="cellIs" dxfId="17655" priority="2826" operator="lessThan">
      <formula>0.8</formula>
    </cfRule>
  </conditionalFormatting>
  <conditionalFormatting sqref="P31">
    <cfRule type="cellIs" dxfId="17654" priority="2824" operator="greaterThan">
      <formula>0</formula>
    </cfRule>
  </conditionalFormatting>
  <conditionalFormatting sqref="Q31">
    <cfRule type="cellIs" dxfId="17653" priority="2822" operator="lessThan">
      <formula>0</formula>
    </cfRule>
  </conditionalFormatting>
  <conditionalFormatting sqref="R31">
    <cfRule type="cellIs" dxfId="17652" priority="2820" operator="lessThan">
      <formula>0.8</formula>
    </cfRule>
    <cfRule type="cellIs" dxfId="17651" priority="2821" operator="greaterThan">
      <formula>1</formula>
    </cfRule>
  </conditionalFormatting>
  <conditionalFormatting sqref="R31">
    <cfRule type="cellIs" dxfId="17650" priority="2818" operator="greaterThan">
      <formula>1</formula>
    </cfRule>
    <cfRule type="cellIs" dxfId="17649" priority="2819" operator="lessThan">
      <formula>0.8</formula>
    </cfRule>
  </conditionalFormatting>
  <conditionalFormatting sqref="P31">
    <cfRule type="cellIs" dxfId="17648" priority="2817" operator="greaterThan">
      <formula>0</formula>
    </cfRule>
  </conditionalFormatting>
  <conditionalFormatting sqref="Q31">
    <cfRule type="cellIs" dxfId="17647" priority="2816" operator="lessThan">
      <formula>0</formula>
    </cfRule>
  </conditionalFormatting>
  <conditionalFormatting sqref="R31">
    <cfRule type="cellIs" dxfId="17646" priority="2814" operator="lessThan">
      <formula>0.8</formula>
    </cfRule>
    <cfRule type="cellIs" dxfId="17645" priority="2815" operator="greaterThan">
      <formula>1</formula>
    </cfRule>
  </conditionalFormatting>
  <conditionalFormatting sqref="R31">
    <cfRule type="cellIs" dxfId="17644" priority="2812" operator="greaterThan">
      <formula>1</formula>
    </cfRule>
    <cfRule type="cellIs" dxfId="17643" priority="2813" operator="lessThan">
      <formula>0.8</formula>
    </cfRule>
  </conditionalFormatting>
  <conditionalFormatting sqref="P31">
    <cfRule type="cellIs" dxfId="17642" priority="2811" operator="greaterThan">
      <formula>0</formula>
    </cfRule>
  </conditionalFormatting>
  <conditionalFormatting sqref="Q31">
    <cfRule type="cellIs" dxfId="17641" priority="2810" operator="lessThan">
      <formula>0</formula>
    </cfRule>
  </conditionalFormatting>
  <conditionalFormatting sqref="R31">
    <cfRule type="cellIs" dxfId="17640" priority="2808" operator="lessThan">
      <formula>0.8</formula>
    </cfRule>
    <cfRule type="cellIs" dxfId="17639" priority="2809" operator="greaterThan">
      <formula>1</formula>
    </cfRule>
  </conditionalFormatting>
  <conditionalFormatting sqref="R31">
    <cfRule type="cellIs" dxfId="17638" priority="2806" operator="greaterThan">
      <formula>1</formula>
    </cfRule>
    <cfRule type="cellIs" dxfId="17637" priority="2807" operator="lessThan">
      <formula>0.8</formula>
    </cfRule>
  </conditionalFormatting>
  <conditionalFormatting sqref="P31">
    <cfRule type="cellIs" dxfId="17636" priority="2805" operator="greaterThan">
      <formula>0</formula>
    </cfRule>
  </conditionalFormatting>
  <conditionalFormatting sqref="Q31">
    <cfRule type="cellIs" dxfId="17635" priority="2804" operator="lessThan">
      <formula>0</formula>
    </cfRule>
  </conditionalFormatting>
  <conditionalFormatting sqref="R31">
    <cfRule type="cellIs" dxfId="17634" priority="2802" operator="lessThan">
      <formula>0.8</formula>
    </cfRule>
    <cfRule type="cellIs" dxfId="17633" priority="2803" operator="greaterThan">
      <formula>1</formula>
    </cfRule>
  </conditionalFormatting>
  <conditionalFormatting sqref="R31">
    <cfRule type="cellIs" dxfId="17632" priority="2800" operator="greaterThan">
      <formula>1</formula>
    </cfRule>
    <cfRule type="cellIs" dxfId="17631" priority="2801" operator="lessThan">
      <formula>0.8</formula>
    </cfRule>
  </conditionalFormatting>
  <conditionalFormatting sqref="P31">
    <cfRule type="cellIs" dxfId="17630" priority="2799" operator="greaterThan">
      <formula>0</formula>
    </cfRule>
  </conditionalFormatting>
  <conditionalFormatting sqref="Q31">
    <cfRule type="cellIs" dxfId="17629" priority="2798" operator="lessThan">
      <formula>0</formula>
    </cfRule>
  </conditionalFormatting>
  <conditionalFormatting sqref="R31">
    <cfRule type="cellIs" dxfId="17628" priority="2796" operator="lessThan">
      <formula>0.8</formula>
    </cfRule>
    <cfRule type="cellIs" dxfId="17627" priority="2797" operator="greaterThan">
      <formula>1</formula>
    </cfRule>
  </conditionalFormatting>
  <conditionalFormatting sqref="R31">
    <cfRule type="cellIs" dxfId="17626" priority="2794" operator="greaterThan">
      <formula>1</formula>
    </cfRule>
    <cfRule type="cellIs" dxfId="17625" priority="2795" operator="lessThan">
      <formula>0.8</formula>
    </cfRule>
  </conditionalFormatting>
  <conditionalFormatting sqref="P31">
    <cfRule type="cellIs" dxfId="17624" priority="2793" operator="greaterThan">
      <formula>0</formula>
    </cfRule>
  </conditionalFormatting>
  <conditionalFormatting sqref="P31">
    <cfRule type="cellIs" dxfId="17623" priority="2787" operator="greaterThan">
      <formula>0</formula>
    </cfRule>
  </conditionalFormatting>
  <conditionalFormatting sqref="Q31">
    <cfRule type="cellIs" dxfId="17622" priority="2792" operator="lessThan">
      <formula>0</formula>
    </cfRule>
  </conditionalFormatting>
  <conditionalFormatting sqref="R31">
    <cfRule type="cellIs" dxfId="17621" priority="2790" operator="lessThan">
      <formula>0.8</formula>
    </cfRule>
    <cfRule type="cellIs" dxfId="17620" priority="2791" operator="greaterThan">
      <formula>1</formula>
    </cfRule>
  </conditionalFormatting>
  <conditionalFormatting sqref="R31">
    <cfRule type="cellIs" dxfId="17619" priority="2788" operator="greaterThan">
      <formula>1</formula>
    </cfRule>
    <cfRule type="cellIs" dxfId="17618" priority="2789" operator="lessThan">
      <formula>0.8</formula>
    </cfRule>
  </conditionalFormatting>
  <conditionalFormatting sqref="P31">
    <cfRule type="cellIs" dxfId="17617" priority="2781" operator="greaterThan">
      <formula>0</formula>
    </cfRule>
  </conditionalFormatting>
  <conditionalFormatting sqref="Q31">
    <cfRule type="cellIs" dxfId="17616" priority="2786" operator="lessThan">
      <formula>0</formula>
    </cfRule>
  </conditionalFormatting>
  <conditionalFormatting sqref="R31">
    <cfRule type="cellIs" dxfId="17615" priority="2784" operator="lessThan">
      <formula>0.8</formula>
    </cfRule>
    <cfRule type="cellIs" dxfId="17614" priority="2785" operator="greaterThan">
      <formula>1</formula>
    </cfRule>
  </conditionalFormatting>
  <conditionalFormatting sqref="R31">
    <cfRule type="cellIs" dxfId="17613" priority="2782" operator="greaterThan">
      <formula>1</formula>
    </cfRule>
    <cfRule type="cellIs" dxfId="17612" priority="2783" operator="lessThan">
      <formula>0.8</formula>
    </cfRule>
  </conditionalFormatting>
  <conditionalFormatting sqref="R31">
    <cfRule type="cellIs" dxfId="17611" priority="2778" operator="lessThan">
      <formula>0.8</formula>
    </cfRule>
    <cfRule type="cellIs" dxfId="17610" priority="2779" operator="greaterThan">
      <formula>1</formula>
    </cfRule>
  </conditionalFormatting>
  <conditionalFormatting sqref="R31">
    <cfRule type="cellIs" dxfId="17609" priority="2776" operator="greaterThan">
      <formula>1</formula>
    </cfRule>
    <cfRule type="cellIs" dxfId="17608" priority="2777" operator="lessThan">
      <formula>0.8</formula>
    </cfRule>
  </conditionalFormatting>
  <conditionalFormatting sqref="P31">
    <cfRule type="cellIs" dxfId="17607" priority="2775" operator="greaterThan">
      <formula>0</formula>
    </cfRule>
  </conditionalFormatting>
  <conditionalFormatting sqref="Q31">
    <cfRule type="cellIs" dxfId="17606" priority="2780" operator="lessThan">
      <formula>0</formula>
    </cfRule>
  </conditionalFormatting>
  <conditionalFormatting sqref="Q31">
    <cfRule type="cellIs" dxfId="17605" priority="2774" operator="lessThan">
      <formula>0</formula>
    </cfRule>
  </conditionalFormatting>
  <conditionalFormatting sqref="R31">
    <cfRule type="cellIs" dxfId="17604" priority="2772" operator="lessThan">
      <formula>0.8</formula>
    </cfRule>
    <cfRule type="cellIs" dxfId="17603" priority="2773" operator="greaterThan">
      <formula>1</formula>
    </cfRule>
  </conditionalFormatting>
  <conditionalFormatting sqref="R31">
    <cfRule type="cellIs" dxfId="17602" priority="2770" operator="greaterThan">
      <formula>1</formula>
    </cfRule>
    <cfRule type="cellIs" dxfId="17601" priority="2771" operator="lessThan">
      <formula>0.8</formula>
    </cfRule>
  </conditionalFormatting>
  <conditionalFormatting sqref="P31">
    <cfRule type="cellIs" dxfId="17600" priority="2769" operator="greaterThan">
      <formula>0</formula>
    </cfRule>
  </conditionalFormatting>
  <conditionalFormatting sqref="Q31">
    <cfRule type="cellIs" dxfId="17599" priority="2768" operator="lessThan">
      <formula>0</formula>
    </cfRule>
  </conditionalFormatting>
  <conditionalFormatting sqref="R31">
    <cfRule type="cellIs" dxfId="17598" priority="2766" operator="lessThan">
      <formula>0.8</formula>
    </cfRule>
    <cfRule type="cellIs" dxfId="17597" priority="2767" operator="greaterThan">
      <formula>1</formula>
    </cfRule>
  </conditionalFormatting>
  <conditionalFormatting sqref="R31">
    <cfRule type="cellIs" dxfId="17596" priority="2764" operator="greaterThan">
      <formula>1</formula>
    </cfRule>
    <cfRule type="cellIs" dxfId="17595" priority="2765" operator="lessThan">
      <formula>0.8</formula>
    </cfRule>
  </conditionalFormatting>
  <conditionalFormatting sqref="P31">
    <cfRule type="cellIs" dxfId="17594" priority="2763" operator="greaterThan">
      <formula>0</formula>
    </cfRule>
  </conditionalFormatting>
  <conditionalFormatting sqref="Q31">
    <cfRule type="cellIs" dxfId="17593" priority="2762" operator="lessThan">
      <formula>0</formula>
    </cfRule>
  </conditionalFormatting>
  <conditionalFormatting sqref="R31">
    <cfRule type="cellIs" dxfId="17592" priority="2760" operator="lessThan">
      <formula>0.8</formula>
    </cfRule>
    <cfRule type="cellIs" dxfId="17591" priority="2761" operator="greaterThan">
      <formula>1</formula>
    </cfRule>
  </conditionalFormatting>
  <conditionalFormatting sqref="R31">
    <cfRule type="cellIs" dxfId="17590" priority="2758" operator="greaterThan">
      <formula>1</formula>
    </cfRule>
    <cfRule type="cellIs" dxfId="17589" priority="2759" operator="lessThan">
      <formula>0.8</formula>
    </cfRule>
  </conditionalFormatting>
  <conditionalFormatting sqref="P31">
    <cfRule type="cellIs" dxfId="17588" priority="2757" operator="greaterThan">
      <formula>0</formula>
    </cfRule>
  </conditionalFormatting>
  <conditionalFormatting sqref="Q31">
    <cfRule type="cellIs" dxfId="17587" priority="2756" operator="lessThan">
      <formula>0</formula>
    </cfRule>
  </conditionalFormatting>
  <conditionalFormatting sqref="R31">
    <cfRule type="cellIs" dxfId="17586" priority="2754" operator="lessThan">
      <formula>0.8</formula>
    </cfRule>
    <cfRule type="cellIs" dxfId="17585" priority="2755" operator="greaterThan">
      <formula>1</formula>
    </cfRule>
  </conditionalFormatting>
  <conditionalFormatting sqref="R31">
    <cfRule type="cellIs" dxfId="17584" priority="2752" operator="greaterThan">
      <formula>1</formula>
    </cfRule>
    <cfRule type="cellIs" dxfId="17583" priority="2753" operator="lessThan">
      <formula>0.8</formula>
    </cfRule>
  </conditionalFormatting>
  <conditionalFormatting sqref="P31">
    <cfRule type="cellIs" dxfId="17582" priority="2751" operator="greaterThan">
      <formula>0</formula>
    </cfRule>
  </conditionalFormatting>
  <conditionalFormatting sqref="P31">
    <cfRule type="cellIs" dxfId="17581" priority="2745" operator="greaterThan">
      <formula>0</formula>
    </cfRule>
  </conditionalFormatting>
  <conditionalFormatting sqref="Q31">
    <cfRule type="cellIs" dxfId="17580" priority="2750" operator="lessThan">
      <formula>0</formula>
    </cfRule>
  </conditionalFormatting>
  <conditionalFormatting sqref="R31">
    <cfRule type="cellIs" dxfId="17579" priority="2748" operator="lessThan">
      <formula>0.8</formula>
    </cfRule>
    <cfRule type="cellIs" dxfId="17578" priority="2749" operator="greaterThan">
      <formula>1</formula>
    </cfRule>
  </conditionalFormatting>
  <conditionalFormatting sqref="R31">
    <cfRule type="cellIs" dxfId="17577" priority="2746" operator="greaterThan">
      <formula>1</formula>
    </cfRule>
    <cfRule type="cellIs" dxfId="17576" priority="2747" operator="lessThan">
      <formula>0.8</formula>
    </cfRule>
  </conditionalFormatting>
  <conditionalFormatting sqref="P31">
    <cfRule type="cellIs" dxfId="17575" priority="2739" operator="greaterThan">
      <formula>0</formula>
    </cfRule>
  </conditionalFormatting>
  <conditionalFormatting sqref="Q31">
    <cfRule type="cellIs" dxfId="17574" priority="2744" operator="lessThan">
      <formula>0</formula>
    </cfRule>
  </conditionalFormatting>
  <conditionalFormatting sqref="R31">
    <cfRule type="cellIs" dxfId="17573" priority="2742" operator="lessThan">
      <formula>0.8</formula>
    </cfRule>
    <cfRule type="cellIs" dxfId="17572" priority="2743" operator="greaterThan">
      <formula>1</formula>
    </cfRule>
  </conditionalFormatting>
  <conditionalFormatting sqref="R31">
    <cfRule type="cellIs" dxfId="17571" priority="2740" operator="greaterThan">
      <formula>1</formula>
    </cfRule>
    <cfRule type="cellIs" dxfId="17570" priority="2741" operator="lessThan">
      <formula>0.8</formula>
    </cfRule>
  </conditionalFormatting>
  <conditionalFormatting sqref="R31">
    <cfRule type="cellIs" dxfId="17569" priority="2736" operator="lessThan">
      <formula>0.8</formula>
    </cfRule>
    <cfRule type="cellIs" dxfId="17568" priority="2737" operator="greaterThan">
      <formula>1</formula>
    </cfRule>
  </conditionalFormatting>
  <conditionalFormatting sqref="R31">
    <cfRule type="cellIs" dxfId="17567" priority="2734" operator="greaterThan">
      <formula>1</formula>
    </cfRule>
    <cfRule type="cellIs" dxfId="17566" priority="2735" operator="lessThan">
      <formula>0.8</formula>
    </cfRule>
  </conditionalFormatting>
  <conditionalFormatting sqref="P31">
    <cfRule type="cellIs" dxfId="17565" priority="2733" operator="greaterThan">
      <formula>0</formula>
    </cfRule>
  </conditionalFormatting>
  <conditionalFormatting sqref="Q31">
    <cfRule type="cellIs" dxfId="17564" priority="2738" operator="lessThan">
      <formula>0</formula>
    </cfRule>
  </conditionalFormatting>
  <conditionalFormatting sqref="Q31">
    <cfRule type="cellIs" dxfId="17563" priority="2732" operator="lessThan">
      <formula>0</formula>
    </cfRule>
  </conditionalFormatting>
  <conditionalFormatting sqref="R31">
    <cfRule type="cellIs" dxfId="17562" priority="2730" operator="lessThan">
      <formula>0.8</formula>
    </cfRule>
    <cfRule type="cellIs" dxfId="17561" priority="2731" operator="greaterThan">
      <formula>1</formula>
    </cfRule>
  </conditionalFormatting>
  <conditionalFormatting sqref="R31">
    <cfRule type="cellIs" dxfId="17560" priority="2728" operator="greaterThan">
      <formula>1</formula>
    </cfRule>
    <cfRule type="cellIs" dxfId="17559" priority="2729" operator="lessThan">
      <formula>0.8</formula>
    </cfRule>
  </conditionalFormatting>
  <conditionalFormatting sqref="P31">
    <cfRule type="cellIs" dxfId="17558" priority="2727" operator="greaterThan">
      <formula>0</formula>
    </cfRule>
  </conditionalFormatting>
  <conditionalFormatting sqref="P31">
    <cfRule type="cellIs" dxfId="17557" priority="2721" operator="greaterThan">
      <formula>0</formula>
    </cfRule>
  </conditionalFormatting>
  <conditionalFormatting sqref="Q31">
    <cfRule type="cellIs" dxfId="17556" priority="2726" operator="lessThan">
      <formula>0</formula>
    </cfRule>
  </conditionalFormatting>
  <conditionalFormatting sqref="R31">
    <cfRule type="cellIs" dxfId="17555" priority="2724" operator="lessThan">
      <formula>0.8</formula>
    </cfRule>
    <cfRule type="cellIs" dxfId="17554" priority="2725" operator="greaterThan">
      <formula>1</formula>
    </cfRule>
  </conditionalFormatting>
  <conditionalFormatting sqref="R31">
    <cfRule type="cellIs" dxfId="17553" priority="2722" operator="greaterThan">
      <formula>1</formula>
    </cfRule>
    <cfRule type="cellIs" dxfId="17552" priority="2723" operator="lessThan">
      <formula>0.8</formula>
    </cfRule>
  </conditionalFormatting>
  <conditionalFormatting sqref="P31">
    <cfRule type="cellIs" dxfId="17551" priority="2715" operator="greaterThan">
      <formula>0</formula>
    </cfRule>
  </conditionalFormatting>
  <conditionalFormatting sqref="Q31">
    <cfRule type="cellIs" dxfId="17550" priority="2720" operator="lessThan">
      <formula>0</formula>
    </cfRule>
  </conditionalFormatting>
  <conditionalFormatting sqref="R31">
    <cfRule type="cellIs" dxfId="17549" priority="2718" operator="lessThan">
      <formula>0.8</formula>
    </cfRule>
    <cfRule type="cellIs" dxfId="17548" priority="2719" operator="greaterThan">
      <formula>1</formula>
    </cfRule>
  </conditionalFormatting>
  <conditionalFormatting sqref="R31">
    <cfRule type="cellIs" dxfId="17547" priority="2716" operator="greaterThan">
      <formula>1</formula>
    </cfRule>
    <cfRule type="cellIs" dxfId="17546" priority="2717" operator="lessThan">
      <formula>0.8</formula>
    </cfRule>
  </conditionalFormatting>
  <conditionalFormatting sqref="R31">
    <cfRule type="cellIs" dxfId="17545" priority="2712" operator="lessThan">
      <formula>0.8</formula>
    </cfRule>
    <cfRule type="cellIs" dxfId="17544" priority="2713" operator="greaterThan">
      <formula>1</formula>
    </cfRule>
  </conditionalFormatting>
  <conditionalFormatting sqref="R31">
    <cfRule type="cellIs" dxfId="17543" priority="2710" operator="greaterThan">
      <formula>1</formula>
    </cfRule>
    <cfRule type="cellIs" dxfId="17542" priority="2711" operator="lessThan">
      <formula>0.8</formula>
    </cfRule>
  </conditionalFormatting>
  <conditionalFormatting sqref="P31">
    <cfRule type="cellIs" dxfId="17541" priority="2709" operator="greaterThan">
      <formula>0</formula>
    </cfRule>
  </conditionalFormatting>
  <conditionalFormatting sqref="Q31">
    <cfRule type="cellIs" dxfId="17540" priority="2714" operator="lessThan">
      <formula>0</formula>
    </cfRule>
  </conditionalFormatting>
  <conditionalFormatting sqref="P31">
    <cfRule type="cellIs" dxfId="17539" priority="2703" operator="greaterThan">
      <formula>0</formula>
    </cfRule>
  </conditionalFormatting>
  <conditionalFormatting sqref="Q31">
    <cfRule type="cellIs" dxfId="17538" priority="2708" operator="lessThan">
      <formula>0</formula>
    </cfRule>
  </conditionalFormatting>
  <conditionalFormatting sqref="R31">
    <cfRule type="cellIs" dxfId="17537" priority="2706" operator="lessThan">
      <formula>0.8</formula>
    </cfRule>
    <cfRule type="cellIs" dxfId="17536" priority="2707" operator="greaterThan">
      <formula>1</formula>
    </cfRule>
  </conditionalFormatting>
  <conditionalFormatting sqref="R31">
    <cfRule type="cellIs" dxfId="17535" priority="2704" operator="greaterThan">
      <formula>1</formula>
    </cfRule>
    <cfRule type="cellIs" dxfId="17534" priority="2705" operator="lessThan">
      <formula>0.8</formula>
    </cfRule>
  </conditionalFormatting>
  <conditionalFormatting sqref="R31">
    <cfRule type="cellIs" dxfId="17533" priority="2700" operator="lessThan">
      <formula>0.8</formula>
    </cfRule>
    <cfRule type="cellIs" dxfId="17532" priority="2701" operator="greaterThan">
      <formula>1</formula>
    </cfRule>
  </conditionalFormatting>
  <conditionalFormatting sqref="R31">
    <cfRule type="cellIs" dxfId="17531" priority="2698" operator="greaterThan">
      <formula>1</formula>
    </cfRule>
    <cfRule type="cellIs" dxfId="17530" priority="2699" operator="lessThan">
      <formula>0.8</formula>
    </cfRule>
  </conditionalFormatting>
  <conditionalFormatting sqref="P31">
    <cfRule type="cellIs" dxfId="17529" priority="2697" operator="greaterThan">
      <formula>0</formula>
    </cfRule>
  </conditionalFormatting>
  <conditionalFormatting sqref="Q31">
    <cfRule type="cellIs" dxfId="17528" priority="2702" operator="lessThan">
      <formula>0</formula>
    </cfRule>
  </conditionalFormatting>
  <conditionalFormatting sqref="R31">
    <cfRule type="cellIs" dxfId="17527" priority="2694" operator="lessThan">
      <formula>0.8</formula>
    </cfRule>
    <cfRule type="cellIs" dxfId="17526" priority="2695" operator="greaterThan">
      <formula>1</formula>
    </cfRule>
  </conditionalFormatting>
  <conditionalFormatting sqref="R31">
    <cfRule type="cellIs" dxfId="17525" priority="2692" operator="greaterThan">
      <formula>1</formula>
    </cfRule>
    <cfRule type="cellIs" dxfId="17524" priority="2693" operator="lessThan">
      <formula>0.8</formula>
    </cfRule>
  </conditionalFormatting>
  <conditionalFormatting sqref="P31">
    <cfRule type="cellIs" dxfId="17523" priority="2691" operator="greaterThan">
      <formula>0</formula>
    </cfRule>
  </conditionalFormatting>
  <conditionalFormatting sqref="Q31">
    <cfRule type="cellIs" dxfId="17522" priority="2696" operator="lessThan">
      <formula>0</formula>
    </cfRule>
  </conditionalFormatting>
  <conditionalFormatting sqref="Q31">
    <cfRule type="cellIs" dxfId="17521" priority="2690" operator="lessThan">
      <formula>0</formula>
    </cfRule>
  </conditionalFormatting>
  <conditionalFormatting sqref="R31">
    <cfRule type="cellIs" dxfId="17520" priority="2688" operator="lessThan">
      <formula>0.8</formula>
    </cfRule>
    <cfRule type="cellIs" dxfId="17519" priority="2689" operator="greaterThan">
      <formula>1</formula>
    </cfRule>
  </conditionalFormatting>
  <conditionalFormatting sqref="R31">
    <cfRule type="cellIs" dxfId="17518" priority="2686" operator="greaterThan">
      <formula>1</formula>
    </cfRule>
    <cfRule type="cellIs" dxfId="17517" priority="2687" operator="lessThan">
      <formula>0.8</formula>
    </cfRule>
  </conditionalFormatting>
  <conditionalFormatting sqref="P31">
    <cfRule type="cellIs" dxfId="17516" priority="2685" operator="greaterThan">
      <formula>0</formula>
    </cfRule>
  </conditionalFormatting>
  <conditionalFormatting sqref="Q31">
    <cfRule type="cellIs" dxfId="17515" priority="2679" operator="lessThan">
      <formula>0</formula>
    </cfRule>
  </conditionalFormatting>
  <conditionalFormatting sqref="R31">
    <cfRule type="cellIs" dxfId="17514" priority="2683" operator="lessThan">
      <formula>0.8</formula>
    </cfRule>
    <cfRule type="cellIs" dxfId="17513" priority="2684" operator="greaterThan">
      <formula>1</formula>
    </cfRule>
  </conditionalFormatting>
  <conditionalFormatting sqref="R31">
    <cfRule type="cellIs" dxfId="17512" priority="2681" operator="greaterThan">
      <formula>1</formula>
    </cfRule>
    <cfRule type="cellIs" dxfId="17511" priority="2682" operator="lessThan">
      <formula>0.8</formula>
    </cfRule>
  </conditionalFormatting>
  <conditionalFormatting sqref="P31">
    <cfRule type="cellIs" dxfId="17510" priority="2680" operator="greaterThan">
      <formula>0</formula>
    </cfRule>
  </conditionalFormatting>
  <conditionalFormatting sqref="Q31">
    <cfRule type="cellIs" dxfId="17509" priority="2678" operator="lessThan">
      <formula>0</formula>
    </cfRule>
  </conditionalFormatting>
  <conditionalFormatting sqref="R31">
    <cfRule type="cellIs" dxfId="17508" priority="2676" operator="lessThan">
      <formula>0.8</formula>
    </cfRule>
    <cfRule type="cellIs" dxfId="17507" priority="2677" operator="greaterThan">
      <formula>1</formula>
    </cfRule>
  </conditionalFormatting>
  <conditionalFormatting sqref="R31">
    <cfRule type="cellIs" dxfId="17506" priority="2674" operator="greaterThan">
      <formula>1</formula>
    </cfRule>
    <cfRule type="cellIs" dxfId="17505" priority="2675" operator="lessThan">
      <formula>0.8</formula>
    </cfRule>
  </conditionalFormatting>
  <conditionalFormatting sqref="P31">
    <cfRule type="cellIs" dxfId="17504" priority="2673" operator="greaterThan">
      <formula>0</formula>
    </cfRule>
  </conditionalFormatting>
  <conditionalFormatting sqref="Q31">
    <cfRule type="cellIs" dxfId="17503" priority="2672" operator="lessThan">
      <formula>0</formula>
    </cfRule>
  </conditionalFormatting>
  <conditionalFormatting sqref="R31">
    <cfRule type="cellIs" dxfId="17502" priority="2670" operator="lessThan">
      <formula>0.8</formula>
    </cfRule>
    <cfRule type="cellIs" dxfId="17501" priority="2671" operator="greaterThan">
      <formula>1</formula>
    </cfRule>
  </conditionalFormatting>
  <conditionalFormatting sqref="R31">
    <cfRule type="cellIs" dxfId="17500" priority="2668" operator="greaterThan">
      <formula>1</formula>
    </cfRule>
    <cfRule type="cellIs" dxfId="17499" priority="2669" operator="lessThan">
      <formula>0.8</formula>
    </cfRule>
  </conditionalFormatting>
  <conditionalFormatting sqref="P31">
    <cfRule type="cellIs" dxfId="17498" priority="2667" operator="greaterThan">
      <formula>0</formula>
    </cfRule>
  </conditionalFormatting>
  <conditionalFormatting sqref="Q31">
    <cfRule type="cellIs" dxfId="17497" priority="2666" operator="lessThan">
      <formula>0</formula>
    </cfRule>
  </conditionalFormatting>
  <conditionalFormatting sqref="R31">
    <cfRule type="cellIs" dxfId="17496" priority="2664" operator="lessThan">
      <formula>0.8</formula>
    </cfRule>
    <cfRule type="cellIs" dxfId="17495" priority="2665" operator="greaterThan">
      <formula>1</formula>
    </cfRule>
  </conditionalFormatting>
  <conditionalFormatting sqref="R31">
    <cfRule type="cellIs" dxfId="17494" priority="2662" operator="greaterThan">
      <formula>1</formula>
    </cfRule>
    <cfRule type="cellIs" dxfId="17493" priority="2663" operator="lessThan">
      <formula>0.8</formula>
    </cfRule>
  </conditionalFormatting>
  <conditionalFormatting sqref="P31">
    <cfRule type="cellIs" dxfId="17492" priority="2661" operator="greaterThan">
      <formula>0</formula>
    </cfRule>
  </conditionalFormatting>
  <conditionalFormatting sqref="Q31">
    <cfRule type="cellIs" dxfId="17491" priority="2660" operator="lessThan">
      <formula>0</formula>
    </cfRule>
  </conditionalFormatting>
  <conditionalFormatting sqref="R31">
    <cfRule type="cellIs" dxfId="17490" priority="2658" operator="lessThan">
      <formula>0.8</formula>
    </cfRule>
    <cfRule type="cellIs" dxfId="17489" priority="2659" operator="greaterThan">
      <formula>1</formula>
    </cfRule>
  </conditionalFormatting>
  <conditionalFormatting sqref="R31">
    <cfRule type="cellIs" dxfId="17488" priority="2656" operator="greaterThan">
      <formula>1</formula>
    </cfRule>
    <cfRule type="cellIs" dxfId="17487" priority="2657" operator="lessThan">
      <formula>0.8</formula>
    </cfRule>
  </conditionalFormatting>
  <conditionalFormatting sqref="P31">
    <cfRule type="cellIs" dxfId="17486" priority="2655" operator="greaterThan">
      <formula>0</formula>
    </cfRule>
  </conditionalFormatting>
  <conditionalFormatting sqref="Q31">
    <cfRule type="cellIs" dxfId="17485" priority="2654" operator="lessThan">
      <formula>0</formula>
    </cfRule>
  </conditionalFormatting>
  <conditionalFormatting sqref="R31">
    <cfRule type="cellIs" dxfId="17484" priority="2652" operator="lessThan">
      <formula>0.8</formula>
    </cfRule>
    <cfRule type="cellIs" dxfId="17483" priority="2653" operator="greaterThan">
      <formula>1</formula>
    </cfRule>
  </conditionalFormatting>
  <conditionalFormatting sqref="R31">
    <cfRule type="cellIs" dxfId="17482" priority="2650" operator="greaterThan">
      <formula>1</formula>
    </cfRule>
    <cfRule type="cellIs" dxfId="17481" priority="2651" operator="lessThan">
      <formula>0.8</formula>
    </cfRule>
  </conditionalFormatting>
  <conditionalFormatting sqref="P31">
    <cfRule type="cellIs" dxfId="17480" priority="2649" operator="greaterThan">
      <formula>0</formula>
    </cfRule>
  </conditionalFormatting>
  <conditionalFormatting sqref="P31">
    <cfRule type="cellIs" dxfId="17479" priority="2643" operator="greaterThan">
      <formula>0</formula>
    </cfRule>
  </conditionalFormatting>
  <conditionalFormatting sqref="Q31">
    <cfRule type="cellIs" dxfId="17478" priority="2648" operator="lessThan">
      <formula>0</formula>
    </cfRule>
  </conditionalFormatting>
  <conditionalFormatting sqref="R31">
    <cfRule type="cellIs" dxfId="17477" priority="2646" operator="lessThan">
      <formula>0.8</formula>
    </cfRule>
    <cfRule type="cellIs" dxfId="17476" priority="2647" operator="greaterThan">
      <formula>1</formula>
    </cfRule>
  </conditionalFormatting>
  <conditionalFormatting sqref="R31">
    <cfRule type="cellIs" dxfId="17475" priority="2644" operator="greaterThan">
      <formula>1</formula>
    </cfRule>
    <cfRule type="cellIs" dxfId="17474" priority="2645" operator="lessThan">
      <formula>0.8</formula>
    </cfRule>
  </conditionalFormatting>
  <conditionalFormatting sqref="P31">
    <cfRule type="cellIs" dxfId="17473" priority="2637" operator="greaterThan">
      <formula>0</formula>
    </cfRule>
  </conditionalFormatting>
  <conditionalFormatting sqref="Q31">
    <cfRule type="cellIs" dxfId="17472" priority="2642" operator="lessThan">
      <formula>0</formula>
    </cfRule>
  </conditionalFormatting>
  <conditionalFormatting sqref="R31">
    <cfRule type="cellIs" dxfId="17471" priority="2640" operator="lessThan">
      <formula>0.8</formula>
    </cfRule>
    <cfRule type="cellIs" dxfId="17470" priority="2641" operator="greaterThan">
      <formula>1</formula>
    </cfRule>
  </conditionalFormatting>
  <conditionalFormatting sqref="R31">
    <cfRule type="cellIs" dxfId="17469" priority="2638" operator="greaterThan">
      <formula>1</formula>
    </cfRule>
    <cfRule type="cellIs" dxfId="17468" priority="2639" operator="lessThan">
      <formula>0.8</formula>
    </cfRule>
  </conditionalFormatting>
  <conditionalFormatting sqref="R31">
    <cfRule type="cellIs" dxfId="17467" priority="2634" operator="lessThan">
      <formula>0.8</formula>
    </cfRule>
    <cfRule type="cellIs" dxfId="17466" priority="2635" operator="greaterThan">
      <formula>1</formula>
    </cfRule>
  </conditionalFormatting>
  <conditionalFormatting sqref="R31">
    <cfRule type="cellIs" dxfId="17465" priority="2632" operator="greaterThan">
      <formula>1</formula>
    </cfRule>
    <cfRule type="cellIs" dxfId="17464" priority="2633" operator="lessThan">
      <formula>0.8</formula>
    </cfRule>
  </conditionalFormatting>
  <conditionalFormatting sqref="P31">
    <cfRule type="cellIs" dxfId="17463" priority="2631" operator="greaterThan">
      <formula>0</formula>
    </cfRule>
  </conditionalFormatting>
  <conditionalFormatting sqref="Q31">
    <cfRule type="cellIs" dxfId="17462" priority="2636" operator="lessThan">
      <formula>0</formula>
    </cfRule>
  </conditionalFormatting>
  <conditionalFormatting sqref="P79">
    <cfRule type="cellIs" dxfId="17461" priority="2625" operator="greaterThan">
      <formula>0</formula>
    </cfRule>
  </conditionalFormatting>
  <conditionalFormatting sqref="Q79">
    <cfRule type="cellIs" dxfId="17460" priority="2630" operator="lessThan">
      <formula>0</formula>
    </cfRule>
  </conditionalFormatting>
  <conditionalFormatting sqref="R79">
    <cfRule type="cellIs" dxfId="17459" priority="2628" operator="lessThan">
      <formula>0.8</formula>
    </cfRule>
    <cfRule type="cellIs" dxfId="17458" priority="2629" operator="greaterThan">
      <formula>1</formula>
    </cfRule>
  </conditionalFormatting>
  <conditionalFormatting sqref="R79">
    <cfRule type="cellIs" dxfId="17457" priority="2626" operator="greaterThan">
      <formula>1</formula>
    </cfRule>
    <cfRule type="cellIs" dxfId="17456" priority="2627" operator="lessThan">
      <formula>0.8</formula>
    </cfRule>
  </conditionalFormatting>
  <conditionalFormatting sqref="Q79">
    <cfRule type="cellIs" dxfId="17455" priority="2624" operator="lessThan">
      <formula>0</formula>
    </cfRule>
  </conditionalFormatting>
  <conditionalFormatting sqref="R79">
    <cfRule type="cellIs" dxfId="17454" priority="2622" operator="lessThan">
      <formula>0.8</formula>
    </cfRule>
    <cfRule type="cellIs" dxfId="17453" priority="2623" operator="greaterThan">
      <formula>1</formula>
    </cfRule>
  </conditionalFormatting>
  <conditionalFormatting sqref="R79">
    <cfRule type="cellIs" dxfId="17452" priority="2620" operator="greaterThan">
      <formula>1</formula>
    </cfRule>
    <cfRule type="cellIs" dxfId="17451" priority="2621" operator="lessThan">
      <formula>0.8</formula>
    </cfRule>
  </conditionalFormatting>
  <conditionalFormatting sqref="P79">
    <cfRule type="cellIs" dxfId="17450" priority="2619" operator="greaterThan">
      <formula>0</formula>
    </cfRule>
  </conditionalFormatting>
  <conditionalFormatting sqref="P79">
    <cfRule type="cellIs" dxfId="17449" priority="2613" operator="greaterThan">
      <formula>0</formula>
    </cfRule>
  </conditionalFormatting>
  <conditionalFormatting sqref="Q79">
    <cfRule type="cellIs" dxfId="17448" priority="2618" operator="lessThan">
      <formula>0</formula>
    </cfRule>
  </conditionalFormatting>
  <conditionalFormatting sqref="R79">
    <cfRule type="cellIs" dxfId="17447" priority="2616" operator="lessThan">
      <formula>0.8</formula>
    </cfRule>
    <cfRule type="cellIs" dxfId="17446" priority="2617" operator="greaterThan">
      <formula>1</formula>
    </cfRule>
  </conditionalFormatting>
  <conditionalFormatting sqref="R79">
    <cfRule type="cellIs" dxfId="17445" priority="2614" operator="greaterThan">
      <formula>1</formula>
    </cfRule>
    <cfRule type="cellIs" dxfId="17444" priority="2615" operator="lessThan">
      <formula>0.8</formula>
    </cfRule>
  </conditionalFormatting>
  <conditionalFormatting sqref="Q79">
    <cfRule type="cellIs" dxfId="17443" priority="2607" operator="lessThan">
      <formula>0</formula>
    </cfRule>
  </conditionalFormatting>
  <conditionalFormatting sqref="P79">
    <cfRule type="cellIs" dxfId="17442" priority="2608" operator="greaterThan">
      <formula>0</formula>
    </cfRule>
  </conditionalFormatting>
  <conditionalFormatting sqref="R79">
    <cfRule type="cellIs" dxfId="17441" priority="2611" operator="lessThan">
      <formula>0.8</formula>
    </cfRule>
    <cfRule type="cellIs" dxfId="17440" priority="2612" operator="greaterThan">
      <formula>1</formula>
    </cfRule>
  </conditionalFormatting>
  <conditionalFormatting sqref="R79">
    <cfRule type="cellIs" dxfId="17439" priority="2609" operator="greaterThan">
      <formula>1</formula>
    </cfRule>
    <cfRule type="cellIs" dxfId="17438" priority="2610" operator="lessThan">
      <formula>0.8</formula>
    </cfRule>
  </conditionalFormatting>
  <conditionalFormatting sqref="Q79">
    <cfRule type="cellIs" dxfId="17437" priority="2601" operator="lessThan">
      <formula>0</formula>
    </cfRule>
  </conditionalFormatting>
  <conditionalFormatting sqref="R79">
    <cfRule type="cellIs" dxfId="17436" priority="2605" operator="lessThan">
      <formula>0.8</formula>
    </cfRule>
    <cfRule type="cellIs" dxfId="17435" priority="2606" operator="greaterThan">
      <formula>1</formula>
    </cfRule>
  </conditionalFormatting>
  <conditionalFormatting sqref="R79">
    <cfRule type="cellIs" dxfId="17434" priority="2603" operator="greaterThan">
      <formula>1</formula>
    </cfRule>
    <cfRule type="cellIs" dxfId="17433" priority="2604" operator="lessThan">
      <formula>0.8</formula>
    </cfRule>
  </conditionalFormatting>
  <conditionalFormatting sqref="P79">
    <cfRule type="cellIs" dxfId="17432" priority="2602" operator="greaterThan">
      <formula>0</formula>
    </cfRule>
  </conditionalFormatting>
  <conditionalFormatting sqref="Q79">
    <cfRule type="cellIs" dxfId="17431" priority="2600" operator="lessThan">
      <formula>0</formula>
    </cfRule>
  </conditionalFormatting>
  <conditionalFormatting sqref="R79">
    <cfRule type="cellIs" dxfId="17430" priority="2598" operator="lessThan">
      <formula>0.8</formula>
    </cfRule>
    <cfRule type="cellIs" dxfId="17429" priority="2599" operator="greaterThan">
      <formula>1</formula>
    </cfRule>
  </conditionalFormatting>
  <conditionalFormatting sqref="R79">
    <cfRule type="cellIs" dxfId="17428" priority="2596" operator="greaterThan">
      <formula>1</formula>
    </cfRule>
    <cfRule type="cellIs" dxfId="17427" priority="2597" operator="lessThan">
      <formula>0.8</formula>
    </cfRule>
  </conditionalFormatting>
  <conditionalFormatting sqref="P79">
    <cfRule type="cellIs" dxfId="17426" priority="2595" operator="greaterThan">
      <formula>0</formula>
    </cfRule>
  </conditionalFormatting>
  <conditionalFormatting sqref="Q79">
    <cfRule type="cellIs" dxfId="17425" priority="2594" operator="lessThan">
      <formula>0</formula>
    </cfRule>
  </conditionalFormatting>
  <conditionalFormatting sqref="R79">
    <cfRule type="cellIs" dxfId="17424" priority="2592" operator="lessThan">
      <formula>0.8</formula>
    </cfRule>
    <cfRule type="cellIs" dxfId="17423" priority="2593" operator="greaterThan">
      <formula>1</formula>
    </cfRule>
  </conditionalFormatting>
  <conditionalFormatting sqref="R79">
    <cfRule type="cellIs" dxfId="17422" priority="2590" operator="greaterThan">
      <formula>1</formula>
    </cfRule>
    <cfRule type="cellIs" dxfId="17421" priority="2591" operator="lessThan">
      <formula>0.8</formula>
    </cfRule>
  </conditionalFormatting>
  <conditionalFormatting sqref="P79">
    <cfRule type="cellIs" dxfId="17420" priority="2589" operator="greaterThan">
      <formula>0</formula>
    </cfRule>
  </conditionalFormatting>
  <conditionalFormatting sqref="P79">
    <cfRule type="cellIs" dxfId="17419" priority="2583" operator="greaterThan">
      <formula>0</formula>
    </cfRule>
  </conditionalFormatting>
  <conditionalFormatting sqref="Q79">
    <cfRule type="cellIs" dxfId="17418" priority="2588" operator="lessThan">
      <formula>0</formula>
    </cfRule>
  </conditionalFormatting>
  <conditionalFormatting sqref="R79">
    <cfRule type="cellIs" dxfId="17417" priority="2586" operator="lessThan">
      <formula>0.8</formula>
    </cfRule>
    <cfRule type="cellIs" dxfId="17416" priority="2587" operator="greaterThan">
      <formula>1</formula>
    </cfRule>
  </conditionalFormatting>
  <conditionalFormatting sqref="R79">
    <cfRule type="cellIs" dxfId="17415" priority="2584" operator="greaterThan">
      <formula>1</formula>
    </cfRule>
    <cfRule type="cellIs" dxfId="17414" priority="2585" operator="lessThan">
      <formula>0.8</formula>
    </cfRule>
  </conditionalFormatting>
  <conditionalFormatting sqref="P71:P78">
    <cfRule type="cellIs" dxfId="17413" priority="2577" operator="greaterThan">
      <formula>0</formula>
    </cfRule>
  </conditionalFormatting>
  <conditionalFormatting sqref="Q71:Q78">
    <cfRule type="cellIs" dxfId="17412" priority="2582" operator="lessThan">
      <formula>0</formula>
    </cfRule>
  </conditionalFormatting>
  <conditionalFormatting sqref="R71:R78">
    <cfRule type="cellIs" dxfId="17411" priority="2580" operator="lessThan">
      <formula>0.8</formula>
    </cfRule>
    <cfRule type="cellIs" dxfId="17410" priority="2581" operator="greaterThan">
      <formula>1</formula>
    </cfRule>
  </conditionalFormatting>
  <conditionalFormatting sqref="R71:R78">
    <cfRule type="cellIs" dxfId="17409" priority="2578" operator="greaterThan">
      <formula>1</formula>
    </cfRule>
    <cfRule type="cellIs" dxfId="17408" priority="2579" operator="lessThan">
      <formula>0.8</formula>
    </cfRule>
  </conditionalFormatting>
  <conditionalFormatting sqref="Q148:Q153">
    <cfRule type="cellIs" dxfId="17407" priority="2576" operator="lessThan">
      <formula>0</formula>
    </cfRule>
  </conditionalFormatting>
  <conditionalFormatting sqref="R148:R153">
    <cfRule type="cellIs" dxfId="17406" priority="2574" operator="lessThan">
      <formula>0.8</formula>
    </cfRule>
    <cfRule type="cellIs" dxfId="17405" priority="2575" operator="greaterThan">
      <formula>1</formula>
    </cfRule>
  </conditionalFormatting>
  <conditionalFormatting sqref="R148:R153">
    <cfRule type="cellIs" dxfId="17404" priority="2572" operator="greaterThan">
      <formula>1</formula>
    </cfRule>
    <cfRule type="cellIs" dxfId="17403" priority="2573" operator="lessThan">
      <formula>0.8</formula>
    </cfRule>
  </conditionalFormatting>
  <conditionalFormatting sqref="P148:P153">
    <cfRule type="cellIs" dxfId="17402" priority="2571" operator="greaterThan">
      <formula>0</formula>
    </cfRule>
  </conditionalFormatting>
  <conditionalFormatting sqref="Q148:Q153">
    <cfRule type="cellIs" dxfId="17401" priority="2570" operator="lessThan">
      <formula>0</formula>
    </cfRule>
  </conditionalFormatting>
  <conditionalFormatting sqref="R148:R153">
    <cfRule type="cellIs" dxfId="17400" priority="2568" operator="lessThan">
      <formula>0.8</formula>
    </cfRule>
    <cfRule type="cellIs" dxfId="17399" priority="2569" operator="greaterThan">
      <formula>1</formula>
    </cfRule>
  </conditionalFormatting>
  <conditionalFormatting sqref="R148:R153">
    <cfRule type="cellIs" dxfId="17398" priority="2566" operator="greaterThan">
      <formula>1</formula>
    </cfRule>
    <cfRule type="cellIs" dxfId="17397" priority="2567" operator="lessThan">
      <formula>0.8</formula>
    </cfRule>
  </conditionalFormatting>
  <conditionalFormatting sqref="P148:P153">
    <cfRule type="cellIs" dxfId="17396" priority="2565" operator="greaterThan">
      <formula>0</formula>
    </cfRule>
  </conditionalFormatting>
  <conditionalFormatting sqref="Q148:Q153">
    <cfRule type="cellIs" dxfId="17395" priority="2564" operator="lessThan">
      <formula>0</formula>
    </cfRule>
  </conditionalFormatting>
  <conditionalFormatting sqref="R148:R153">
    <cfRule type="cellIs" dxfId="17394" priority="2562" operator="lessThan">
      <formula>0.8</formula>
    </cfRule>
    <cfRule type="cellIs" dxfId="17393" priority="2563" operator="greaterThan">
      <formula>1</formula>
    </cfRule>
  </conditionalFormatting>
  <conditionalFormatting sqref="R148:R153">
    <cfRule type="cellIs" dxfId="17392" priority="2560" operator="greaterThan">
      <formula>1</formula>
    </cfRule>
    <cfRule type="cellIs" dxfId="17391" priority="2561" operator="lessThan">
      <formula>0.8</formula>
    </cfRule>
  </conditionalFormatting>
  <conditionalFormatting sqref="P148:P153">
    <cfRule type="cellIs" dxfId="17390" priority="2559" operator="greaterThan">
      <formula>0</formula>
    </cfRule>
  </conditionalFormatting>
  <conditionalFormatting sqref="Q148:Q153">
    <cfRule type="cellIs" dxfId="17389" priority="2558" operator="lessThan">
      <formula>0</formula>
    </cfRule>
  </conditionalFormatting>
  <conditionalFormatting sqref="R148:R153">
    <cfRule type="cellIs" dxfId="17388" priority="2556" operator="lessThan">
      <formula>0.8</formula>
    </cfRule>
    <cfRule type="cellIs" dxfId="17387" priority="2557" operator="greaterThan">
      <formula>1</formula>
    </cfRule>
  </conditionalFormatting>
  <conditionalFormatting sqref="R148:R153">
    <cfRule type="cellIs" dxfId="17386" priority="2554" operator="greaterThan">
      <formula>1</formula>
    </cfRule>
    <cfRule type="cellIs" dxfId="17385" priority="2555" operator="lessThan">
      <formula>0.8</formula>
    </cfRule>
  </conditionalFormatting>
  <conditionalFormatting sqref="P148:P153">
    <cfRule type="cellIs" dxfId="17384" priority="2553" operator="greaterThan">
      <formula>0</formula>
    </cfRule>
  </conditionalFormatting>
  <conditionalFormatting sqref="P148:P153">
    <cfRule type="cellIs" dxfId="17383" priority="2547" operator="greaterThan">
      <formula>0</formula>
    </cfRule>
  </conditionalFormatting>
  <conditionalFormatting sqref="Q148:Q153">
    <cfRule type="cellIs" dxfId="17382" priority="2552" operator="lessThan">
      <formula>0</formula>
    </cfRule>
  </conditionalFormatting>
  <conditionalFormatting sqref="R148:R153">
    <cfRule type="cellIs" dxfId="17381" priority="2550" operator="lessThan">
      <formula>0.8</formula>
    </cfRule>
    <cfRule type="cellIs" dxfId="17380" priority="2551" operator="greaterThan">
      <formula>1</formula>
    </cfRule>
  </conditionalFormatting>
  <conditionalFormatting sqref="R148:R153">
    <cfRule type="cellIs" dxfId="17379" priority="2548" operator="greaterThan">
      <formula>1</formula>
    </cfRule>
    <cfRule type="cellIs" dxfId="17378" priority="2549" operator="lessThan">
      <formula>0.8</formula>
    </cfRule>
  </conditionalFormatting>
  <conditionalFormatting sqref="P148:P153">
    <cfRule type="cellIs" dxfId="17377" priority="2541" operator="greaterThan">
      <formula>0</formula>
    </cfRule>
  </conditionalFormatting>
  <conditionalFormatting sqref="Q148:Q153">
    <cfRule type="cellIs" dxfId="17376" priority="2546" operator="lessThan">
      <formula>0</formula>
    </cfRule>
  </conditionalFormatting>
  <conditionalFormatting sqref="R148:R153">
    <cfRule type="cellIs" dxfId="17375" priority="2544" operator="lessThan">
      <formula>0.8</formula>
    </cfRule>
    <cfRule type="cellIs" dxfId="17374" priority="2545" operator="greaterThan">
      <formula>1</formula>
    </cfRule>
  </conditionalFormatting>
  <conditionalFormatting sqref="R148:R153">
    <cfRule type="cellIs" dxfId="17373" priority="2542" operator="greaterThan">
      <formula>1</formula>
    </cfRule>
    <cfRule type="cellIs" dxfId="17372" priority="2543" operator="lessThan">
      <formula>0.8</formula>
    </cfRule>
  </conditionalFormatting>
  <conditionalFormatting sqref="R148:R153">
    <cfRule type="cellIs" dxfId="17371" priority="2538" operator="lessThan">
      <formula>0.8</formula>
    </cfRule>
    <cfRule type="cellIs" dxfId="17370" priority="2539" operator="greaterThan">
      <formula>1</formula>
    </cfRule>
  </conditionalFormatting>
  <conditionalFormatting sqref="R148:R153">
    <cfRule type="cellIs" dxfId="17369" priority="2536" operator="greaterThan">
      <formula>1</formula>
    </cfRule>
    <cfRule type="cellIs" dxfId="17368" priority="2537" operator="lessThan">
      <formula>0.8</formula>
    </cfRule>
  </conditionalFormatting>
  <conditionalFormatting sqref="P148:P153">
    <cfRule type="cellIs" dxfId="17367" priority="2535" operator="greaterThan">
      <formula>0</formula>
    </cfRule>
  </conditionalFormatting>
  <conditionalFormatting sqref="Q148:Q153">
    <cfRule type="cellIs" dxfId="17366" priority="2540" operator="lessThan">
      <formula>0</formula>
    </cfRule>
  </conditionalFormatting>
  <conditionalFormatting sqref="Q148:Q153">
    <cfRule type="cellIs" dxfId="17365" priority="2534" operator="lessThan">
      <formula>0</formula>
    </cfRule>
  </conditionalFormatting>
  <conditionalFormatting sqref="R148:R153">
    <cfRule type="cellIs" dxfId="17364" priority="2532" operator="lessThan">
      <formula>0.8</formula>
    </cfRule>
    <cfRule type="cellIs" dxfId="17363" priority="2533" operator="greaterThan">
      <formula>1</formula>
    </cfRule>
  </conditionalFormatting>
  <conditionalFormatting sqref="R148:R153">
    <cfRule type="cellIs" dxfId="17362" priority="2530" operator="greaterThan">
      <formula>1</formula>
    </cfRule>
    <cfRule type="cellIs" dxfId="17361" priority="2531" operator="lessThan">
      <formula>0.8</formula>
    </cfRule>
  </conditionalFormatting>
  <conditionalFormatting sqref="P148:P153">
    <cfRule type="cellIs" dxfId="17360" priority="2529" operator="greaterThan">
      <formula>0</formula>
    </cfRule>
  </conditionalFormatting>
  <conditionalFormatting sqref="P148:P153">
    <cfRule type="cellIs" dxfId="17359" priority="2523" operator="greaterThan">
      <formula>0</formula>
    </cfRule>
  </conditionalFormatting>
  <conditionalFormatting sqref="Q148:Q153">
    <cfRule type="cellIs" dxfId="17358" priority="2528" operator="lessThan">
      <formula>0</formula>
    </cfRule>
  </conditionalFormatting>
  <conditionalFormatting sqref="R148:R153">
    <cfRule type="cellIs" dxfId="17357" priority="2526" operator="lessThan">
      <formula>0.8</formula>
    </cfRule>
    <cfRule type="cellIs" dxfId="17356" priority="2527" operator="greaterThan">
      <formula>1</formula>
    </cfRule>
  </conditionalFormatting>
  <conditionalFormatting sqref="R148:R153">
    <cfRule type="cellIs" dxfId="17355" priority="2524" operator="greaterThan">
      <formula>1</formula>
    </cfRule>
    <cfRule type="cellIs" dxfId="17354" priority="2525" operator="lessThan">
      <formula>0.8</formula>
    </cfRule>
  </conditionalFormatting>
  <conditionalFormatting sqref="P148:P153">
    <cfRule type="cellIs" dxfId="17353" priority="2517" operator="greaterThan">
      <formula>0</formula>
    </cfRule>
  </conditionalFormatting>
  <conditionalFormatting sqref="Q148:Q153">
    <cfRule type="cellIs" dxfId="17352" priority="2522" operator="lessThan">
      <formula>0</formula>
    </cfRule>
  </conditionalFormatting>
  <conditionalFormatting sqref="R148:R153">
    <cfRule type="cellIs" dxfId="17351" priority="2520" operator="lessThan">
      <formula>0.8</formula>
    </cfRule>
    <cfRule type="cellIs" dxfId="17350" priority="2521" operator="greaterThan">
      <formula>1</formula>
    </cfRule>
  </conditionalFormatting>
  <conditionalFormatting sqref="R148:R153">
    <cfRule type="cellIs" dxfId="17349" priority="2518" operator="greaterThan">
      <formula>1</formula>
    </cfRule>
    <cfRule type="cellIs" dxfId="17348" priority="2519" operator="lessThan">
      <formula>0.8</formula>
    </cfRule>
  </conditionalFormatting>
  <conditionalFormatting sqref="R148:R153">
    <cfRule type="cellIs" dxfId="17347" priority="2514" operator="lessThan">
      <formula>0.8</formula>
    </cfRule>
    <cfRule type="cellIs" dxfId="17346" priority="2515" operator="greaterThan">
      <formula>1</formula>
    </cfRule>
  </conditionalFormatting>
  <conditionalFormatting sqref="R148:R153">
    <cfRule type="cellIs" dxfId="17345" priority="2512" operator="greaterThan">
      <formula>1</formula>
    </cfRule>
    <cfRule type="cellIs" dxfId="17344" priority="2513" operator="lessThan">
      <formula>0.8</formula>
    </cfRule>
  </conditionalFormatting>
  <conditionalFormatting sqref="P148:P153">
    <cfRule type="cellIs" dxfId="17343" priority="2511" operator="greaterThan">
      <formula>0</formula>
    </cfRule>
  </conditionalFormatting>
  <conditionalFormatting sqref="Q148:Q153">
    <cfRule type="cellIs" dxfId="17342" priority="2516" operator="lessThan">
      <formula>0</formula>
    </cfRule>
  </conditionalFormatting>
  <conditionalFormatting sqref="P148:P153">
    <cfRule type="cellIs" dxfId="17341" priority="2505" operator="greaterThan">
      <formula>0</formula>
    </cfRule>
  </conditionalFormatting>
  <conditionalFormatting sqref="Q148:Q153">
    <cfRule type="cellIs" dxfId="17340" priority="2510" operator="lessThan">
      <formula>0</formula>
    </cfRule>
  </conditionalFormatting>
  <conditionalFormatting sqref="R148:R153">
    <cfRule type="cellIs" dxfId="17339" priority="2508" operator="lessThan">
      <formula>0.8</formula>
    </cfRule>
    <cfRule type="cellIs" dxfId="17338" priority="2509" operator="greaterThan">
      <formula>1</formula>
    </cfRule>
  </conditionalFormatting>
  <conditionalFormatting sqref="R148:R153">
    <cfRule type="cellIs" dxfId="17337" priority="2506" operator="greaterThan">
      <formula>1</formula>
    </cfRule>
    <cfRule type="cellIs" dxfId="17336" priority="2507" operator="lessThan">
      <formula>0.8</formula>
    </cfRule>
  </conditionalFormatting>
  <conditionalFormatting sqref="R148:R153">
    <cfRule type="cellIs" dxfId="17335" priority="2502" operator="lessThan">
      <formula>0.8</formula>
    </cfRule>
    <cfRule type="cellIs" dxfId="17334" priority="2503" operator="greaterThan">
      <formula>1</formula>
    </cfRule>
  </conditionalFormatting>
  <conditionalFormatting sqref="R148:R153">
    <cfRule type="cellIs" dxfId="17333" priority="2500" operator="greaterThan">
      <formula>1</formula>
    </cfRule>
    <cfRule type="cellIs" dxfId="17332" priority="2501" operator="lessThan">
      <formula>0.8</formula>
    </cfRule>
  </conditionalFormatting>
  <conditionalFormatting sqref="P148:P153">
    <cfRule type="cellIs" dxfId="17331" priority="2499" operator="greaterThan">
      <formula>0</formula>
    </cfRule>
  </conditionalFormatting>
  <conditionalFormatting sqref="Q148:Q153">
    <cfRule type="cellIs" dxfId="17330" priority="2504" operator="lessThan">
      <formula>0</formula>
    </cfRule>
  </conditionalFormatting>
  <conditionalFormatting sqref="R148:R153">
    <cfRule type="cellIs" dxfId="17329" priority="2496" operator="lessThan">
      <formula>0.8</formula>
    </cfRule>
    <cfRule type="cellIs" dxfId="17328" priority="2497" operator="greaterThan">
      <formula>1</formula>
    </cfRule>
  </conditionalFormatting>
  <conditionalFormatting sqref="R148:R153">
    <cfRule type="cellIs" dxfId="17327" priority="2494" operator="greaterThan">
      <formula>1</formula>
    </cfRule>
    <cfRule type="cellIs" dxfId="17326" priority="2495" operator="lessThan">
      <formula>0.8</formula>
    </cfRule>
  </conditionalFormatting>
  <conditionalFormatting sqref="P148:P153">
    <cfRule type="cellIs" dxfId="17325" priority="2493" operator="greaterThan">
      <formula>0</formula>
    </cfRule>
  </conditionalFormatting>
  <conditionalFormatting sqref="Q148:Q153">
    <cfRule type="cellIs" dxfId="17324" priority="2498" operator="lessThan">
      <formula>0</formula>
    </cfRule>
  </conditionalFormatting>
  <conditionalFormatting sqref="Q148:Q153">
    <cfRule type="cellIs" dxfId="17323" priority="2492" operator="lessThan">
      <formula>0</formula>
    </cfRule>
  </conditionalFormatting>
  <conditionalFormatting sqref="R148:R153">
    <cfRule type="cellIs" dxfId="17322" priority="2490" operator="lessThan">
      <formula>0.8</formula>
    </cfRule>
    <cfRule type="cellIs" dxfId="17321" priority="2491" operator="greaterThan">
      <formula>1</formula>
    </cfRule>
  </conditionalFormatting>
  <conditionalFormatting sqref="R148:R153">
    <cfRule type="cellIs" dxfId="17320" priority="2488" operator="greaterThan">
      <formula>1</formula>
    </cfRule>
    <cfRule type="cellIs" dxfId="17319" priority="2489" operator="lessThan">
      <formula>0.8</formula>
    </cfRule>
  </conditionalFormatting>
  <conditionalFormatting sqref="P148:P153">
    <cfRule type="cellIs" dxfId="17318" priority="2487" operator="greaterThan">
      <formula>0</formula>
    </cfRule>
  </conditionalFormatting>
  <conditionalFormatting sqref="Q148:Q153">
    <cfRule type="cellIs" dxfId="17317" priority="2481" operator="lessThan">
      <formula>0</formula>
    </cfRule>
  </conditionalFormatting>
  <conditionalFormatting sqref="R148:R153">
    <cfRule type="cellIs" dxfId="17316" priority="2485" operator="lessThan">
      <formula>0.8</formula>
    </cfRule>
    <cfRule type="cellIs" dxfId="17315" priority="2486" operator="greaterThan">
      <formula>1</formula>
    </cfRule>
  </conditionalFormatting>
  <conditionalFormatting sqref="R148:R153">
    <cfRule type="cellIs" dxfId="17314" priority="2483" operator="greaterThan">
      <formula>1</formula>
    </cfRule>
    <cfRule type="cellIs" dxfId="17313" priority="2484" operator="lessThan">
      <formula>0.8</formula>
    </cfRule>
  </conditionalFormatting>
  <conditionalFormatting sqref="P148:P153">
    <cfRule type="cellIs" dxfId="17312" priority="2482" operator="greaterThan">
      <formula>0</formula>
    </cfRule>
  </conditionalFormatting>
  <conditionalFormatting sqref="Q148:Q153">
    <cfRule type="cellIs" dxfId="17311" priority="2480" operator="lessThan">
      <formula>0</formula>
    </cfRule>
  </conditionalFormatting>
  <conditionalFormatting sqref="R148:R153">
    <cfRule type="cellIs" dxfId="17310" priority="2478" operator="lessThan">
      <formula>0.8</formula>
    </cfRule>
    <cfRule type="cellIs" dxfId="17309" priority="2479" operator="greaterThan">
      <formula>1</formula>
    </cfRule>
  </conditionalFormatting>
  <conditionalFormatting sqref="R148:R153">
    <cfRule type="cellIs" dxfId="17308" priority="2476" operator="greaterThan">
      <formula>1</formula>
    </cfRule>
    <cfRule type="cellIs" dxfId="17307" priority="2477" operator="lessThan">
      <formula>0.8</formula>
    </cfRule>
  </conditionalFormatting>
  <conditionalFormatting sqref="P148:P153">
    <cfRule type="cellIs" dxfId="17306" priority="2475" operator="greaterThan">
      <formula>0</formula>
    </cfRule>
  </conditionalFormatting>
  <conditionalFormatting sqref="Q148:Q153">
    <cfRule type="cellIs" dxfId="17305" priority="2474" operator="lessThan">
      <formula>0</formula>
    </cfRule>
  </conditionalFormatting>
  <conditionalFormatting sqref="R148:R153">
    <cfRule type="cellIs" dxfId="17304" priority="2472" operator="lessThan">
      <formula>0.8</formula>
    </cfRule>
    <cfRule type="cellIs" dxfId="17303" priority="2473" operator="greaterThan">
      <formula>1</formula>
    </cfRule>
  </conditionalFormatting>
  <conditionalFormatting sqref="R148:R153">
    <cfRule type="cellIs" dxfId="17302" priority="2470" operator="greaterThan">
      <formula>1</formula>
    </cfRule>
    <cfRule type="cellIs" dxfId="17301" priority="2471" operator="lessThan">
      <formula>0.8</formula>
    </cfRule>
  </conditionalFormatting>
  <conditionalFormatting sqref="P148:P153">
    <cfRule type="cellIs" dxfId="17300" priority="2469" operator="greaterThan">
      <formula>0</formula>
    </cfRule>
  </conditionalFormatting>
  <conditionalFormatting sqref="Q148:Q153">
    <cfRule type="cellIs" dxfId="17299" priority="2468" operator="lessThan">
      <formula>0</formula>
    </cfRule>
  </conditionalFormatting>
  <conditionalFormatting sqref="R148:R153">
    <cfRule type="cellIs" dxfId="17298" priority="2466" operator="lessThan">
      <formula>0.8</formula>
    </cfRule>
    <cfRule type="cellIs" dxfId="17297" priority="2467" operator="greaterThan">
      <formula>1</formula>
    </cfRule>
  </conditionalFormatting>
  <conditionalFormatting sqref="R148:R153">
    <cfRule type="cellIs" dxfId="17296" priority="2464" operator="greaterThan">
      <formula>1</formula>
    </cfRule>
    <cfRule type="cellIs" dxfId="17295" priority="2465" operator="lessThan">
      <formula>0.8</formula>
    </cfRule>
  </conditionalFormatting>
  <conditionalFormatting sqref="P148:P153">
    <cfRule type="cellIs" dxfId="17294" priority="2463" operator="greaterThan">
      <formula>0</formula>
    </cfRule>
  </conditionalFormatting>
  <conditionalFormatting sqref="Q148:Q153">
    <cfRule type="cellIs" dxfId="17293" priority="2462" operator="lessThan">
      <formula>0</formula>
    </cfRule>
  </conditionalFormatting>
  <conditionalFormatting sqref="R148:R153">
    <cfRule type="cellIs" dxfId="17292" priority="2460" operator="lessThan">
      <formula>0.8</formula>
    </cfRule>
    <cfRule type="cellIs" dxfId="17291" priority="2461" operator="greaterThan">
      <formula>1</formula>
    </cfRule>
  </conditionalFormatting>
  <conditionalFormatting sqref="R148:R153">
    <cfRule type="cellIs" dxfId="17290" priority="2458" operator="greaterThan">
      <formula>1</formula>
    </cfRule>
    <cfRule type="cellIs" dxfId="17289" priority="2459" operator="lessThan">
      <formula>0.8</formula>
    </cfRule>
  </conditionalFormatting>
  <conditionalFormatting sqref="P148:P153">
    <cfRule type="cellIs" dxfId="17288" priority="2457" operator="greaterThan">
      <formula>0</formula>
    </cfRule>
  </conditionalFormatting>
  <conditionalFormatting sqref="Q148:Q153">
    <cfRule type="cellIs" dxfId="17287" priority="2456" operator="lessThan">
      <formula>0</formula>
    </cfRule>
  </conditionalFormatting>
  <conditionalFormatting sqref="R148:R153">
    <cfRule type="cellIs" dxfId="17286" priority="2454" operator="lessThan">
      <formula>0.8</formula>
    </cfRule>
    <cfRule type="cellIs" dxfId="17285" priority="2455" operator="greaterThan">
      <formula>1</formula>
    </cfRule>
  </conditionalFormatting>
  <conditionalFormatting sqref="R148:R153">
    <cfRule type="cellIs" dxfId="17284" priority="2452" operator="greaterThan">
      <formula>1</formula>
    </cfRule>
    <cfRule type="cellIs" dxfId="17283" priority="2453" operator="lessThan">
      <formula>0.8</formula>
    </cfRule>
  </conditionalFormatting>
  <conditionalFormatting sqref="P148:P153">
    <cfRule type="cellIs" dxfId="17282" priority="2451" operator="greaterThan">
      <formula>0</formula>
    </cfRule>
  </conditionalFormatting>
  <conditionalFormatting sqref="P148:P153">
    <cfRule type="cellIs" dxfId="17281" priority="2445" operator="greaterThan">
      <formula>0</formula>
    </cfRule>
  </conditionalFormatting>
  <conditionalFormatting sqref="Q148:Q153">
    <cfRule type="cellIs" dxfId="17280" priority="2450" operator="lessThan">
      <formula>0</formula>
    </cfRule>
  </conditionalFormatting>
  <conditionalFormatting sqref="R148:R153">
    <cfRule type="cellIs" dxfId="17279" priority="2448" operator="lessThan">
      <formula>0.8</formula>
    </cfRule>
    <cfRule type="cellIs" dxfId="17278" priority="2449" operator="greaterThan">
      <formula>1</formula>
    </cfRule>
  </conditionalFormatting>
  <conditionalFormatting sqref="R148:R153">
    <cfRule type="cellIs" dxfId="17277" priority="2446" operator="greaterThan">
      <formula>1</formula>
    </cfRule>
    <cfRule type="cellIs" dxfId="17276" priority="2447" operator="lessThan">
      <formula>0.8</formula>
    </cfRule>
  </conditionalFormatting>
  <conditionalFormatting sqref="P148:P153">
    <cfRule type="cellIs" dxfId="17275" priority="2439" operator="greaterThan">
      <formula>0</formula>
    </cfRule>
  </conditionalFormatting>
  <conditionalFormatting sqref="Q148:Q153">
    <cfRule type="cellIs" dxfId="17274" priority="2444" operator="lessThan">
      <formula>0</formula>
    </cfRule>
  </conditionalFormatting>
  <conditionalFormatting sqref="R148:R153">
    <cfRule type="cellIs" dxfId="17273" priority="2442" operator="lessThan">
      <formula>0.8</formula>
    </cfRule>
    <cfRule type="cellIs" dxfId="17272" priority="2443" operator="greaterThan">
      <formula>1</formula>
    </cfRule>
  </conditionalFormatting>
  <conditionalFormatting sqref="R148:R153">
    <cfRule type="cellIs" dxfId="17271" priority="2440" operator="greaterThan">
      <formula>1</formula>
    </cfRule>
    <cfRule type="cellIs" dxfId="17270" priority="2441" operator="lessThan">
      <formula>0.8</formula>
    </cfRule>
  </conditionalFormatting>
  <conditionalFormatting sqref="R148:R153">
    <cfRule type="cellIs" dxfId="17269" priority="2436" operator="lessThan">
      <formula>0.8</formula>
    </cfRule>
    <cfRule type="cellIs" dxfId="17268" priority="2437" operator="greaterThan">
      <formula>1</formula>
    </cfRule>
  </conditionalFormatting>
  <conditionalFormatting sqref="R148:R153">
    <cfRule type="cellIs" dxfId="17267" priority="2434" operator="greaterThan">
      <formula>1</formula>
    </cfRule>
    <cfRule type="cellIs" dxfId="17266" priority="2435" operator="lessThan">
      <formula>0.8</formula>
    </cfRule>
  </conditionalFormatting>
  <conditionalFormatting sqref="P148:P153">
    <cfRule type="cellIs" dxfId="17265" priority="2433" operator="greaterThan">
      <formula>0</formula>
    </cfRule>
  </conditionalFormatting>
  <conditionalFormatting sqref="Q148:Q153">
    <cfRule type="cellIs" dxfId="17264" priority="2438" operator="lessThan">
      <formula>0</formula>
    </cfRule>
  </conditionalFormatting>
  <conditionalFormatting sqref="Q148:Q153">
    <cfRule type="cellIs" dxfId="17263" priority="2427" operator="lessThan">
      <formula>0</formula>
    </cfRule>
  </conditionalFormatting>
  <conditionalFormatting sqref="P148:P153">
    <cfRule type="cellIs" dxfId="17262" priority="2428" operator="greaterThan">
      <formula>0</formula>
    </cfRule>
  </conditionalFormatting>
  <conditionalFormatting sqref="R148:R153">
    <cfRule type="cellIs" dxfId="17261" priority="2431" operator="lessThan">
      <formula>0.8</formula>
    </cfRule>
    <cfRule type="cellIs" dxfId="17260" priority="2432" operator="greaterThan">
      <formula>1</formula>
    </cfRule>
  </conditionalFormatting>
  <conditionalFormatting sqref="R148:R153">
    <cfRule type="cellIs" dxfId="17259" priority="2429" operator="greaterThan">
      <formula>1</formula>
    </cfRule>
    <cfRule type="cellIs" dxfId="17258" priority="2430" operator="lessThan">
      <formula>0.8</formula>
    </cfRule>
  </conditionalFormatting>
  <conditionalFormatting sqref="Q148:Q153">
    <cfRule type="cellIs" dxfId="17257" priority="2421" operator="lessThan">
      <formula>0</formula>
    </cfRule>
  </conditionalFormatting>
  <conditionalFormatting sqref="R148:R153">
    <cfRule type="cellIs" dxfId="17256" priority="2425" operator="lessThan">
      <formula>0.8</formula>
    </cfRule>
    <cfRule type="cellIs" dxfId="17255" priority="2426" operator="greaterThan">
      <formula>1</formula>
    </cfRule>
  </conditionalFormatting>
  <conditionalFormatting sqref="R148:R153">
    <cfRule type="cellIs" dxfId="17254" priority="2423" operator="greaterThan">
      <formula>1</formula>
    </cfRule>
    <cfRule type="cellIs" dxfId="17253" priority="2424" operator="lessThan">
      <formula>0.8</formula>
    </cfRule>
  </conditionalFormatting>
  <conditionalFormatting sqref="P148:P153">
    <cfRule type="cellIs" dxfId="17252" priority="2422" operator="greaterThan">
      <formula>0</formula>
    </cfRule>
  </conditionalFormatting>
  <conditionalFormatting sqref="Q148:Q153">
    <cfRule type="cellIs" dxfId="17251" priority="2420" operator="lessThan">
      <formula>0</formula>
    </cfRule>
  </conditionalFormatting>
  <conditionalFormatting sqref="R148:R153">
    <cfRule type="cellIs" dxfId="17250" priority="2418" operator="lessThan">
      <formula>0.8</formula>
    </cfRule>
    <cfRule type="cellIs" dxfId="17249" priority="2419" operator="greaterThan">
      <formula>1</formula>
    </cfRule>
  </conditionalFormatting>
  <conditionalFormatting sqref="R148:R153">
    <cfRule type="cellIs" dxfId="17248" priority="2416" operator="greaterThan">
      <formula>1</formula>
    </cfRule>
    <cfRule type="cellIs" dxfId="17247" priority="2417" operator="lessThan">
      <formula>0.8</formula>
    </cfRule>
  </conditionalFormatting>
  <conditionalFormatting sqref="P148:P153">
    <cfRule type="cellIs" dxfId="17246" priority="2415" operator="greaterThan">
      <formula>0</formula>
    </cfRule>
  </conditionalFormatting>
  <conditionalFormatting sqref="Q148:Q153">
    <cfRule type="cellIs" dxfId="17245" priority="2414" operator="lessThan">
      <formula>0</formula>
    </cfRule>
  </conditionalFormatting>
  <conditionalFormatting sqref="R148:R153">
    <cfRule type="cellIs" dxfId="17244" priority="2412" operator="lessThan">
      <formula>0.8</formula>
    </cfRule>
    <cfRule type="cellIs" dxfId="17243" priority="2413" operator="greaterThan">
      <formula>1</formula>
    </cfRule>
  </conditionalFormatting>
  <conditionalFormatting sqref="R148:R153">
    <cfRule type="cellIs" dxfId="17242" priority="2410" operator="greaterThan">
      <formula>1</formula>
    </cfRule>
    <cfRule type="cellIs" dxfId="17241" priority="2411" operator="lessThan">
      <formula>0.8</formula>
    </cfRule>
  </conditionalFormatting>
  <conditionalFormatting sqref="P148:P153">
    <cfRule type="cellIs" dxfId="17240" priority="2409" operator="greaterThan">
      <formula>0</formula>
    </cfRule>
  </conditionalFormatting>
  <conditionalFormatting sqref="Q148:Q153">
    <cfRule type="cellIs" dxfId="17239" priority="2408" operator="lessThan">
      <formula>0</formula>
    </cfRule>
  </conditionalFormatting>
  <conditionalFormatting sqref="R148:R153">
    <cfRule type="cellIs" dxfId="17238" priority="2406" operator="lessThan">
      <formula>0.8</formula>
    </cfRule>
    <cfRule type="cellIs" dxfId="17237" priority="2407" operator="greaterThan">
      <formula>1</formula>
    </cfRule>
  </conditionalFormatting>
  <conditionalFormatting sqref="R148:R153">
    <cfRule type="cellIs" dxfId="17236" priority="2404" operator="greaterThan">
      <formula>1</formula>
    </cfRule>
    <cfRule type="cellIs" dxfId="17235" priority="2405" operator="lessThan">
      <formula>0.8</formula>
    </cfRule>
  </conditionalFormatting>
  <conditionalFormatting sqref="P148:P153">
    <cfRule type="cellIs" dxfId="17234" priority="2403" operator="greaterThan">
      <formula>0</formula>
    </cfRule>
  </conditionalFormatting>
  <conditionalFormatting sqref="Q148:Q153">
    <cfRule type="cellIs" dxfId="17233" priority="2402" operator="lessThan">
      <formula>0</formula>
    </cfRule>
  </conditionalFormatting>
  <conditionalFormatting sqref="R148:R153">
    <cfRule type="cellIs" dxfId="17232" priority="2400" operator="lessThan">
      <formula>0.8</formula>
    </cfRule>
    <cfRule type="cellIs" dxfId="17231" priority="2401" operator="greaterThan">
      <formula>1</formula>
    </cfRule>
  </conditionalFormatting>
  <conditionalFormatting sqref="R148:R153">
    <cfRule type="cellIs" dxfId="17230" priority="2398" operator="greaterThan">
      <formula>1</formula>
    </cfRule>
    <cfRule type="cellIs" dxfId="17229" priority="2399" operator="lessThan">
      <formula>0.8</formula>
    </cfRule>
  </conditionalFormatting>
  <conditionalFormatting sqref="P148:P153">
    <cfRule type="cellIs" dxfId="17228" priority="2397" operator="greaterThan">
      <formula>0</formula>
    </cfRule>
  </conditionalFormatting>
  <conditionalFormatting sqref="Q124">
    <cfRule type="cellIs" dxfId="17227" priority="2391" operator="lessThan">
      <formula>0</formula>
    </cfRule>
  </conditionalFormatting>
  <conditionalFormatting sqref="P124">
    <cfRule type="cellIs" dxfId="17226" priority="2392" operator="greaterThan">
      <formula>0</formula>
    </cfRule>
  </conditionalFormatting>
  <conditionalFormatting sqref="R124">
    <cfRule type="cellIs" dxfId="17225" priority="2395" operator="lessThan">
      <formula>0.8</formula>
    </cfRule>
    <cfRule type="cellIs" dxfId="17224" priority="2396" operator="greaterThan">
      <formula>1</formula>
    </cfRule>
  </conditionalFormatting>
  <conditionalFormatting sqref="R124">
    <cfRule type="cellIs" dxfId="17223" priority="2393" operator="greaterThan">
      <formula>1</formula>
    </cfRule>
    <cfRule type="cellIs" dxfId="17222" priority="2394" operator="lessThan">
      <formula>0.8</formula>
    </cfRule>
  </conditionalFormatting>
  <conditionalFormatting sqref="Q124">
    <cfRule type="cellIs" dxfId="17221" priority="2385" operator="lessThan">
      <formula>0</formula>
    </cfRule>
  </conditionalFormatting>
  <conditionalFormatting sqref="R124">
    <cfRule type="cellIs" dxfId="17220" priority="2389" operator="lessThan">
      <formula>0.8</formula>
    </cfRule>
    <cfRule type="cellIs" dxfId="17219" priority="2390" operator="greaterThan">
      <formula>1</formula>
    </cfRule>
  </conditionalFormatting>
  <conditionalFormatting sqref="R124">
    <cfRule type="cellIs" dxfId="17218" priority="2387" operator="greaterThan">
      <formula>1</formula>
    </cfRule>
    <cfRule type="cellIs" dxfId="17217" priority="2388" operator="lessThan">
      <formula>0.8</formula>
    </cfRule>
  </conditionalFormatting>
  <conditionalFormatting sqref="P124">
    <cfRule type="cellIs" dxfId="17216" priority="2386" operator="greaterThan">
      <formula>0</formula>
    </cfRule>
  </conditionalFormatting>
  <conditionalFormatting sqref="Q124">
    <cfRule type="cellIs" dxfId="17215" priority="2384" operator="lessThan">
      <formula>0</formula>
    </cfRule>
  </conditionalFormatting>
  <conditionalFormatting sqref="R124">
    <cfRule type="cellIs" dxfId="17214" priority="2382" operator="lessThan">
      <formula>0.8</formula>
    </cfRule>
    <cfRule type="cellIs" dxfId="17213" priority="2383" operator="greaterThan">
      <formula>1</formula>
    </cfRule>
  </conditionalFormatting>
  <conditionalFormatting sqref="R124">
    <cfRule type="cellIs" dxfId="17212" priority="2380" operator="greaterThan">
      <formula>1</formula>
    </cfRule>
    <cfRule type="cellIs" dxfId="17211" priority="2381" operator="lessThan">
      <formula>0.8</formula>
    </cfRule>
  </conditionalFormatting>
  <conditionalFormatting sqref="P124">
    <cfRule type="cellIs" dxfId="17210" priority="2379" operator="greaterThan">
      <formula>0</formula>
    </cfRule>
  </conditionalFormatting>
  <conditionalFormatting sqref="Q124">
    <cfRule type="cellIs" dxfId="17209" priority="2378" operator="lessThan">
      <formula>0</formula>
    </cfRule>
  </conditionalFormatting>
  <conditionalFormatting sqref="R124">
    <cfRule type="cellIs" dxfId="17208" priority="2376" operator="lessThan">
      <formula>0.8</formula>
    </cfRule>
    <cfRule type="cellIs" dxfId="17207" priority="2377" operator="greaterThan">
      <formula>1</formula>
    </cfRule>
  </conditionalFormatting>
  <conditionalFormatting sqref="R124">
    <cfRule type="cellIs" dxfId="17206" priority="2374" operator="greaterThan">
      <formula>1</formula>
    </cfRule>
    <cfRule type="cellIs" dxfId="17205" priority="2375" operator="lessThan">
      <formula>0.8</formula>
    </cfRule>
  </conditionalFormatting>
  <conditionalFormatting sqref="P124">
    <cfRule type="cellIs" dxfId="17204" priority="2373" operator="greaterThan">
      <formula>0</formula>
    </cfRule>
  </conditionalFormatting>
  <conditionalFormatting sqref="Q124">
    <cfRule type="cellIs" dxfId="17203" priority="2372" operator="lessThan">
      <formula>0</formula>
    </cfRule>
  </conditionalFormatting>
  <conditionalFormatting sqref="R124">
    <cfRule type="cellIs" dxfId="17202" priority="2370" operator="lessThan">
      <formula>0.8</formula>
    </cfRule>
    <cfRule type="cellIs" dxfId="17201" priority="2371" operator="greaterThan">
      <formula>1</formula>
    </cfRule>
  </conditionalFormatting>
  <conditionalFormatting sqref="R124">
    <cfRule type="cellIs" dxfId="17200" priority="2368" operator="greaterThan">
      <formula>1</formula>
    </cfRule>
    <cfRule type="cellIs" dxfId="17199" priority="2369" operator="lessThan">
      <formula>0.8</formula>
    </cfRule>
  </conditionalFormatting>
  <conditionalFormatting sqref="P124">
    <cfRule type="cellIs" dxfId="17198" priority="2367" operator="greaterThan">
      <formula>0</formula>
    </cfRule>
  </conditionalFormatting>
  <conditionalFormatting sqref="Q124">
    <cfRule type="cellIs" dxfId="17197" priority="2366" operator="lessThan">
      <formula>0</formula>
    </cfRule>
  </conditionalFormatting>
  <conditionalFormatting sqref="R124">
    <cfRule type="cellIs" dxfId="17196" priority="2364" operator="lessThan">
      <formula>0.8</formula>
    </cfRule>
    <cfRule type="cellIs" dxfId="17195" priority="2365" operator="greaterThan">
      <formula>1</formula>
    </cfRule>
  </conditionalFormatting>
  <conditionalFormatting sqref="R124">
    <cfRule type="cellIs" dxfId="17194" priority="2362" operator="greaterThan">
      <formula>1</formula>
    </cfRule>
    <cfRule type="cellIs" dxfId="17193" priority="2363" operator="lessThan">
      <formula>0.8</formula>
    </cfRule>
  </conditionalFormatting>
  <conditionalFormatting sqref="P124">
    <cfRule type="cellIs" dxfId="17192" priority="2361" operator="greaterThan">
      <formula>0</formula>
    </cfRule>
  </conditionalFormatting>
  <conditionalFormatting sqref="Q124">
    <cfRule type="cellIs" dxfId="17191" priority="2360" operator="lessThan">
      <formula>0</formula>
    </cfRule>
  </conditionalFormatting>
  <conditionalFormatting sqref="R124">
    <cfRule type="cellIs" dxfId="17190" priority="2358" operator="lessThan">
      <formula>0.8</formula>
    </cfRule>
    <cfRule type="cellIs" dxfId="17189" priority="2359" operator="greaterThan">
      <formula>1</formula>
    </cfRule>
  </conditionalFormatting>
  <conditionalFormatting sqref="R124">
    <cfRule type="cellIs" dxfId="17188" priority="2356" operator="greaterThan">
      <formula>1</formula>
    </cfRule>
    <cfRule type="cellIs" dxfId="17187" priority="2357" operator="lessThan">
      <formula>0.8</formula>
    </cfRule>
  </conditionalFormatting>
  <conditionalFormatting sqref="P124">
    <cfRule type="cellIs" dxfId="17186" priority="2355" operator="greaterThan">
      <formula>0</formula>
    </cfRule>
  </conditionalFormatting>
  <conditionalFormatting sqref="Q124">
    <cfRule type="cellIs" dxfId="17185" priority="2354" operator="lessThan">
      <formula>0</formula>
    </cfRule>
  </conditionalFormatting>
  <conditionalFormatting sqref="R124">
    <cfRule type="cellIs" dxfId="17184" priority="2352" operator="lessThan">
      <formula>0.8</formula>
    </cfRule>
    <cfRule type="cellIs" dxfId="17183" priority="2353" operator="greaterThan">
      <formula>1</formula>
    </cfRule>
  </conditionalFormatting>
  <conditionalFormatting sqref="R124">
    <cfRule type="cellIs" dxfId="17182" priority="2350" operator="greaterThan">
      <formula>1</formula>
    </cfRule>
    <cfRule type="cellIs" dxfId="17181" priority="2351" operator="lessThan">
      <formula>0.8</formula>
    </cfRule>
  </conditionalFormatting>
  <conditionalFormatting sqref="P124">
    <cfRule type="cellIs" dxfId="17180" priority="2349" operator="greaterThan">
      <formula>0</formula>
    </cfRule>
  </conditionalFormatting>
  <conditionalFormatting sqref="Q124">
    <cfRule type="cellIs" dxfId="17179" priority="2348" operator="lessThan">
      <formula>0</formula>
    </cfRule>
  </conditionalFormatting>
  <conditionalFormatting sqref="R124">
    <cfRule type="cellIs" dxfId="17178" priority="2346" operator="lessThan">
      <formula>0.8</formula>
    </cfRule>
    <cfRule type="cellIs" dxfId="17177" priority="2347" operator="greaterThan">
      <formula>1</formula>
    </cfRule>
  </conditionalFormatting>
  <conditionalFormatting sqref="R124">
    <cfRule type="cellIs" dxfId="17176" priority="2344" operator="greaterThan">
      <formula>1</formula>
    </cfRule>
    <cfRule type="cellIs" dxfId="17175" priority="2345" operator="lessThan">
      <formula>0.8</formula>
    </cfRule>
  </conditionalFormatting>
  <conditionalFormatting sqref="P124">
    <cfRule type="cellIs" dxfId="17174" priority="2343" operator="greaterThan">
      <formula>0</formula>
    </cfRule>
  </conditionalFormatting>
  <conditionalFormatting sqref="P124">
    <cfRule type="cellIs" dxfId="17173" priority="2337" operator="greaterThan">
      <formula>0</formula>
    </cfRule>
  </conditionalFormatting>
  <conditionalFormatting sqref="Q124">
    <cfRule type="cellIs" dxfId="17172" priority="2342" operator="lessThan">
      <formula>0</formula>
    </cfRule>
  </conditionalFormatting>
  <conditionalFormatting sqref="R124">
    <cfRule type="cellIs" dxfId="17171" priority="2340" operator="lessThan">
      <formula>0.8</formula>
    </cfRule>
    <cfRule type="cellIs" dxfId="17170" priority="2341" operator="greaterThan">
      <formula>1</formula>
    </cfRule>
  </conditionalFormatting>
  <conditionalFormatting sqref="R124">
    <cfRule type="cellIs" dxfId="17169" priority="2338" operator="greaterThan">
      <formula>1</formula>
    </cfRule>
    <cfRule type="cellIs" dxfId="17168" priority="2339" operator="lessThan">
      <formula>0.8</formula>
    </cfRule>
  </conditionalFormatting>
  <conditionalFormatting sqref="P124">
    <cfRule type="cellIs" dxfId="17167" priority="2331" operator="greaterThan">
      <formula>0</formula>
    </cfRule>
  </conditionalFormatting>
  <conditionalFormatting sqref="Q124">
    <cfRule type="cellIs" dxfId="17166" priority="2336" operator="lessThan">
      <formula>0</formula>
    </cfRule>
  </conditionalFormatting>
  <conditionalFormatting sqref="R124">
    <cfRule type="cellIs" dxfId="17165" priority="2334" operator="lessThan">
      <formula>0.8</formula>
    </cfRule>
    <cfRule type="cellIs" dxfId="17164" priority="2335" operator="greaterThan">
      <formula>1</formula>
    </cfRule>
  </conditionalFormatting>
  <conditionalFormatting sqref="R124">
    <cfRule type="cellIs" dxfId="17163" priority="2332" operator="greaterThan">
      <formula>1</formula>
    </cfRule>
    <cfRule type="cellIs" dxfId="17162" priority="2333" operator="lessThan">
      <formula>0.8</formula>
    </cfRule>
  </conditionalFormatting>
  <conditionalFormatting sqref="R124">
    <cfRule type="cellIs" dxfId="17161" priority="2328" operator="lessThan">
      <formula>0.8</formula>
    </cfRule>
    <cfRule type="cellIs" dxfId="17160" priority="2329" operator="greaterThan">
      <formula>1</formula>
    </cfRule>
  </conditionalFormatting>
  <conditionalFormatting sqref="R124">
    <cfRule type="cellIs" dxfId="17159" priority="2326" operator="greaterThan">
      <formula>1</formula>
    </cfRule>
    <cfRule type="cellIs" dxfId="17158" priority="2327" operator="lessThan">
      <formula>0.8</formula>
    </cfRule>
  </conditionalFormatting>
  <conditionalFormatting sqref="P124">
    <cfRule type="cellIs" dxfId="17157" priority="2325" operator="greaterThan">
      <formula>0</formula>
    </cfRule>
  </conditionalFormatting>
  <conditionalFormatting sqref="Q124">
    <cfRule type="cellIs" dxfId="17156" priority="2330" operator="lessThan">
      <formula>0</formula>
    </cfRule>
  </conditionalFormatting>
  <conditionalFormatting sqref="Q124">
    <cfRule type="cellIs" dxfId="17155" priority="2324" operator="lessThan">
      <formula>0</formula>
    </cfRule>
  </conditionalFormatting>
  <conditionalFormatting sqref="R124">
    <cfRule type="cellIs" dxfId="17154" priority="2322" operator="lessThan">
      <formula>0.8</formula>
    </cfRule>
    <cfRule type="cellIs" dxfId="17153" priority="2323" operator="greaterThan">
      <formula>1</formula>
    </cfRule>
  </conditionalFormatting>
  <conditionalFormatting sqref="R124">
    <cfRule type="cellIs" dxfId="17152" priority="2320" operator="greaterThan">
      <formula>1</formula>
    </cfRule>
    <cfRule type="cellIs" dxfId="17151" priority="2321" operator="lessThan">
      <formula>0.8</formula>
    </cfRule>
  </conditionalFormatting>
  <conditionalFormatting sqref="P124">
    <cfRule type="cellIs" dxfId="17150" priority="2319" operator="greaterThan">
      <formula>0</formula>
    </cfRule>
  </conditionalFormatting>
  <conditionalFormatting sqref="P124">
    <cfRule type="cellIs" dxfId="17149" priority="2313" operator="greaterThan">
      <formula>0</formula>
    </cfRule>
  </conditionalFormatting>
  <conditionalFormatting sqref="Q124">
    <cfRule type="cellIs" dxfId="17148" priority="2318" operator="lessThan">
      <formula>0</formula>
    </cfRule>
  </conditionalFormatting>
  <conditionalFormatting sqref="R124">
    <cfRule type="cellIs" dxfId="17147" priority="2316" operator="lessThan">
      <formula>0.8</formula>
    </cfRule>
    <cfRule type="cellIs" dxfId="17146" priority="2317" operator="greaterThan">
      <formula>1</formula>
    </cfRule>
  </conditionalFormatting>
  <conditionalFormatting sqref="R124">
    <cfRule type="cellIs" dxfId="17145" priority="2314" operator="greaterThan">
      <formula>1</formula>
    </cfRule>
    <cfRule type="cellIs" dxfId="17144" priority="2315" operator="lessThan">
      <formula>0.8</formula>
    </cfRule>
  </conditionalFormatting>
  <conditionalFormatting sqref="P124">
    <cfRule type="cellIs" dxfId="17143" priority="2307" operator="greaterThan">
      <formula>0</formula>
    </cfRule>
  </conditionalFormatting>
  <conditionalFormatting sqref="Q124">
    <cfRule type="cellIs" dxfId="17142" priority="2312" operator="lessThan">
      <formula>0</formula>
    </cfRule>
  </conditionalFormatting>
  <conditionalFormatting sqref="R124">
    <cfRule type="cellIs" dxfId="17141" priority="2310" operator="lessThan">
      <formula>0.8</formula>
    </cfRule>
    <cfRule type="cellIs" dxfId="17140" priority="2311" operator="greaterThan">
      <formula>1</formula>
    </cfRule>
  </conditionalFormatting>
  <conditionalFormatting sqref="R124">
    <cfRule type="cellIs" dxfId="17139" priority="2308" operator="greaterThan">
      <formula>1</formula>
    </cfRule>
    <cfRule type="cellIs" dxfId="17138" priority="2309" operator="lessThan">
      <formula>0.8</formula>
    </cfRule>
  </conditionalFormatting>
  <conditionalFormatting sqref="R124">
    <cfRule type="cellIs" dxfId="17137" priority="2304" operator="lessThan">
      <formula>0.8</formula>
    </cfRule>
    <cfRule type="cellIs" dxfId="17136" priority="2305" operator="greaterThan">
      <formula>1</formula>
    </cfRule>
  </conditionalFormatting>
  <conditionalFormatting sqref="R124">
    <cfRule type="cellIs" dxfId="17135" priority="2302" operator="greaterThan">
      <formula>1</formula>
    </cfRule>
    <cfRule type="cellIs" dxfId="17134" priority="2303" operator="lessThan">
      <formula>0.8</formula>
    </cfRule>
  </conditionalFormatting>
  <conditionalFormatting sqref="P124">
    <cfRule type="cellIs" dxfId="17133" priority="2301" operator="greaterThan">
      <formula>0</formula>
    </cfRule>
  </conditionalFormatting>
  <conditionalFormatting sqref="Q124">
    <cfRule type="cellIs" dxfId="17132" priority="2306" operator="lessThan">
      <formula>0</formula>
    </cfRule>
  </conditionalFormatting>
  <conditionalFormatting sqref="P124">
    <cfRule type="cellIs" dxfId="17131" priority="2295" operator="greaterThan">
      <formula>0</formula>
    </cfRule>
  </conditionalFormatting>
  <conditionalFormatting sqref="Q124">
    <cfRule type="cellIs" dxfId="17130" priority="2300" operator="lessThan">
      <formula>0</formula>
    </cfRule>
  </conditionalFormatting>
  <conditionalFormatting sqref="R124">
    <cfRule type="cellIs" dxfId="17129" priority="2298" operator="lessThan">
      <formula>0.8</formula>
    </cfRule>
    <cfRule type="cellIs" dxfId="17128" priority="2299" operator="greaterThan">
      <formula>1</formula>
    </cfRule>
  </conditionalFormatting>
  <conditionalFormatting sqref="R124">
    <cfRule type="cellIs" dxfId="17127" priority="2296" operator="greaterThan">
      <formula>1</formula>
    </cfRule>
    <cfRule type="cellIs" dxfId="17126" priority="2297" operator="lessThan">
      <formula>0.8</formula>
    </cfRule>
  </conditionalFormatting>
  <conditionalFormatting sqref="R124">
    <cfRule type="cellIs" dxfId="17125" priority="2292" operator="lessThan">
      <formula>0.8</formula>
    </cfRule>
    <cfRule type="cellIs" dxfId="17124" priority="2293" operator="greaterThan">
      <formula>1</formula>
    </cfRule>
  </conditionalFormatting>
  <conditionalFormatting sqref="R124">
    <cfRule type="cellIs" dxfId="17123" priority="2290" operator="greaterThan">
      <formula>1</formula>
    </cfRule>
    <cfRule type="cellIs" dxfId="17122" priority="2291" operator="lessThan">
      <formula>0.8</formula>
    </cfRule>
  </conditionalFormatting>
  <conditionalFormatting sqref="P124">
    <cfRule type="cellIs" dxfId="17121" priority="2289" operator="greaterThan">
      <formula>0</formula>
    </cfRule>
  </conditionalFormatting>
  <conditionalFormatting sqref="Q124">
    <cfRule type="cellIs" dxfId="17120" priority="2294" operator="lessThan">
      <formula>0</formula>
    </cfRule>
  </conditionalFormatting>
  <conditionalFormatting sqref="R124">
    <cfRule type="cellIs" dxfId="17119" priority="2286" operator="lessThan">
      <formula>0.8</formula>
    </cfRule>
    <cfRule type="cellIs" dxfId="17118" priority="2287" operator="greaterThan">
      <formula>1</formula>
    </cfRule>
  </conditionalFormatting>
  <conditionalFormatting sqref="R124">
    <cfRule type="cellIs" dxfId="17117" priority="2284" operator="greaterThan">
      <formula>1</formula>
    </cfRule>
    <cfRule type="cellIs" dxfId="17116" priority="2285" operator="lessThan">
      <formula>0.8</formula>
    </cfRule>
  </conditionalFormatting>
  <conditionalFormatting sqref="P124">
    <cfRule type="cellIs" dxfId="17115" priority="2283" operator="greaterThan">
      <formula>0</formula>
    </cfRule>
  </conditionalFormatting>
  <conditionalFormatting sqref="Q124">
    <cfRule type="cellIs" dxfId="17114" priority="2288" operator="lessThan">
      <formula>0</formula>
    </cfRule>
  </conditionalFormatting>
  <conditionalFormatting sqref="Q124">
    <cfRule type="cellIs" dxfId="17113" priority="2282" operator="lessThan">
      <formula>0</formula>
    </cfRule>
  </conditionalFormatting>
  <conditionalFormatting sqref="R124">
    <cfRule type="cellIs" dxfId="17112" priority="2280" operator="lessThan">
      <formula>0.8</formula>
    </cfRule>
    <cfRule type="cellIs" dxfId="17111" priority="2281" operator="greaterThan">
      <formula>1</formula>
    </cfRule>
  </conditionalFormatting>
  <conditionalFormatting sqref="R124">
    <cfRule type="cellIs" dxfId="17110" priority="2278" operator="greaterThan">
      <formula>1</formula>
    </cfRule>
    <cfRule type="cellIs" dxfId="17109" priority="2279" operator="lessThan">
      <formula>0.8</formula>
    </cfRule>
  </conditionalFormatting>
  <conditionalFormatting sqref="P124">
    <cfRule type="cellIs" dxfId="17108" priority="2277" operator="greaterThan">
      <formula>0</formula>
    </cfRule>
  </conditionalFormatting>
  <conditionalFormatting sqref="Q124">
    <cfRule type="cellIs" dxfId="17107" priority="2271" operator="lessThan">
      <formula>0</formula>
    </cfRule>
  </conditionalFormatting>
  <conditionalFormatting sqref="R124">
    <cfRule type="cellIs" dxfId="17106" priority="2275" operator="lessThan">
      <formula>0.8</formula>
    </cfRule>
    <cfRule type="cellIs" dxfId="17105" priority="2276" operator="greaterThan">
      <formula>1</formula>
    </cfRule>
  </conditionalFormatting>
  <conditionalFormatting sqref="R124">
    <cfRule type="cellIs" dxfId="17104" priority="2273" operator="greaterThan">
      <formula>1</formula>
    </cfRule>
    <cfRule type="cellIs" dxfId="17103" priority="2274" operator="lessThan">
      <formula>0.8</formula>
    </cfRule>
  </conditionalFormatting>
  <conditionalFormatting sqref="P124">
    <cfRule type="cellIs" dxfId="17102" priority="2272" operator="greaterThan">
      <formula>0</formula>
    </cfRule>
  </conditionalFormatting>
  <conditionalFormatting sqref="Q124">
    <cfRule type="cellIs" dxfId="17101" priority="2270" operator="lessThan">
      <formula>0</formula>
    </cfRule>
  </conditionalFormatting>
  <conditionalFormatting sqref="R124">
    <cfRule type="cellIs" dxfId="17100" priority="2268" operator="lessThan">
      <formula>0.8</formula>
    </cfRule>
    <cfRule type="cellIs" dxfId="17099" priority="2269" operator="greaterThan">
      <formula>1</formula>
    </cfRule>
  </conditionalFormatting>
  <conditionalFormatting sqref="R124">
    <cfRule type="cellIs" dxfId="17098" priority="2266" operator="greaterThan">
      <formula>1</formula>
    </cfRule>
    <cfRule type="cellIs" dxfId="17097" priority="2267" operator="lessThan">
      <formula>0.8</formula>
    </cfRule>
  </conditionalFormatting>
  <conditionalFormatting sqref="P124">
    <cfRule type="cellIs" dxfId="17096" priority="2265" operator="greaterThan">
      <formula>0</formula>
    </cfRule>
  </conditionalFormatting>
  <conditionalFormatting sqref="Q124">
    <cfRule type="cellIs" dxfId="17095" priority="2264" operator="lessThan">
      <formula>0</formula>
    </cfRule>
  </conditionalFormatting>
  <conditionalFormatting sqref="R124">
    <cfRule type="cellIs" dxfId="17094" priority="2262" operator="lessThan">
      <formula>0.8</formula>
    </cfRule>
    <cfRule type="cellIs" dxfId="17093" priority="2263" operator="greaterThan">
      <formula>1</formula>
    </cfRule>
  </conditionalFormatting>
  <conditionalFormatting sqref="R124">
    <cfRule type="cellIs" dxfId="17092" priority="2260" operator="greaterThan">
      <formula>1</formula>
    </cfRule>
    <cfRule type="cellIs" dxfId="17091" priority="2261" operator="lessThan">
      <formula>0.8</formula>
    </cfRule>
  </conditionalFormatting>
  <conditionalFormatting sqref="P124">
    <cfRule type="cellIs" dxfId="17090" priority="2259" operator="greaterThan">
      <formula>0</formula>
    </cfRule>
  </conditionalFormatting>
  <conditionalFormatting sqref="Q124">
    <cfRule type="cellIs" dxfId="17089" priority="2258" operator="lessThan">
      <formula>0</formula>
    </cfRule>
  </conditionalFormatting>
  <conditionalFormatting sqref="R124">
    <cfRule type="cellIs" dxfId="17088" priority="2256" operator="lessThan">
      <formula>0.8</formula>
    </cfRule>
    <cfRule type="cellIs" dxfId="17087" priority="2257" operator="greaterThan">
      <formula>1</formula>
    </cfRule>
  </conditionalFormatting>
  <conditionalFormatting sqref="R124">
    <cfRule type="cellIs" dxfId="17086" priority="2254" operator="greaterThan">
      <formula>1</formula>
    </cfRule>
    <cfRule type="cellIs" dxfId="17085" priority="2255" operator="lessThan">
      <formula>0.8</formula>
    </cfRule>
  </conditionalFormatting>
  <conditionalFormatting sqref="P124">
    <cfRule type="cellIs" dxfId="17084" priority="2253" operator="greaterThan">
      <formula>0</formula>
    </cfRule>
  </conditionalFormatting>
  <conditionalFormatting sqref="Q124">
    <cfRule type="cellIs" dxfId="17083" priority="2252" operator="lessThan">
      <formula>0</formula>
    </cfRule>
  </conditionalFormatting>
  <conditionalFormatting sqref="R124">
    <cfRule type="cellIs" dxfId="17082" priority="2250" operator="lessThan">
      <formula>0.8</formula>
    </cfRule>
    <cfRule type="cellIs" dxfId="17081" priority="2251" operator="greaterThan">
      <formula>1</formula>
    </cfRule>
  </conditionalFormatting>
  <conditionalFormatting sqref="R124">
    <cfRule type="cellIs" dxfId="17080" priority="2248" operator="greaterThan">
      <formula>1</formula>
    </cfRule>
    <cfRule type="cellIs" dxfId="17079" priority="2249" operator="lessThan">
      <formula>0.8</formula>
    </cfRule>
  </conditionalFormatting>
  <conditionalFormatting sqref="P124">
    <cfRule type="cellIs" dxfId="17078" priority="2247" operator="greaterThan">
      <formula>0</formula>
    </cfRule>
  </conditionalFormatting>
  <conditionalFormatting sqref="Q124">
    <cfRule type="cellIs" dxfId="17077" priority="2246" operator="lessThan">
      <formula>0</formula>
    </cfRule>
  </conditionalFormatting>
  <conditionalFormatting sqref="R124">
    <cfRule type="cellIs" dxfId="17076" priority="2244" operator="lessThan">
      <formula>0.8</formula>
    </cfRule>
    <cfRule type="cellIs" dxfId="17075" priority="2245" operator="greaterThan">
      <formula>1</formula>
    </cfRule>
  </conditionalFormatting>
  <conditionalFormatting sqref="R124">
    <cfRule type="cellIs" dxfId="17074" priority="2242" operator="greaterThan">
      <formula>1</formula>
    </cfRule>
    <cfRule type="cellIs" dxfId="17073" priority="2243" operator="lessThan">
      <formula>0.8</formula>
    </cfRule>
  </conditionalFormatting>
  <conditionalFormatting sqref="P124">
    <cfRule type="cellIs" dxfId="17072" priority="2241" operator="greaterThan">
      <formula>0</formula>
    </cfRule>
  </conditionalFormatting>
  <conditionalFormatting sqref="P124">
    <cfRule type="cellIs" dxfId="17071" priority="2235" operator="greaterThan">
      <formula>0</formula>
    </cfRule>
  </conditionalFormatting>
  <conditionalFormatting sqref="Q124">
    <cfRule type="cellIs" dxfId="17070" priority="2240" operator="lessThan">
      <formula>0</formula>
    </cfRule>
  </conditionalFormatting>
  <conditionalFormatting sqref="R124">
    <cfRule type="cellIs" dxfId="17069" priority="2238" operator="lessThan">
      <formula>0.8</formula>
    </cfRule>
    <cfRule type="cellIs" dxfId="17068" priority="2239" operator="greaterThan">
      <formula>1</formula>
    </cfRule>
  </conditionalFormatting>
  <conditionalFormatting sqref="R124">
    <cfRule type="cellIs" dxfId="17067" priority="2236" operator="greaterThan">
      <formula>1</formula>
    </cfRule>
    <cfRule type="cellIs" dxfId="17066" priority="2237" operator="lessThan">
      <formula>0.8</formula>
    </cfRule>
  </conditionalFormatting>
  <conditionalFormatting sqref="P124">
    <cfRule type="cellIs" dxfId="17065" priority="2229" operator="greaterThan">
      <formula>0</formula>
    </cfRule>
  </conditionalFormatting>
  <conditionalFormatting sqref="Q124">
    <cfRule type="cellIs" dxfId="17064" priority="2234" operator="lessThan">
      <formula>0</formula>
    </cfRule>
  </conditionalFormatting>
  <conditionalFormatting sqref="R124">
    <cfRule type="cellIs" dxfId="17063" priority="2232" operator="lessThan">
      <formula>0.8</formula>
    </cfRule>
    <cfRule type="cellIs" dxfId="17062" priority="2233" operator="greaterThan">
      <formula>1</formula>
    </cfRule>
  </conditionalFormatting>
  <conditionalFormatting sqref="R124">
    <cfRule type="cellIs" dxfId="17061" priority="2230" operator="greaterThan">
      <formula>1</formula>
    </cfRule>
    <cfRule type="cellIs" dxfId="17060" priority="2231" operator="lessThan">
      <formula>0.8</formula>
    </cfRule>
  </conditionalFormatting>
  <conditionalFormatting sqref="R124">
    <cfRule type="cellIs" dxfId="17059" priority="2226" operator="lessThan">
      <formula>0.8</formula>
    </cfRule>
    <cfRule type="cellIs" dxfId="17058" priority="2227" operator="greaterThan">
      <formula>1</formula>
    </cfRule>
  </conditionalFormatting>
  <conditionalFormatting sqref="R124">
    <cfRule type="cellIs" dxfId="17057" priority="2224" operator="greaterThan">
      <formula>1</formula>
    </cfRule>
    <cfRule type="cellIs" dxfId="17056" priority="2225" operator="lessThan">
      <formula>0.8</formula>
    </cfRule>
  </conditionalFormatting>
  <conditionalFormatting sqref="P124">
    <cfRule type="cellIs" dxfId="17055" priority="2223" operator="greaterThan">
      <formula>0</formula>
    </cfRule>
  </conditionalFormatting>
  <conditionalFormatting sqref="Q124">
    <cfRule type="cellIs" dxfId="17054" priority="2228" operator="lessThan">
      <formula>0</formula>
    </cfRule>
  </conditionalFormatting>
  <conditionalFormatting sqref="Q14 Q5:Q12">
    <cfRule type="cellIs" dxfId="17053" priority="2222" operator="lessThan">
      <formula>0</formula>
    </cfRule>
  </conditionalFormatting>
  <conditionalFormatting sqref="R14 R5:R12">
    <cfRule type="cellIs" dxfId="17052" priority="2220" operator="lessThan">
      <formula>0.8</formula>
    </cfRule>
    <cfRule type="cellIs" dxfId="17051" priority="2221" operator="greaterThan">
      <formula>1</formula>
    </cfRule>
  </conditionalFormatting>
  <conditionalFormatting sqref="R14 R5:R12">
    <cfRule type="cellIs" dxfId="17050" priority="2218" operator="greaterThan">
      <formula>1</formula>
    </cfRule>
    <cfRule type="cellIs" dxfId="17049" priority="2219" operator="lessThan">
      <formula>0.8</formula>
    </cfRule>
  </conditionalFormatting>
  <conditionalFormatting sqref="P14 P5:P12">
    <cfRule type="cellIs" dxfId="17048" priority="2217" operator="greaterThan">
      <formula>0</formula>
    </cfRule>
  </conditionalFormatting>
  <conditionalFormatting sqref="Q83">
    <cfRule type="cellIs" dxfId="17047" priority="2216" operator="lessThan">
      <formula>0</formula>
    </cfRule>
  </conditionalFormatting>
  <conditionalFormatting sqref="R83">
    <cfRule type="cellIs" dxfId="17046" priority="2214" operator="lessThan">
      <formula>0.8</formula>
    </cfRule>
    <cfRule type="cellIs" dxfId="17045" priority="2215" operator="greaterThan">
      <formula>1</formula>
    </cfRule>
  </conditionalFormatting>
  <conditionalFormatting sqref="R83">
    <cfRule type="cellIs" dxfId="17044" priority="2212" operator="greaterThan">
      <formula>1</formula>
    </cfRule>
    <cfRule type="cellIs" dxfId="17043" priority="2213" operator="lessThan">
      <formula>0.8</formula>
    </cfRule>
  </conditionalFormatting>
  <conditionalFormatting sqref="P83">
    <cfRule type="cellIs" dxfId="17042" priority="2211" operator="greaterThan">
      <formula>0</formula>
    </cfRule>
  </conditionalFormatting>
  <conditionalFormatting sqref="Q83">
    <cfRule type="cellIs" dxfId="17041" priority="2210" operator="lessThan">
      <formula>0</formula>
    </cfRule>
  </conditionalFormatting>
  <conditionalFormatting sqref="R83">
    <cfRule type="cellIs" dxfId="17040" priority="2208" operator="lessThan">
      <formula>0.8</formula>
    </cfRule>
    <cfRule type="cellIs" dxfId="17039" priority="2209" operator="greaterThan">
      <formula>1</formula>
    </cfRule>
  </conditionalFormatting>
  <conditionalFormatting sqref="R83">
    <cfRule type="cellIs" dxfId="17038" priority="2206" operator="greaterThan">
      <formula>1</formula>
    </cfRule>
    <cfRule type="cellIs" dxfId="17037" priority="2207" operator="lessThan">
      <formula>0.8</formula>
    </cfRule>
  </conditionalFormatting>
  <conditionalFormatting sqref="P83">
    <cfRule type="cellIs" dxfId="17036" priority="2205" operator="greaterThan">
      <formula>0</formula>
    </cfRule>
  </conditionalFormatting>
  <conditionalFormatting sqref="Q83">
    <cfRule type="cellIs" dxfId="17035" priority="2204" operator="lessThan">
      <formula>0</formula>
    </cfRule>
  </conditionalFormatting>
  <conditionalFormatting sqref="R83">
    <cfRule type="cellIs" dxfId="17034" priority="2202" operator="lessThan">
      <formula>0.8</formula>
    </cfRule>
    <cfRule type="cellIs" dxfId="17033" priority="2203" operator="greaterThan">
      <formula>1</formula>
    </cfRule>
  </conditionalFormatting>
  <conditionalFormatting sqref="R83">
    <cfRule type="cellIs" dxfId="17032" priority="2200" operator="greaterThan">
      <formula>1</formula>
    </cfRule>
    <cfRule type="cellIs" dxfId="17031" priority="2201" operator="lessThan">
      <formula>0.8</formula>
    </cfRule>
  </conditionalFormatting>
  <conditionalFormatting sqref="P83">
    <cfRule type="cellIs" dxfId="17030" priority="2199" operator="greaterThan">
      <formula>0</formula>
    </cfRule>
  </conditionalFormatting>
  <conditionalFormatting sqref="Q83">
    <cfRule type="cellIs" dxfId="17029" priority="2198" operator="lessThan">
      <formula>0</formula>
    </cfRule>
  </conditionalFormatting>
  <conditionalFormatting sqref="R83">
    <cfRule type="cellIs" dxfId="17028" priority="2196" operator="lessThan">
      <formula>0.8</formula>
    </cfRule>
    <cfRule type="cellIs" dxfId="17027" priority="2197" operator="greaterThan">
      <formula>1</formula>
    </cfRule>
  </conditionalFormatting>
  <conditionalFormatting sqref="R83">
    <cfRule type="cellIs" dxfId="17026" priority="2194" operator="greaterThan">
      <formula>1</formula>
    </cfRule>
    <cfRule type="cellIs" dxfId="17025" priority="2195" operator="lessThan">
      <formula>0.8</formula>
    </cfRule>
  </conditionalFormatting>
  <conditionalFormatting sqref="P83">
    <cfRule type="cellIs" dxfId="17024" priority="2193" operator="greaterThan">
      <formula>0</formula>
    </cfRule>
  </conditionalFormatting>
  <conditionalFormatting sqref="P83">
    <cfRule type="cellIs" dxfId="17023" priority="2187" operator="greaterThan">
      <formula>0</formula>
    </cfRule>
  </conditionalFormatting>
  <conditionalFormatting sqref="Q83">
    <cfRule type="cellIs" dxfId="17022" priority="2192" operator="lessThan">
      <formula>0</formula>
    </cfRule>
  </conditionalFormatting>
  <conditionalFormatting sqref="R83">
    <cfRule type="cellIs" dxfId="17021" priority="2190" operator="lessThan">
      <formula>0.8</formula>
    </cfRule>
    <cfRule type="cellIs" dxfId="17020" priority="2191" operator="greaterThan">
      <formula>1</formula>
    </cfRule>
  </conditionalFormatting>
  <conditionalFormatting sqref="R83">
    <cfRule type="cellIs" dxfId="17019" priority="2188" operator="greaterThan">
      <formula>1</formula>
    </cfRule>
    <cfRule type="cellIs" dxfId="17018" priority="2189" operator="lessThan">
      <formula>0.8</formula>
    </cfRule>
  </conditionalFormatting>
  <conditionalFormatting sqref="P83">
    <cfRule type="cellIs" dxfId="17017" priority="2181" operator="greaterThan">
      <formula>0</formula>
    </cfRule>
  </conditionalFormatting>
  <conditionalFormatting sqref="Q83">
    <cfRule type="cellIs" dxfId="17016" priority="2186" operator="lessThan">
      <formula>0</formula>
    </cfRule>
  </conditionalFormatting>
  <conditionalFormatting sqref="R83">
    <cfRule type="cellIs" dxfId="17015" priority="2184" operator="lessThan">
      <formula>0.8</formula>
    </cfRule>
    <cfRule type="cellIs" dxfId="17014" priority="2185" operator="greaterThan">
      <formula>1</formula>
    </cfRule>
  </conditionalFormatting>
  <conditionalFormatting sqref="R83">
    <cfRule type="cellIs" dxfId="17013" priority="2182" operator="greaterThan">
      <formula>1</formula>
    </cfRule>
    <cfRule type="cellIs" dxfId="17012" priority="2183" operator="lessThan">
      <formula>0.8</formula>
    </cfRule>
  </conditionalFormatting>
  <conditionalFormatting sqref="R83">
    <cfRule type="cellIs" dxfId="17011" priority="2178" operator="lessThan">
      <formula>0.8</formula>
    </cfRule>
    <cfRule type="cellIs" dxfId="17010" priority="2179" operator="greaterThan">
      <formula>1</formula>
    </cfRule>
  </conditionalFormatting>
  <conditionalFormatting sqref="R83">
    <cfRule type="cellIs" dxfId="17009" priority="2176" operator="greaterThan">
      <formula>1</formula>
    </cfRule>
    <cfRule type="cellIs" dxfId="17008" priority="2177" operator="lessThan">
      <formula>0.8</formula>
    </cfRule>
  </conditionalFormatting>
  <conditionalFormatting sqref="P83">
    <cfRule type="cellIs" dxfId="17007" priority="2175" operator="greaterThan">
      <formula>0</formula>
    </cfRule>
  </conditionalFormatting>
  <conditionalFormatting sqref="Q83">
    <cfRule type="cellIs" dxfId="17006" priority="2180" operator="lessThan">
      <formula>0</formula>
    </cfRule>
  </conditionalFormatting>
  <conditionalFormatting sqref="Q83">
    <cfRule type="cellIs" dxfId="17005" priority="2174" operator="lessThan">
      <formula>0</formula>
    </cfRule>
  </conditionalFormatting>
  <conditionalFormatting sqref="R83">
    <cfRule type="cellIs" dxfId="17004" priority="2172" operator="lessThan">
      <formula>0.8</formula>
    </cfRule>
    <cfRule type="cellIs" dxfId="17003" priority="2173" operator="greaterThan">
      <formula>1</formula>
    </cfRule>
  </conditionalFormatting>
  <conditionalFormatting sqref="R83">
    <cfRule type="cellIs" dxfId="17002" priority="2170" operator="greaterThan">
      <formula>1</formula>
    </cfRule>
    <cfRule type="cellIs" dxfId="17001" priority="2171" operator="lessThan">
      <formula>0.8</formula>
    </cfRule>
  </conditionalFormatting>
  <conditionalFormatting sqref="P83">
    <cfRule type="cellIs" dxfId="17000" priority="2169" operator="greaterThan">
      <formula>0</formula>
    </cfRule>
  </conditionalFormatting>
  <conditionalFormatting sqref="P83">
    <cfRule type="cellIs" dxfId="16999" priority="2163" operator="greaterThan">
      <formula>0</formula>
    </cfRule>
  </conditionalFormatting>
  <conditionalFormatting sqref="Q83">
    <cfRule type="cellIs" dxfId="16998" priority="2168" operator="lessThan">
      <formula>0</formula>
    </cfRule>
  </conditionalFormatting>
  <conditionalFormatting sqref="R83">
    <cfRule type="cellIs" dxfId="16997" priority="2166" operator="lessThan">
      <formula>0.8</formula>
    </cfRule>
    <cfRule type="cellIs" dxfId="16996" priority="2167" operator="greaterThan">
      <formula>1</formula>
    </cfRule>
  </conditionalFormatting>
  <conditionalFormatting sqref="R83">
    <cfRule type="cellIs" dxfId="16995" priority="2164" operator="greaterThan">
      <formula>1</formula>
    </cfRule>
    <cfRule type="cellIs" dxfId="16994" priority="2165" operator="lessThan">
      <formula>0.8</formula>
    </cfRule>
  </conditionalFormatting>
  <conditionalFormatting sqref="P83">
    <cfRule type="cellIs" dxfId="16993" priority="2157" operator="greaterThan">
      <formula>0</formula>
    </cfRule>
  </conditionalFormatting>
  <conditionalFormatting sqref="Q83">
    <cfRule type="cellIs" dxfId="16992" priority="2162" operator="lessThan">
      <formula>0</formula>
    </cfRule>
  </conditionalFormatting>
  <conditionalFormatting sqref="R83">
    <cfRule type="cellIs" dxfId="16991" priority="2160" operator="lessThan">
      <formula>0.8</formula>
    </cfRule>
    <cfRule type="cellIs" dxfId="16990" priority="2161" operator="greaterThan">
      <formula>1</formula>
    </cfRule>
  </conditionalFormatting>
  <conditionalFormatting sqref="R83">
    <cfRule type="cellIs" dxfId="16989" priority="2158" operator="greaterThan">
      <formula>1</formula>
    </cfRule>
    <cfRule type="cellIs" dxfId="16988" priority="2159" operator="lessThan">
      <formula>0.8</formula>
    </cfRule>
  </conditionalFormatting>
  <conditionalFormatting sqref="R83">
    <cfRule type="cellIs" dxfId="16987" priority="2154" operator="lessThan">
      <formula>0.8</formula>
    </cfRule>
    <cfRule type="cellIs" dxfId="16986" priority="2155" operator="greaterThan">
      <formula>1</formula>
    </cfRule>
  </conditionalFormatting>
  <conditionalFormatting sqref="R83">
    <cfRule type="cellIs" dxfId="16985" priority="2152" operator="greaterThan">
      <formula>1</formula>
    </cfRule>
    <cfRule type="cellIs" dxfId="16984" priority="2153" operator="lessThan">
      <formula>0.8</formula>
    </cfRule>
  </conditionalFormatting>
  <conditionalFormatting sqref="P83">
    <cfRule type="cellIs" dxfId="16983" priority="2151" operator="greaterThan">
      <formula>0</formula>
    </cfRule>
  </conditionalFormatting>
  <conditionalFormatting sqref="Q83">
    <cfRule type="cellIs" dxfId="16982" priority="2156" operator="lessThan">
      <formula>0</formula>
    </cfRule>
  </conditionalFormatting>
  <conditionalFormatting sqref="P83">
    <cfRule type="cellIs" dxfId="16981" priority="2145" operator="greaterThan">
      <formula>0</formula>
    </cfRule>
  </conditionalFormatting>
  <conditionalFormatting sqref="Q83">
    <cfRule type="cellIs" dxfId="16980" priority="2150" operator="lessThan">
      <formula>0</formula>
    </cfRule>
  </conditionalFormatting>
  <conditionalFormatting sqref="R83">
    <cfRule type="cellIs" dxfId="16979" priority="2148" operator="lessThan">
      <formula>0.8</formula>
    </cfRule>
    <cfRule type="cellIs" dxfId="16978" priority="2149" operator="greaterThan">
      <formula>1</formula>
    </cfRule>
  </conditionalFormatting>
  <conditionalFormatting sqref="R83">
    <cfRule type="cellIs" dxfId="16977" priority="2146" operator="greaterThan">
      <formula>1</formula>
    </cfRule>
    <cfRule type="cellIs" dxfId="16976" priority="2147" operator="lessThan">
      <formula>0.8</formula>
    </cfRule>
  </conditionalFormatting>
  <conditionalFormatting sqref="R83">
    <cfRule type="cellIs" dxfId="16975" priority="2142" operator="lessThan">
      <formula>0.8</formula>
    </cfRule>
    <cfRule type="cellIs" dxfId="16974" priority="2143" operator="greaterThan">
      <formula>1</formula>
    </cfRule>
  </conditionalFormatting>
  <conditionalFormatting sqref="R83">
    <cfRule type="cellIs" dxfId="16973" priority="2140" operator="greaterThan">
      <formula>1</formula>
    </cfRule>
    <cfRule type="cellIs" dxfId="16972" priority="2141" operator="lessThan">
      <formula>0.8</formula>
    </cfRule>
  </conditionalFormatting>
  <conditionalFormatting sqref="P83">
    <cfRule type="cellIs" dxfId="16971" priority="2139" operator="greaterThan">
      <formula>0</formula>
    </cfRule>
  </conditionalFormatting>
  <conditionalFormatting sqref="Q83">
    <cfRule type="cellIs" dxfId="16970" priority="2144" operator="lessThan">
      <formula>0</formula>
    </cfRule>
  </conditionalFormatting>
  <conditionalFormatting sqref="R83">
    <cfRule type="cellIs" dxfId="16969" priority="2136" operator="lessThan">
      <formula>0.8</formula>
    </cfRule>
    <cfRule type="cellIs" dxfId="16968" priority="2137" operator="greaterThan">
      <formula>1</formula>
    </cfRule>
  </conditionalFormatting>
  <conditionalFormatting sqref="R83">
    <cfRule type="cellIs" dxfId="16967" priority="2134" operator="greaterThan">
      <formula>1</formula>
    </cfRule>
    <cfRule type="cellIs" dxfId="16966" priority="2135" operator="lessThan">
      <formula>0.8</formula>
    </cfRule>
  </conditionalFormatting>
  <conditionalFormatting sqref="P83">
    <cfRule type="cellIs" dxfId="16965" priority="2133" operator="greaterThan">
      <formula>0</formula>
    </cfRule>
  </conditionalFormatting>
  <conditionalFormatting sqref="Q83">
    <cfRule type="cellIs" dxfId="16964" priority="2138" operator="lessThan">
      <formula>0</formula>
    </cfRule>
  </conditionalFormatting>
  <conditionalFormatting sqref="Q83">
    <cfRule type="cellIs" dxfId="16963" priority="2132" operator="lessThan">
      <formula>0</formula>
    </cfRule>
  </conditionalFormatting>
  <conditionalFormatting sqref="R83">
    <cfRule type="cellIs" dxfId="16962" priority="2130" operator="lessThan">
      <formula>0.8</formula>
    </cfRule>
    <cfRule type="cellIs" dxfId="16961" priority="2131" operator="greaterThan">
      <formula>1</formula>
    </cfRule>
  </conditionalFormatting>
  <conditionalFormatting sqref="R83">
    <cfRule type="cellIs" dxfId="16960" priority="2128" operator="greaterThan">
      <formula>1</formula>
    </cfRule>
    <cfRule type="cellIs" dxfId="16959" priority="2129" operator="lessThan">
      <formula>0.8</formula>
    </cfRule>
  </conditionalFormatting>
  <conditionalFormatting sqref="P83">
    <cfRule type="cellIs" dxfId="16958" priority="2127" operator="greaterThan">
      <formula>0</formula>
    </cfRule>
  </conditionalFormatting>
  <conditionalFormatting sqref="Q83">
    <cfRule type="cellIs" dxfId="16957" priority="2121" operator="lessThan">
      <formula>0</formula>
    </cfRule>
  </conditionalFormatting>
  <conditionalFormatting sqref="R83">
    <cfRule type="cellIs" dxfId="16956" priority="2125" operator="lessThan">
      <formula>0.8</formula>
    </cfRule>
    <cfRule type="cellIs" dxfId="16955" priority="2126" operator="greaterThan">
      <formula>1</formula>
    </cfRule>
  </conditionalFormatting>
  <conditionalFormatting sqref="R83">
    <cfRule type="cellIs" dxfId="16954" priority="2123" operator="greaterThan">
      <formula>1</formula>
    </cfRule>
    <cfRule type="cellIs" dxfId="16953" priority="2124" operator="lessThan">
      <formula>0.8</formula>
    </cfRule>
  </conditionalFormatting>
  <conditionalFormatting sqref="P83">
    <cfRule type="cellIs" dxfId="16952" priority="2122" operator="greaterThan">
      <formula>0</formula>
    </cfRule>
  </conditionalFormatting>
  <conditionalFormatting sqref="Q83">
    <cfRule type="cellIs" dxfId="16951" priority="2120" operator="lessThan">
      <formula>0</formula>
    </cfRule>
  </conditionalFormatting>
  <conditionalFormatting sqref="R83">
    <cfRule type="cellIs" dxfId="16950" priority="2118" operator="lessThan">
      <formula>0.8</formula>
    </cfRule>
    <cfRule type="cellIs" dxfId="16949" priority="2119" operator="greaterThan">
      <formula>1</formula>
    </cfRule>
  </conditionalFormatting>
  <conditionalFormatting sqref="R83">
    <cfRule type="cellIs" dxfId="16948" priority="2116" operator="greaterThan">
      <formula>1</formula>
    </cfRule>
    <cfRule type="cellIs" dxfId="16947" priority="2117" operator="lessThan">
      <formula>0.8</formula>
    </cfRule>
  </conditionalFormatting>
  <conditionalFormatting sqref="P83">
    <cfRule type="cellIs" dxfId="16946" priority="2115" operator="greaterThan">
      <formula>0</formula>
    </cfRule>
  </conditionalFormatting>
  <conditionalFormatting sqref="Q83">
    <cfRule type="cellIs" dxfId="16945" priority="2114" operator="lessThan">
      <formula>0</formula>
    </cfRule>
  </conditionalFormatting>
  <conditionalFormatting sqref="R83">
    <cfRule type="cellIs" dxfId="16944" priority="2112" operator="lessThan">
      <formula>0.8</formula>
    </cfRule>
    <cfRule type="cellIs" dxfId="16943" priority="2113" operator="greaterThan">
      <formula>1</formula>
    </cfRule>
  </conditionalFormatting>
  <conditionalFormatting sqref="R83">
    <cfRule type="cellIs" dxfId="16942" priority="2110" operator="greaterThan">
      <formula>1</formula>
    </cfRule>
    <cfRule type="cellIs" dxfId="16941" priority="2111" operator="lessThan">
      <formula>0.8</formula>
    </cfRule>
  </conditionalFormatting>
  <conditionalFormatting sqref="P83">
    <cfRule type="cellIs" dxfId="16940" priority="2109" operator="greaterThan">
      <formula>0</formula>
    </cfRule>
  </conditionalFormatting>
  <conditionalFormatting sqref="Q83">
    <cfRule type="cellIs" dxfId="16939" priority="2108" operator="lessThan">
      <formula>0</formula>
    </cfRule>
  </conditionalFormatting>
  <conditionalFormatting sqref="R83">
    <cfRule type="cellIs" dxfId="16938" priority="2106" operator="lessThan">
      <formula>0.8</formula>
    </cfRule>
    <cfRule type="cellIs" dxfId="16937" priority="2107" operator="greaterThan">
      <formula>1</formula>
    </cfRule>
  </conditionalFormatting>
  <conditionalFormatting sqref="R83">
    <cfRule type="cellIs" dxfId="16936" priority="2104" operator="greaterThan">
      <formula>1</formula>
    </cfRule>
    <cfRule type="cellIs" dxfId="16935" priority="2105" operator="lessThan">
      <formula>0.8</formula>
    </cfRule>
  </conditionalFormatting>
  <conditionalFormatting sqref="P83">
    <cfRule type="cellIs" dxfId="16934" priority="2103" operator="greaterThan">
      <formula>0</formula>
    </cfRule>
  </conditionalFormatting>
  <conditionalFormatting sqref="Q83">
    <cfRule type="cellIs" dxfId="16933" priority="2102" operator="lessThan">
      <formula>0</formula>
    </cfRule>
  </conditionalFormatting>
  <conditionalFormatting sqref="R83">
    <cfRule type="cellIs" dxfId="16932" priority="2100" operator="lessThan">
      <formula>0.8</formula>
    </cfRule>
    <cfRule type="cellIs" dxfId="16931" priority="2101" operator="greaterThan">
      <formula>1</formula>
    </cfRule>
  </conditionalFormatting>
  <conditionalFormatting sqref="R83">
    <cfRule type="cellIs" dxfId="16930" priority="2098" operator="greaterThan">
      <formula>1</formula>
    </cfRule>
    <cfRule type="cellIs" dxfId="16929" priority="2099" operator="lessThan">
      <formula>0.8</formula>
    </cfRule>
  </conditionalFormatting>
  <conditionalFormatting sqref="P83">
    <cfRule type="cellIs" dxfId="16928" priority="2097" operator="greaterThan">
      <formula>0</formula>
    </cfRule>
  </conditionalFormatting>
  <conditionalFormatting sqref="Q83">
    <cfRule type="cellIs" dxfId="16927" priority="2096" operator="lessThan">
      <formula>0</formula>
    </cfRule>
  </conditionalFormatting>
  <conditionalFormatting sqref="R83">
    <cfRule type="cellIs" dxfId="16926" priority="2094" operator="lessThan">
      <formula>0.8</formula>
    </cfRule>
    <cfRule type="cellIs" dxfId="16925" priority="2095" operator="greaterThan">
      <formula>1</formula>
    </cfRule>
  </conditionalFormatting>
  <conditionalFormatting sqref="R83">
    <cfRule type="cellIs" dxfId="16924" priority="2092" operator="greaterThan">
      <formula>1</formula>
    </cfRule>
    <cfRule type="cellIs" dxfId="16923" priority="2093" operator="lessThan">
      <formula>0.8</formula>
    </cfRule>
  </conditionalFormatting>
  <conditionalFormatting sqref="P83">
    <cfRule type="cellIs" dxfId="16922" priority="2091" operator="greaterThan">
      <formula>0</formula>
    </cfRule>
  </conditionalFormatting>
  <conditionalFormatting sqref="P83">
    <cfRule type="cellIs" dxfId="16921" priority="2085" operator="greaterThan">
      <formula>0</formula>
    </cfRule>
  </conditionalFormatting>
  <conditionalFormatting sqref="Q83">
    <cfRule type="cellIs" dxfId="16920" priority="2090" operator="lessThan">
      <formula>0</formula>
    </cfRule>
  </conditionalFormatting>
  <conditionalFormatting sqref="R83">
    <cfRule type="cellIs" dxfId="16919" priority="2088" operator="lessThan">
      <formula>0.8</formula>
    </cfRule>
    <cfRule type="cellIs" dxfId="16918" priority="2089" operator="greaterThan">
      <formula>1</formula>
    </cfRule>
  </conditionalFormatting>
  <conditionalFormatting sqref="R83">
    <cfRule type="cellIs" dxfId="16917" priority="2086" operator="greaterThan">
      <formula>1</formula>
    </cfRule>
    <cfRule type="cellIs" dxfId="16916" priority="2087" operator="lessThan">
      <formula>0.8</formula>
    </cfRule>
  </conditionalFormatting>
  <conditionalFormatting sqref="P83">
    <cfRule type="cellIs" dxfId="16915" priority="2079" operator="greaterThan">
      <formula>0</formula>
    </cfRule>
  </conditionalFormatting>
  <conditionalFormatting sqref="Q83">
    <cfRule type="cellIs" dxfId="16914" priority="2084" operator="lessThan">
      <formula>0</formula>
    </cfRule>
  </conditionalFormatting>
  <conditionalFormatting sqref="R83">
    <cfRule type="cellIs" dxfId="16913" priority="2082" operator="lessThan">
      <formula>0.8</formula>
    </cfRule>
    <cfRule type="cellIs" dxfId="16912" priority="2083" operator="greaterThan">
      <formula>1</formula>
    </cfRule>
  </conditionalFormatting>
  <conditionalFormatting sqref="R83">
    <cfRule type="cellIs" dxfId="16911" priority="2080" operator="greaterThan">
      <formula>1</formula>
    </cfRule>
    <cfRule type="cellIs" dxfId="16910" priority="2081" operator="lessThan">
      <formula>0.8</formula>
    </cfRule>
  </conditionalFormatting>
  <conditionalFormatting sqref="R83">
    <cfRule type="cellIs" dxfId="16909" priority="2076" operator="lessThan">
      <formula>0.8</formula>
    </cfRule>
    <cfRule type="cellIs" dxfId="16908" priority="2077" operator="greaterThan">
      <formula>1</formula>
    </cfRule>
  </conditionalFormatting>
  <conditionalFormatting sqref="R83">
    <cfRule type="cellIs" dxfId="16907" priority="2074" operator="greaterThan">
      <formula>1</formula>
    </cfRule>
    <cfRule type="cellIs" dxfId="16906" priority="2075" operator="lessThan">
      <formula>0.8</formula>
    </cfRule>
  </conditionalFormatting>
  <conditionalFormatting sqref="P83">
    <cfRule type="cellIs" dxfId="16905" priority="2073" operator="greaterThan">
      <formula>0</formula>
    </cfRule>
  </conditionalFormatting>
  <conditionalFormatting sqref="Q83">
    <cfRule type="cellIs" dxfId="16904" priority="2078" operator="lessThan">
      <formula>0</formula>
    </cfRule>
  </conditionalFormatting>
  <conditionalFormatting sqref="Q83">
    <cfRule type="cellIs" dxfId="16903" priority="2067" operator="lessThan">
      <formula>0</formula>
    </cfRule>
  </conditionalFormatting>
  <conditionalFormatting sqref="P83">
    <cfRule type="cellIs" dxfId="16902" priority="2068" operator="greaterThan">
      <formula>0</formula>
    </cfRule>
  </conditionalFormatting>
  <conditionalFormatting sqref="R83">
    <cfRule type="cellIs" dxfId="16901" priority="2071" operator="lessThan">
      <formula>0.8</formula>
    </cfRule>
    <cfRule type="cellIs" dxfId="16900" priority="2072" operator="greaterThan">
      <formula>1</formula>
    </cfRule>
  </conditionalFormatting>
  <conditionalFormatting sqref="R83">
    <cfRule type="cellIs" dxfId="16899" priority="2069" operator="greaterThan">
      <formula>1</formula>
    </cfRule>
    <cfRule type="cellIs" dxfId="16898" priority="2070" operator="lessThan">
      <formula>0.8</formula>
    </cfRule>
  </conditionalFormatting>
  <conditionalFormatting sqref="Q83">
    <cfRule type="cellIs" dxfId="16897" priority="2061" operator="lessThan">
      <formula>0</formula>
    </cfRule>
  </conditionalFormatting>
  <conditionalFormatting sqref="R83">
    <cfRule type="cellIs" dxfId="16896" priority="2065" operator="lessThan">
      <formula>0.8</formula>
    </cfRule>
    <cfRule type="cellIs" dxfId="16895" priority="2066" operator="greaterThan">
      <formula>1</formula>
    </cfRule>
  </conditionalFormatting>
  <conditionalFormatting sqref="R83">
    <cfRule type="cellIs" dxfId="16894" priority="2063" operator="greaterThan">
      <formula>1</formula>
    </cfRule>
    <cfRule type="cellIs" dxfId="16893" priority="2064" operator="lessThan">
      <formula>0.8</formula>
    </cfRule>
  </conditionalFormatting>
  <conditionalFormatting sqref="P83">
    <cfRule type="cellIs" dxfId="16892" priority="2062" operator="greaterThan">
      <formula>0</formula>
    </cfRule>
  </conditionalFormatting>
  <conditionalFormatting sqref="Q83">
    <cfRule type="cellIs" dxfId="16891" priority="2060" operator="lessThan">
      <formula>0</formula>
    </cfRule>
  </conditionalFormatting>
  <conditionalFormatting sqref="R83">
    <cfRule type="cellIs" dxfId="16890" priority="2058" operator="lessThan">
      <formula>0.8</formula>
    </cfRule>
    <cfRule type="cellIs" dxfId="16889" priority="2059" operator="greaterThan">
      <formula>1</formula>
    </cfRule>
  </conditionalFormatting>
  <conditionalFormatting sqref="R83">
    <cfRule type="cellIs" dxfId="16888" priority="2056" operator="greaterThan">
      <formula>1</formula>
    </cfRule>
    <cfRule type="cellIs" dxfId="16887" priority="2057" operator="lessThan">
      <formula>0.8</formula>
    </cfRule>
  </conditionalFormatting>
  <conditionalFormatting sqref="P83">
    <cfRule type="cellIs" dxfId="16886" priority="2055" operator="greaterThan">
      <formula>0</formula>
    </cfRule>
  </conditionalFormatting>
  <conditionalFormatting sqref="Q83">
    <cfRule type="cellIs" dxfId="16885" priority="2054" operator="lessThan">
      <formula>0</formula>
    </cfRule>
  </conditionalFormatting>
  <conditionalFormatting sqref="R83">
    <cfRule type="cellIs" dxfId="16884" priority="2052" operator="lessThan">
      <formula>0.8</formula>
    </cfRule>
    <cfRule type="cellIs" dxfId="16883" priority="2053" operator="greaterThan">
      <formula>1</formula>
    </cfRule>
  </conditionalFormatting>
  <conditionalFormatting sqref="R83">
    <cfRule type="cellIs" dxfId="16882" priority="2050" operator="greaterThan">
      <formula>1</formula>
    </cfRule>
    <cfRule type="cellIs" dxfId="16881" priority="2051" operator="lessThan">
      <formula>0.8</formula>
    </cfRule>
  </conditionalFormatting>
  <conditionalFormatting sqref="P83">
    <cfRule type="cellIs" dxfId="16880" priority="2049" operator="greaterThan">
      <formula>0</formula>
    </cfRule>
  </conditionalFormatting>
  <conditionalFormatting sqref="Q83">
    <cfRule type="cellIs" dxfId="16879" priority="2048" operator="lessThan">
      <formula>0</formula>
    </cfRule>
  </conditionalFormatting>
  <conditionalFormatting sqref="R83">
    <cfRule type="cellIs" dxfId="16878" priority="2046" operator="lessThan">
      <formula>0.8</formula>
    </cfRule>
    <cfRule type="cellIs" dxfId="16877" priority="2047" operator="greaterThan">
      <formula>1</formula>
    </cfRule>
  </conditionalFormatting>
  <conditionalFormatting sqref="R83">
    <cfRule type="cellIs" dxfId="16876" priority="2044" operator="greaterThan">
      <formula>1</formula>
    </cfRule>
    <cfRule type="cellIs" dxfId="16875" priority="2045" operator="lessThan">
      <formula>0.8</formula>
    </cfRule>
  </conditionalFormatting>
  <conditionalFormatting sqref="P83">
    <cfRule type="cellIs" dxfId="16874" priority="2043" operator="greaterThan">
      <formula>0</formula>
    </cfRule>
  </conditionalFormatting>
  <conditionalFormatting sqref="Q32:Q39">
    <cfRule type="cellIs" dxfId="16873" priority="2037" operator="lessThan">
      <formula>0</formula>
    </cfRule>
  </conditionalFormatting>
  <conditionalFormatting sqref="P32:P39">
    <cfRule type="cellIs" dxfId="16872" priority="2038" operator="greaterThan">
      <formula>0</formula>
    </cfRule>
  </conditionalFormatting>
  <conditionalFormatting sqref="R32:R39">
    <cfRule type="cellIs" dxfId="16871" priority="2041" operator="lessThan">
      <formula>0.8</formula>
    </cfRule>
    <cfRule type="cellIs" dxfId="16870" priority="2042" operator="greaterThan">
      <formula>1</formula>
    </cfRule>
  </conditionalFormatting>
  <conditionalFormatting sqref="R32:R39">
    <cfRule type="cellIs" dxfId="16869" priority="2039" operator="greaterThan">
      <formula>1</formula>
    </cfRule>
    <cfRule type="cellIs" dxfId="16868" priority="2040" operator="lessThan">
      <formula>0.8</formula>
    </cfRule>
  </conditionalFormatting>
  <conditionalFormatting sqref="Q32:Q39">
    <cfRule type="cellIs" dxfId="16867" priority="2031" operator="lessThan">
      <formula>0</formula>
    </cfRule>
  </conditionalFormatting>
  <conditionalFormatting sqref="R32:R39">
    <cfRule type="cellIs" dxfId="16866" priority="2035" operator="lessThan">
      <formula>0.8</formula>
    </cfRule>
    <cfRule type="cellIs" dxfId="16865" priority="2036" operator="greaterThan">
      <formula>1</formula>
    </cfRule>
  </conditionalFormatting>
  <conditionalFormatting sqref="R32:R39">
    <cfRule type="cellIs" dxfId="16864" priority="2033" operator="greaterThan">
      <formula>1</formula>
    </cfRule>
    <cfRule type="cellIs" dxfId="16863" priority="2034" operator="lessThan">
      <formula>0.8</formula>
    </cfRule>
  </conditionalFormatting>
  <conditionalFormatting sqref="P32:P39">
    <cfRule type="cellIs" dxfId="16862" priority="2032" operator="greaterThan">
      <formula>0</formula>
    </cfRule>
  </conditionalFormatting>
  <conditionalFormatting sqref="Q32:Q39">
    <cfRule type="cellIs" dxfId="16861" priority="2030" operator="lessThan">
      <formula>0</formula>
    </cfRule>
  </conditionalFormatting>
  <conditionalFormatting sqref="R32:R39">
    <cfRule type="cellIs" dxfId="16860" priority="2028" operator="lessThan">
      <formula>0.8</formula>
    </cfRule>
    <cfRule type="cellIs" dxfId="16859" priority="2029" operator="greaterThan">
      <formula>1</formula>
    </cfRule>
  </conditionalFormatting>
  <conditionalFormatting sqref="R32:R39">
    <cfRule type="cellIs" dxfId="16858" priority="2026" operator="greaterThan">
      <formula>1</formula>
    </cfRule>
    <cfRule type="cellIs" dxfId="16857" priority="2027" operator="lessThan">
      <formula>0.8</formula>
    </cfRule>
  </conditionalFormatting>
  <conditionalFormatting sqref="P32:P39">
    <cfRule type="cellIs" dxfId="16856" priority="2025" operator="greaterThan">
      <formula>0</formula>
    </cfRule>
  </conditionalFormatting>
  <conditionalFormatting sqref="Q32:Q39">
    <cfRule type="cellIs" dxfId="16855" priority="2024" operator="lessThan">
      <formula>0</formula>
    </cfRule>
  </conditionalFormatting>
  <conditionalFormatting sqref="R32:R39">
    <cfRule type="cellIs" dxfId="16854" priority="2022" operator="lessThan">
      <formula>0.8</formula>
    </cfRule>
    <cfRule type="cellIs" dxfId="16853" priority="2023" operator="greaterThan">
      <formula>1</formula>
    </cfRule>
  </conditionalFormatting>
  <conditionalFormatting sqref="R32:R39">
    <cfRule type="cellIs" dxfId="16852" priority="2020" operator="greaterThan">
      <formula>1</formula>
    </cfRule>
    <cfRule type="cellIs" dxfId="16851" priority="2021" operator="lessThan">
      <formula>0.8</formula>
    </cfRule>
  </conditionalFormatting>
  <conditionalFormatting sqref="P32:P39">
    <cfRule type="cellIs" dxfId="16850" priority="2019" operator="greaterThan">
      <formula>0</formula>
    </cfRule>
  </conditionalFormatting>
  <conditionalFormatting sqref="Q32:Q39">
    <cfRule type="cellIs" dxfId="16849" priority="2013" operator="lessThan">
      <formula>0</formula>
    </cfRule>
  </conditionalFormatting>
  <conditionalFormatting sqref="R32:R39">
    <cfRule type="cellIs" dxfId="16848" priority="2017" operator="lessThan">
      <formula>0.8</formula>
    </cfRule>
    <cfRule type="cellIs" dxfId="16847" priority="2018" operator="greaterThan">
      <formula>1</formula>
    </cfRule>
  </conditionalFormatting>
  <conditionalFormatting sqref="R32:R39">
    <cfRule type="cellIs" dxfId="16846" priority="2015" operator="greaterThan">
      <formula>1</formula>
    </cfRule>
    <cfRule type="cellIs" dxfId="16845" priority="2016" operator="lessThan">
      <formula>0.8</formula>
    </cfRule>
  </conditionalFormatting>
  <conditionalFormatting sqref="P32:P39">
    <cfRule type="cellIs" dxfId="16844" priority="2014" operator="greaterThan">
      <formula>0</formula>
    </cfRule>
  </conditionalFormatting>
  <conditionalFormatting sqref="Q32:Q39">
    <cfRule type="cellIs" dxfId="16843" priority="2012" operator="lessThan">
      <formula>0</formula>
    </cfRule>
  </conditionalFormatting>
  <conditionalFormatting sqref="R32:R39">
    <cfRule type="cellIs" dxfId="16842" priority="2010" operator="lessThan">
      <formula>0.8</formula>
    </cfRule>
    <cfRule type="cellIs" dxfId="16841" priority="2011" operator="greaterThan">
      <formula>1</formula>
    </cfRule>
  </conditionalFormatting>
  <conditionalFormatting sqref="R32:R39">
    <cfRule type="cellIs" dxfId="16840" priority="2008" operator="greaterThan">
      <formula>1</formula>
    </cfRule>
    <cfRule type="cellIs" dxfId="16839" priority="2009" operator="lessThan">
      <formula>0.8</formula>
    </cfRule>
  </conditionalFormatting>
  <conditionalFormatting sqref="P32:P39">
    <cfRule type="cellIs" dxfId="16838" priority="2007" operator="greaterThan">
      <formula>0</formula>
    </cfRule>
  </conditionalFormatting>
  <conditionalFormatting sqref="Q32:Q39">
    <cfRule type="cellIs" dxfId="16837" priority="2006" operator="lessThan">
      <formula>0</formula>
    </cfRule>
  </conditionalFormatting>
  <conditionalFormatting sqref="R32:R39">
    <cfRule type="cellIs" dxfId="16836" priority="2004" operator="lessThan">
      <formula>0.8</formula>
    </cfRule>
    <cfRule type="cellIs" dxfId="16835" priority="2005" operator="greaterThan">
      <formula>1</formula>
    </cfRule>
  </conditionalFormatting>
  <conditionalFormatting sqref="R32:R39">
    <cfRule type="cellIs" dxfId="16834" priority="2002" operator="greaterThan">
      <formula>1</formula>
    </cfRule>
    <cfRule type="cellIs" dxfId="16833" priority="2003" operator="lessThan">
      <formula>0.8</formula>
    </cfRule>
  </conditionalFormatting>
  <conditionalFormatting sqref="P32:P39">
    <cfRule type="cellIs" dxfId="16832" priority="2001" operator="greaterThan">
      <formula>0</formula>
    </cfRule>
  </conditionalFormatting>
  <conditionalFormatting sqref="Q32:Q39">
    <cfRule type="cellIs" dxfId="16831" priority="2000" operator="lessThan">
      <formula>0</formula>
    </cfRule>
  </conditionalFormatting>
  <conditionalFormatting sqref="R32:R39">
    <cfRule type="cellIs" dxfId="16830" priority="1998" operator="lessThan">
      <formula>0.8</formula>
    </cfRule>
    <cfRule type="cellIs" dxfId="16829" priority="1999" operator="greaterThan">
      <formula>1</formula>
    </cfRule>
  </conditionalFormatting>
  <conditionalFormatting sqref="R32:R39">
    <cfRule type="cellIs" dxfId="16828" priority="1996" operator="greaterThan">
      <formula>1</formula>
    </cfRule>
    <cfRule type="cellIs" dxfId="16827" priority="1997" operator="lessThan">
      <formula>0.8</formula>
    </cfRule>
  </conditionalFormatting>
  <conditionalFormatting sqref="P32:P39">
    <cfRule type="cellIs" dxfId="16826" priority="1995" operator="greaterThan">
      <formula>0</formula>
    </cfRule>
  </conditionalFormatting>
  <conditionalFormatting sqref="Q32:Q39">
    <cfRule type="cellIs" dxfId="16825" priority="1994" operator="lessThan">
      <formula>0</formula>
    </cfRule>
  </conditionalFormatting>
  <conditionalFormatting sqref="R32:R39">
    <cfRule type="cellIs" dxfId="16824" priority="1992" operator="lessThan">
      <formula>0.8</formula>
    </cfRule>
    <cfRule type="cellIs" dxfId="16823" priority="1993" operator="greaterThan">
      <formula>1</formula>
    </cfRule>
  </conditionalFormatting>
  <conditionalFormatting sqref="R32:R39">
    <cfRule type="cellIs" dxfId="16822" priority="1990" operator="greaterThan">
      <formula>1</formula>
    </cfRule>
    <cfRule type="cellIs" dxfId="16821" priority="1991" operator="lessThan">
      <formula>0.8</formula>
    </cfRule>
  </conditionalFormatting>
  <conditionalFormatting sqref="P32:P39">
    <cfRule type="cellIs" dxfId="16820" priority="1989" operator="greaterThan">
      <formula>0</formula>
    </cfRule>
  </conditionalFormatting>
  <conditionalFormatting sqref="Q32:Q39">
    <cfRule type="cellIs" dxfId="16819" priority="1988" operator="lessThan">
      <formula>0</formula>
    </cfRule>
  </conditionalFormatting>
  <conditionalFormatting sqref="R32:R39">
    <cfRule type="cellIs" dxfId="16818" priority="1986" operator="lessThan">
      <formula>0.8</formula>
    </cfRule>
    <cfRule type="cellIs" dxfId="16817" priority="1987" operator="greaterThan">
      <formula>1</formula>
    </cfRule>
  </conditionalFormatting>
  <conditionalFormatting sqref="R32:R39">
    <cfRule type="cellIs" dxfId="16816" priority="1984" operator="greaterThan">
      <formula>1</formula>
    </cfRule>
    <cfRule type="cellIs" dxfId="16815" priority="1985" operator="lessThan">
      <formula>0.8</formula>
    </cfRule>
  </conditionalFormatting>
  <conditionalFormatting sqref="P32:P39">
    <cfRule type="cellIs" dxfId="16814" priority="1983" operator="greaterThan">
      <formula>0</formula>
    </cfRule>
  </conditionalFormatting>
  <conditionalFormatting sqref="P32:P39">
    <cfRule type="cellIs" dxfId="16813" priority="1977" operator="greaterThan">
      <formula>0</formula>
    </cfRule>
  </conditionalFormatting>
  <conditionalFormatting sqref="Q32:Q39">
    <cfRule type="cellIs" dxfId="16812" priority="1982" operator="lessThan">
      <formula>0</formula>
    </cfRule>
  </conditionalFormatting>
  <conditionalFormatting sqref="R32:R39">
    <cfRule type="cellIs" dxfId="16811" priority="1980" operator="lessThan">
      <formula>0.8</formula>
    </cfRule>
    <cfRule type="cellIs" dxfId="16810" priority="1981" operator="greaterThan">
      <formula>1</formula>
    </cfRule>
  </conditionalFormatting>
  <conditionalFormatting sqref="R32:R39">
    <cfRule type="cellIs" dxfId="16809" priority="1978" operator="greaterThan">
      <formula>1</formula>
    </cfRule>
    <cfRule type="cellIs" dxfId="16808" priority="1979" operator="lessThan">
      <formula>0.8</formula>
    </cfRule>
  </conditionalFormatting>
  <conditionalFormatting sqref="P32:P39">
    <cfRule type="cellIs" dxfId="16807" priority="1971" operator="greaterThan">
      <formula>0</formula>
    </cfRule>
  </conditionalFormatting>
  <conditionalFormatting sqref="Q32:Q39">
    <cfRule type="cellIs" dxfId="16806" priority="1976" operator="lessThan">
      <formula>0</formula>
    </cfRule>
  </conditionalFormatting>
  <conditionalFormatting sqref="R32:R39">
    <cfRule type="cellIs" dxfId="16805" priority="1974" operator="lessThan">
      <formula>0.8</formula>
    </cfRule>
    <cfRule type="cellIs" dxfId="16804" priority="1975" operator="greaterThan">
      <formula>1</formula>
    </cfRule>
  </conditionalFormatting>
  <conditionalFormatting sqref="R32:R39">
    <cfRule type="cellIs" dxfId="16803" priority="1972" operator="greaterThan">
      <formula>1</formula>
    </cfRule>
    <cfRule type="cellIs" dxfId="16802" priority="1973" operator="lessThan">
      <formula>0.8</formula>
    </cfRule>
  </conditionalFormatting>
  <conditionalFormatting sqref="R32:R39">
    <cfRule type="cellIs" dxfId="16801" priority="1968" operator="lessThan">
      <formula>0.8</formula>
    </cfRule>
    <cfRule type="cellIs" dxfId="16800" priority="1969" operator="greaterThan">
      <formula>1</formula>
    </cfRule>
  </conditionalFormatting>
  <conditionalFormatting sqref="R32:R39">
    <cfRule type="cellIs" dxfId="16799" priority="1966" operator="greaterThan">
      <formula>1</formula>
    </cfRule>
    <cfRule type="cellIs" dxfId="16798" priority="1967" operator="lessThan">
      <formula>0.8</formula>
    </cfRule>
  </conditionalFormatting>
  <conditionalFormatting sqref="P32:P39">
    <cfRule type="cellIs" dxfId="16797" priority="1965" operator="greaterThan">
      <formula>0</formula>
    </cfRule>
  </conditionalFormatting>
  <conditionalFormatting sqref="Q32:Q39">
    <cfRule type="cellIs" dxfId="16796" priority="1970" operator="lessThan">
      <formula>0</formula>
    </cfRule>
  </conditionalFormatting>
  <conditionalFormatting sqref="Q32:Q39">
    <cfRule type="cellIs" dxfId="16795" priority="1959" operator="lessThan">
      <formula>0</formula>
    </cfRule>
  </conditionalFormatting>
  <conditionalFormatting sqref="P32:P39">
    <cfRule type="cellIs" dxfId="16794" priority="1960" operator="greaterThan">
      <formula>0</formula>
    </cfRule>
  </conditionalFormatting>
  <conditionalFormatting sqref="R32:R39">
    <cfRule type="cellIs" dxfId="16793" priority="1963" operator="lessThan">
      <formula>0.8</formula>
    </cfRule>
    <cfRule type="cellIs" dxfId="16792" priority="1964" operator="greaterThan">
      <formula>1</formula>
    </cfRule>
  </conditionalFormatting>
  <conditionalFormatting sqref="R32:R39">
    <cfRule type="cellIs" dxfId="16791" priority="1961" operator="greaterThan">
      <formula>1</formula>
    </cfRule>
    <cfRule type="cellIs" dxfId="16790" priority="1962" operator="lessThan">
      <formula>0.8</formula>
    </cfRule>
  </conditionalFormatting>
  <conditionalFormatting sqref="Q32:Q39">
    <cfRule type="cellIs" dxfId="16789" priority="1953" operator="lessThan">
      <formula>0</formula>
    </cfRule>
  </conditionalFormatting>
  <conditionalFormatting sqref="R32:R39">
    <cfRule type="cellIs" dxfId="16788" priority="1957" operator="lessThan">
      <formula>0.8</formula>
    </cfRule>
    <cfRule type="cellIs" dxfId="16787" priority="1958" operator="greaterThan">
      <formula>1</formula>
    </cfRule>
  </conditionalFormatting>
  <conditionalFormatting sqref="R32:R39">
    <cfRule type="cellIs" dxfId="16786" priority="1955" operator="greaterThan">
      <formula>1</formula>
    </cfRule>
    <cfRule type="cellIs" dxfId="16785" priority="1956" operator="lessThan">
      <formula>0.8</formula>
    </cfRule>
  </conditionalFormatting>
  <conditionalFormatting sqref="P32:P39">
    <cfRule type="cellIs" dxfId="16784" priority="1954" operator="greaterThan">
      <formula>0</formula>
    </cfRule>
  </conditionalFormatting>
  <conditionalFormatting sqref="Q32:Q39">
    <cfRule type="cellIs" dxfId="16783" priority="1952" operator="lessThan">
      <formula>0</formula>
    </cfRule>
  </conditionalFormatting>
  <conditionalFormatting sqref="R32:R39">
    <cfRule type="cellIs" dxfId="16782" priority="1950" operator="lessThan">
      <formula>0.8</formula>
    </cfRule>
    <cfRule type="cellIs" dxfId="16781" priority="1951" operator="greaterThan">
      <formula>1</formula>
    </cfRule>
  </conditionalFormatting>
  <conditionalFormatting sqref="R32:R39">
    <cfRule type="cellIs" dxfId="16780" priority="1948" operator="greaterThan">
      <formula>1</formula>
    </cfRule>
    <cfRule type="cellIs" dxfId="16779" priority="1949" operator="lessThan">
      <formula>0.8</formula>
    </cfRule>
  </conditionalFormatting>
  <conditionalFormatting sqref="P32:P39">
    <cfRule type="cellIs" dxfId="16778" priority="1947" operator="greaterThan">
      <formula>0</formula>
    </cfRule>
  </conditionalFormatting>
  <conditionalFormatting sqref="Q32:Q39">
    <cfRule type="cellIs" dxfId="16777" priority="1946" operator="lessThan">
      <formula>0</formula>
    </cfRule>
  </conditionalFormatting>
  <conditionalFormatting sqref="R32:R39">
    <cfRule type="cellIs" dxfId="16776" priority="1944" operator="lessThan">
      <formula>0.8</formula>
    </cfRule>
    <cfRule type="cellIs" dxfId="16775" priority="1945" operator="greaterThan">
      <formula>1</formula>
    </cfRule>
  </conditionalFormatting>
  <conditionalFormatting sqref="R32:R39">
    <cfRule type="cellIs" dxfId="16774" priority="1942" operator="greaterThan">
      <formula>1</formula>
    </cfRule>
    <cfRule type="cellIs" dxfId="16773" priority="1943" operator="lessThan">
      <formula>0.8</formula>
    </cfRule>
  </conditionalFormatting>
  <conditionalFormatting sqref="P32:P39">
    <cfRule type="cellIs" dxfId="16772" priority="1941" operator="greaterThan">
      <formula>0</formula>
    </cfRule>
  </conditionalFormatting>
  <conditionalFormatting sqref="Q32:Q39">
    <cfRule type="cellIs" dxfId="16771" priority="1935" operator="lessThan">
      <formula>0</formula>
    </cfRule>
  </conditionalFormatting>
  <conditionalFormatting sqref="P32:P39">
    <cfRule type="cellIs" dxfId="16770" priority="1936" operator="greaterThan">
      <formula>0</formula>
    </cfRule>
  </conditionalFormatting>
  <conditionalFormatting sqref="R32:R39">
    <cfRule type="cellIs" dxfId="16769" priority="1939" operator="lessThan">
      <formula>0.8</formula>
    </cfRule>
    <cfRule type="cellIs" dxfId="16768" priority="1940" operator="greaterThan">
      <formula>1</formula>
    </cfRule>
  </conditionalFormatting>
  <conditionalFormatting sqref="R32:R39">
    <cfRule type="cellIs" dxfId="16767" priority="1937" operator="greaterThan">
      <formula>1</formula>
    </cfRule>
    <cfRule type="cellIs" dxfId="16766" priority="1938" operator="lessThan">
      <formula>0.8</formula>
    </cfRule>
  </conditionalFormatting>
  <conditionalFormatting sqref="Q32:Q39">
    <cfRule type="cellIs" dxfId="16765" priority="1929" operator="lessThan">
      <formula>0</formula>
    </cfRule>
  </conditionalFormatting>
  <conditionalFormatting sqref="R32:R39">
    <cfRule type="cellIs" dxfId="16764" priority="1933" operator="lessThan">
      <formula>0.8</formula>
    </cfRule>
    <cfRule type="cellIs" dxfId="16763" priority="1934" operator="greaterThan">
      <formula>1</formula>
    </cfRule>
  </conditionalFormatting>
  <conditionalFormatting sqref="R32:R39">
    <cfRule type="cellIs" dxfId="16762" priority="1931" operator="greaterThan">
      <formula>1</formula>
    </cfRule>
    <cfRule type="cellIs" dxfId="16761" priority="1932" operator="lessThan">
      <formula>0.8</formula>
    </cfRule>
  </conditionalFormatting>
  <conditionalFormatting sqref="P32:P39">
    <cfRule type="cellIs" dxfId="16760" priority="1930" operator="greaterThan">
      <formula>0</formula>
    </cfRule>
  </conditionalFormatting>
  <conditionalFormatting sqref="Q32:Q39">
    <cfRule type="cellIs" dxfId="16759" priority="1928" operator="lessThan">
      <formula>0</formula>
    </cfRule>
  </conditionalFormatting>
  <conditionalFormatting sqref="R32:R39">
    <cfRule type="cellIs" dxfId="16758" priority="1926" operator="lessThan">
      <formula>0.8</formula>
    </cfRule>
    <cfRule type="cellIs" dxfId="16757" priority="1927" operator="greaterThan">
      <formula>1</formula>
    </cfRule>
  </conditionalFormatting>
  <conditionalFormatting sqref="R32:R39">
    <cfRule type="cellIs" dxfId="16756" priority="1924" operator="greaterThan">
      <formula>1</formula>
    </cfRule>
    <cfRule type="cellIs" dxfId="16755" priority="1925" operator="lessThan">
      <formula>0.8</formula>
    </cfRule>
  </conditionalFormatting>
  <conditionalFormatting sqref="P32:P39">
    <cfRule type="cellIs" dxfId="16754" priority="1923" operator="greaterThan">
      <formula>0</formula>
    </cfRule>
  </conditionalFormatting>
  <conditionalFormatting sqref="Q32:Q39">
    <cfRule type="cellIs" dxfId="16753" priority="1922" operator="lessThan">
      <formula>0</formula>
    </cfRule>
  </conditionalFormatting>
  <conditionalFormatting sqref="R32:R39">
    <cfRule type="cellIs" dxfId="16752" priority="1920" operator="lessThan">
      <formula>0.8</formula>
    </cfRule>
    <cfRule type="cellIs" dxfId="16751" priority="1921" operator="greaterThan">
      <formula>1</formula>
    </cfRule>
  </conditionalFormatting>
  <conditionalFormatting sqref="R32:R39">
    <cfRule type="cellIs" dxfId="16750" priority="1918" operator="greaterThan">
      <formula>1</formula>
    </cfRule>
    <cfRule type="cellIs" dxfId="16749" priority="1919" operator="lessThan">
      <formula>0.8</formula>
    </cfRule>
  </conditionalFormatting>
  <conditionalFormatting sqref="P32:P39">
    <cfRule type="cellIs" dxfId="16748" priority="1917" operator="greaterThan">
      <formula>0</formula>
    </cfRule>
  </conditionalFormatting>
  <conditionalFormatting sqref="Q19:Q24">
    <cfRule type="cellIs" dxfId="16747" priority="1916" operator="lessThan">
      <formula>0</formula>
    </cfRule>
  </conditionalFormatting>
  <conditionalFormatting sqref="R19:R24">
    <cfRule type="cellIs" dxfId="16746" priority="1914" operator="lessThan">
      <formula>0.8</formula>
    </cfRule>
    <cfRule type="cellIs" dxfId="16745" priority="1915" operator="greaterThan">
      <formula>1</formula>
    </cfRule>
  </conditionalFormatting>
  <conditionalFormatting sqref="R19:R24">
    <cfRule type="cellIs" dxfId="16744" priority="1912" operator="greaterThan">
      <formula>1</formula>
    </cfRule>
    <cfRule type="cellIs" dxfId="16743" priority="1913" operator="lessThan">
      <formula>0.8</formula>
    </cfRule>
  </conditionalFormatting>
  <conditionalFormatting sqref="P19:P24">
    <cfRule type="cellIs" dxfId="16742" priority="1911" operator="greaterThan">
      <formula>0</formula>
    </cfRule>
  </conditionalFormatting>
  <conditionalFormatting sqref="R19:R24">
    <cfRule type="cellIs" dxfId="16741" priority="1908" operator="lessThan">
      <formula>0.8</formula>
    </cfRule>
    <cfRule type="cellIs" dxfId="16740" priority="1909" operator="greaterThan">
      <formula>1</formula>
    </cfRule>
  </conditionalFormatting>
  <conditionalFormatting sqref="R19:R24">
    <cfRule type="cellIs" dxfId="16739" priority="1906" operator="greaterThan">
      <formula>1</formula>
    </cfRule>
    <cfRule type="cellIs" dxfId="16738" priority="1907" operator="lessThan">
      <formula>0.8</formula>
    </cfRule>
  </conditionalFormatting>
  <conditionalFormatting sqref="P19:P24">
    <cfRule type="cellIs" dxfId="16737" priority="1905" operator="greaterThan">
      <formula>0</formula>
    </cfRule>
  </conditionalFormatting>
  <conditionalFormatting sqref="Q19:Q24">
    <cfRule type="cellIs" dxfId="16736" priority="1910" operator="lessThan">
      <formula>0</formula>
    </cfRule>
  </conditionalFormatting>
  <conditionalFormatting sqref="R19:R24">
    <cfRule type="cellIs" dxfId="16735" priority="1902" operator="lessThan">
      <formula>0.8</formula>
    </cfRule>
    <cfRule type="cellIs" dxfId="16734" priority="1903" operator="greaterThan">
      <formula>1</formula>
    </cfRule>
  </conditionalFormatting>
  <conditionalFormatting sqref="R19:R24">
    <cfRule type="cellIs" dxfId="16733" priority="1900" operator="greaterThan">
      <formula>1</formula>
    </cfRule>
    <cfRule type="cellIs" dxfId="16732" priority="1901" operator="lessThan">
      <formula>0.8</formula>
    </cfRule>
  </conditionalFormatting>
  <conditionalFormatting sqref="P19:P24">
    <cfRule type="cellIs" dxfId="16731" priority="1899" operator="greaterThan">
      <formula>0</formula>
    </cfRule>
  </conditionalFormatting>
  <conditionalFormatting sqref="Q19:Q24">
    <cfRule type="cellIs" dxfId="16730" priority="1904" operator="lessThan">
      <formula>0</formula>
    </cfRule>
  </conditionalFormatting>
  <conditionalFormatting sqref="Q19:Q24">
    <cfRule type="cellIs" dxfId="16729" priority="1898" operator="lessThan">
      <formula>0</formula>
    </cfRule>
  </conditionalFormatting>
  <conditionalFormatting sqref="R19:R24">
    <cfRule type="cellIs" dxfId="16728" priority="1896" operator="lessThan">
      <formula>0.8</formula>
    </cfRule>
    <cfRule type="cellIs" dxfId="16727" priority="1897" operator="greaterThan">
      <formula>1</formula>
    </cfRule>
  </conditionalFormatting>
  <conditionalFormatting sqref="R19:R24">
    <cfRule type="cellIs" dxfId="16726" priority="1894" operator="greaterThan">
      <formula>1</formula>
    </cfRule>
    <cfRule type="cellIs" dxfId="16725" priority="1895" operator="lessThan">
      <formula>0.8</formula>
    </cfRule>
  </conditionalFormatting>
  <conditionalFormatting sqref="P19:P24">
    <cfRule type="cellIs" dxfId="16724" priority="1893" operator="greaterThan">
      <formula>0</formula>
    </cfRule>
  </conditionalFormatting>
  <conditionalFormatting sqref="Q135:Q136">
    <cfRule type="cellIs" dxfId="16723" priority="1892" operator="lessThan">
      <formula>0</formula>
    </cfRule>
  </conditionalFormatting>
  <conditionalFormatting sqref="R135:R136">
    <cfRule type="cellIs" dxfId="16722" priority="1890" operator="lessThan">
      <formula>0.8</formula>
    </cfRule>
    <cfRule type="cellIs" dxfId="16721" priority="1891" operator="greaterThan">
      <formula>1</formula>
    </cfRule>
  </conditionalFormatting>
  <conditionalFormatting sqref="R135:R136">
    <cfRule type="cellIs" dxfId="16720" priority="1888" operator="greaterThan">
      <formula>1</formula>
    </cfRule>
    <cfRule type="cellIs" dxfId="16719" priority="1889" operator="lessThan">
      <formula>0.8</formula>
    </cfRule>
  </conditionalFormatting>
  <conditionalFormatting sqref="P135:P136">
    <cfRule type="cellIs" dxfId="16718" priority="1887" operator="greaterThan">
      <formula>0</formula>
    </cfRule>
  </conditionalFormatting>
  <conditionalFormatting sqref="P135:P136">
    <cfRule type="cellIs" dxfId="16717" priority="1881" operator="greaterThan">
      <formula>0</formula>
    </cfRule>
  </conditionalFormatting>
  <conditionalFormatting sqref="Q135:Q136">
    <cfRule type="cellIs" dxfId="16716" priority="1886" operator="lessThan">
      <formula>0</formula>
    </cfRule>
  </conditionalFormatting>
  <conditionalFormatting sqref="R135:R136">
    <cfRule type="cellIs" dxfId="16715" priority="1884" operator="lessThan">
      <formula>0.8</formula>
    </cfRule>
    <cfRule type="cellIs" dxfId="16714" priority="1885" operator="greaterThan">
      <formula>1</formula>
    </cfRule>
  </conditionalFormatting>
  <conditionalFormatting sqref="R135:R136">
    <cfRule type="cellIs" dxfId="16713" priority="1882" operator="greaterThan">
      <formula>1</formula>
    </cfRule>
    <cfRule type="cellIs" dxfId="16712" priority="1883" operator="lessThan">
      <formula>0.8</formula>
    </cfRule>
  </conditionalFormatting>
  <conditionalFormatting sqref="Q25">
    <cfRule type="cellIs" dxfId="16711" priority="1880" operator="lessThan">
      <formula>0</formula>
    </cfRule>
  </conditionalFormatting>
  <conditionalFormatting sqref="R25">
    <cfRule type="cellIs" dxfId="16710" priority="1878" operator="lessThan">
      <formula>0.8</formula>
    </cfRule>
    <cfRule type="cellIs" dxfId="16709" priority="1879" operator="greaterThan">
      <formula>1</formula>
    </cfRule>
  </conditionalFormatting>
  <conditionalFormatting sqref="R25">
    <cfRule type="cellIs" dxfId="16708" priority="1876" operator="greaterThan">
      <formula>1</formula>
    </cfRule>
    <cfRule type="cellIs" dxfId="16707" priority="1877" operator="lessThan">
      <formula>0.8</formula>
    </cfRule>
  </conditionalFormatting>
  <conditionalFormatting sqref="P25">
    <cfRule type="cellIs" dxfId="16706" priority="1875" operator="greaterThan">
      <formula>0</formula>
    </cfRule>
  </conditionalFormatting>
  <conditionalFormatting sqref="R25">
    <cfRule type="cellIs" dxfId="16705" priority="1872" operator="lessThan">
      <formula>0.8</formula>
    </cfRule>
    <cfRule type="cellIs" dxfId="16704" priority="1873" operator="greaterThan">
      <formula>1</formula>
    </cfRule>
  </conditionalFormatting>
  <conditionalFormatting sqref="R25">
    <cfRule type="cellIs" dxfId="16703" priority="1870" operator="greaterThan">
      <formula>1</formula>
    </cfRule>
    <cfRule type="cellIs" dxfId="16702" priority="1871" operator="lessThan">
      <formula>0.8</formula>
    </cfRule>
  </conditionalFormatting>
  <conditionalFormatting sqref="P25">
    <cfRule type="cellIs" dxfId="16701" priority="1869" operator="greaterThan">
      <formula>0</formula>
    </cfRule>
  </conditionalFormatting>
  <conditionalFormatting sqref="Q25">
    <cfRule type="cellIs" dxfId="16700" priority="1874" operator="lessThan">
      <formula>0</formula>
    </cfRule>
  </conditionalFormatting>
  <conditionalFormatting sqref="R25">
    <cfRule type="cellIs" dxfId="16699" priority="1866" operator="lessThan">
      <formula>0.8</formula>
    </cfRule>
    <cfRule type="cellIs" dxfId="16698" priority="1867" operator="greaterThan">
      <formula>1</formula>
    </cfRule>
  </conditionalFormatting>
  <conditionalFormatting sqref="R25">
    <cfRule type="cellIs" dxfId="16697" priority="1864" operator="greaterThan">
      <formula>1</formula>
    </cfRule>
    <cfRule type="cellIs" dxfId="16696" priority="1865" operator="lessThan">
      <formula>0.8</formula>
    </cfRule>
  </conditionalFormatting>
  <conditionalFormatting sqref="P25">
    <cfRule type="cellIs" dxfId="16695" priority="1863" operator="greaterThan">
      <formula>0</formula>
    </cfRule>
  </conditionalFormatting>
  <conditionalFormatting sqref="Q25">
    <cfRule type="cellIs" dxfId="16694" priority="1868" operator="lessThan">
      <formula>0</formula>
    </cfRule>
  </conditionalFormatting>
  <conditionalFormatting sqref="Q25">
    <cfRule type="cellIs" dxfId="16693" priority="1862" operator="lessThan">
      <formula>0</formula>
    </cfRule>
  </conditionalFormatting>
  <conditionalFormatting sqref="R25">
    <cfRule type="cellIs" dxfId="16692" priority="1860" operator="lessThan">
      <formula>0.8</formula>
    </cfRule>
    <cfRule type="cellIs" dxfId="16691" priority="1861" operator="greaterThan">
      <formula>1</formula>
    </cfRule>
  </conditionalFormatting>
  <conditionalFormatting sqref="R25">
    <cfRule type="cellIs" dxfId="16690" priority="1858" operator="greaterThan">
      <formula>1</formula>
    </cfRule>
    <cfRule type="cellIs" dxfId="16689" priority="1859" operator="lessThan">
      <formula>0.8</formula>
    </cfRule>
  </conditionalFormatting>
  <conditionalFormatting sqref="P25">
    <cfRule type="cellIs" dxfId="16688" priority="1857" operator="greaterThan">
      <formula>0</formula>
    </cfRule>
  </conditionalFormatting>
  <conditionalFormatting sqref="Q25">
    <cfRule type="cellIs" dxfId="16687" priority="1856" operator="lessThan">
      <formula>0</formula>
    </cfRule>
  </conditionalFormatting>
  <conditionalFormatting sqref="R25">
    <cfRule type="cellIs" dxfId="16686" priority="1854" operator="lessThan">
      <formula>0.8</formula>
    </cfRule>
    <cfRule type="cellIs" dxfId="16685" priority="1855" operator="greaterThan">
      <formula>1</formula>
    </cfRule>
  </conditionalFormatting>
  <conditionalFormatting sqref="R25">
    <cfRule type="cellIs" dxfId="16684" priority="1852" operator="greaterThan">
      <formula>1</formula>
    </cfRule>
    <cfRule type="cellIs" dxfId="16683" priority="1853" operator="lessThan">
      <formula>0.8</formula>
    </cfRule>
  </conditionalFormatting>
  <conditionalFormatting sqref="P25">
    <cfRule type="cellIs" dxfId="16682" priority="1851" operator="greaterThan">
      <formula>0</formula>
    </cfRule>
  </conditionalFormatting>
  <conditionalFormatting sqref="P19:P24">
    <cfRule type="cellIs" dxfId="16681" priority="1845" operator="greaterThan">
      <formula>0</formula>
    </cfRule>
  </conditionalFormatting>
  <conditionalFormatting sqref="Q19:Q24">
    <cfRule type="cellIs" dxfId="16680" priority="1850" operator="lessThan">
      <formula>0</formula>
    </cfRule>
  </conditionalFormatting>
  <conditionalFormatting sqref="R19:R24">
    <cfRule type="cellIs" dxfId="16679" priority="1848" operator="lessThan">
      <formula>0.8</formula>
    </cfRule>
    <cfRule type="cellIs" dxfId="16678" priority="1849" operator="greaterThan">
      <formula>1</formula>
    </cfRule>
  </conditionalFormatting>
  <conditionalFormatting sqref="R19:R24">
    <cfRule type="cellIs" dxfId="16677" priority="1846" operator="greaterThan">
      <formula>1</formula>
    </cfRule>
    <cfRule type="cellIs" dxfId="16676" priority="1847" operator="lessThan">
      <formula>0.8</formula>
    </cfRule>
  </conditionalFormatting>
  <conditionalFormatting sqref="Q19:Q24">
    <cfRule type="cellIs" dxfId="16675" priority="1844" operator="lessThan">
      <formula>0</formula>
    </cfRule>
  </conditionalFormatting>
  <conditionalFormatting sqref="R19:R24">
    <cfRule type="cellIs" dxfId="16674" priority="1842" operator="lessThan">
      <formula>0.8</formula>
    </cfRule>
    <cfRule type="cellIs" dxfId="16673" priority="1843" operator="greaterThan">
      <formula>1</formula>
    </cfRule>
  </conditionalFormatting>
  <conditionalFormatting sqref="R19:R24">
    <cfRule type="cellIs" dxfId="16672" priority="1840" operator="greaterThan">
      <formula>1</formula>
    </cfRule>
    <cfRule type="cellIs" dxfId="16671" priority="1841" operator="lessThan">
      <formula>0.8</formula>
    </cfRule>
  </conditionalFormatting>
  <conditionalFormatting sqref="P19:P24">
    <cfRule type="cellIs" dxfId="16670" priority="1839" operator="greaterThan">
      <formula>0</formula>
    </cfRule>
  </conditionalFormatting>
  <conditionalFormatting sqref="Q19:Q24">
    <cfRule type="cellIs" dxfId="16669" priority="1838" operator="lessThan">
      <formula>0</formula>
    </cfRule>
  </conditionalFormatting>
  <conditionalFormatting sqref="R19:R24">
    <cfRule type="cellIs" dxfId="16668" priority="1836" operator="lessThan">
      <formula>0.8</formula>
    </cfRule>
    <cfRule type="cellIs" dxfId="16667" priority="1837" operator="greaterThan">
      <formula>1</formula>
    </cfRule>
  </conditionalFormatting>
  <conditionalFormatting sqref="R19:R24">
    <cfRule type="cellIs" dxfId="16666" priority="1834" operator="greaterThan">
      <formula>1</formula>
    </cfRule>
    <cfRule type="cellIs" dxfId="16665" priority="1835" operator="lessThan">
      <formula>0.8</formula>
    </cfRule>
  </conditionalFormatting>
  <conditionalFormatting sqref="P19:P24">
    <cfRule type="cellIs" dxfId="16664" priority="1833" operator="greaterThan">
      <formula>0</formula>
    </cfRule>
  </conditionalFormatting>
  <conditionalFormatting sqref="Q19:Q24">
    <cfRule type="cellIs" dxfId="16663" priority="1832" operator="lessThan">
      <formula>0</formula>
    </cfRule>
  </conditionalFormatting>
  <conditionalFormatting sqref="R19:R24">
    <cfRule type="cellIs" dxfId="16662" priority="1830" operator="lessThan">
      <formula>0.8</formula>
    </cfRule>
    <cfRule type="cellIs" dxfId="16661" priority="1831" operator="greaterThan">
      <formula>1</formula>
    </cfRule>
  </conditionalFormatting>
  <conditionalFormatting sqref="R19:R24">
    <cfRule type="cellIs" dxfId="16660" priority="1828" operator="greaterThan">
      <formula>1</formula>
    </cfRule>
    <cfRule type="cellIs" dxfId="16659" priority="1829" operator="lessThan">
      <formula>0.8</formula>
    </cfRule>
  </conditionalFormatting>
  <conditionalFormatting sqref="P19:P24">
    <cfRule type="cellIs" dxfId="16658" priority="1827" operator="greaterThan">
      <formula>0</formula>
    </cfRule>
  </conditionalFormatting>
  <conditionalFormatting sqref="R19:R24">
    <cfRule type="cellIs" dxfId="16657" priority="1824" operator="lessThan">
      <formula>0.8</formula>
    </cfRule>
    <cfRule type="cellIs" dxfId="16656" priority="1825" operator="greaterThan">
      <formula>1</formula>
    </cfRule>
  </conditionalFormatting>
  <conditionalFormatting sqref="R19:R24">
    <cfRule type="cellIs" dxfId="16655" priority="1822" operator="greaterThan">
      <formula>1</formula>
    </cfRule>
    <cfRule type="cellIs" dxfId="16654" priority="1823" operator="lessThan">
      <formula>0.8</formula>
    </cfRule>
  </conditionalFormatting>
  <conditionalFormatting sqref="P19:P24">
    <cfRule type="cellIs" dxfId="16653" priority="1821" operator="greaterThan">
      <formula>0</formula>
    </cfRule>
  </conditionalFormatting>
  <conditionalFormatting sqref="Q19:Q24">
    <cfRule type="cellIs" dxfId="16652" priority="1826" operator="lessThan">
      <formula>0</formula>
    </cfRule>
  </conditionalFormatting>
  <conditionalFormatting sqref="Q19:Q24">
    <cfRule type="cellIs" dxfId="16651" priority="1820" operator="lessThan">
      <formula>0</formula>
    </cfRule>
  </conditionalFormatting>
  <conditionalFormatting sqref="R19:R24">
    <cfRule type="cellIs" dxfId="16650" priority="1818" operator="lessThan">
      <formula>0.8</formula>
    </cfRule>
    <cfRule type="cellIs" dxfId="16649" priority="1819" operator="greaterThan">
      <formula>1</formula>
    </cfRule>
  </conditionalFormatting>
  <conditionalFormatting sqref="R19:R24">
    <cfRule type="cellIs" dxfId="16648" priority="1816" operator="greaterThan">
      <formula>1</formula>
    </cfRule>
    <cfRule type="cellIs" dxfId="16647" priority="1817" operator="lessThan">
      <formula>0.8</formula>
    </cfRule>
  </conditionalFormatting>
  <conditionalFormatting sqref="P19:P24">
    <cfRule type="cellIs" dxfId="16646" priority="1815" operator="greaterThan">
      <formula>0</formula>
    </cfRule>
  </conditionalFormatting>
  <conditionalFormatting sqref="P19:P24">
    <cfRule type="cellIs" dxfId="16645" priority="1809" operator="greaterThan">
      <formula>0</formula>
    </cfRule>
  </conditionalFormatting>
  <conditionalFormatting sqref="Q19:Q24">
    <cfRule type="cellIs" dxfId="16644" priority="1814" operator="lessThan">
      <formula>0</formula>
    </cfRule>
  </conditionalFormatting>
  <conditionalFormatting sqref="R19:R24">
    <cfRule type="cellIs" dxfId="16643" priority="1812" operator="lessThan">
      <formula>0.8</formula>
    </cfRule>
    <cfRule type="cellIs" dxfId="16642" priority="1813" operator="greaterThan">
      <formula>1</formula>
    </cfRule>
  </conditionalFormatting>
  <conditionalFormatting sqref="R19:R24">
    <cfRule type="cellIs" dxfId="16641" priority="1810" operator="greaterThan">
      <formula>1</formula>
    </cfRule>
    <cfRule type="cellIs" dxfId="16640" priority="1811" operator="lessThan">
      <formula>0.8</formula>
    </cfRule>
  </conditionalFormatting>
  <conditionalFormatting sqref="P19:P24">
    <cfRule type="cellIs" dxfId="16639" priority="1803" operator="greaterThan">
      <formula>0</formula>
    </cfRule>
  </conditionalFormatting>
  <conditionalFormatting sqref="Q19:Q24">
    <cfRule type="cellIs" dxfId="16638" priority="1808" operator="lessThan">
      <formula>0</formula>
    </cfRule>
  </conditionalFormatting>
  <conditionalFormatting sqref="R19:R24">
    <cfRule type="cellIs" dxfId="16637" priority="1806" operator="lessThan">
      <formula>0.8</formula>
    </cfRule>
    <cfRule type="cellIs" dxfId="16636" priority="1807" operator="greaterThan">
      <formula>1</formula>
    </cfRule>
  </conditionalFormatting>
  <conditionalFormatting sqref="R19:R24">
    <cfRule type="cellIs" dxfId="16635" priority="1804" operator="greaterThan">
      <formula>1</formula>
    </cfRule>
    <cfRule type="cellIs" dxfId="16634" priority="1805" operator="lessThan">
      <formula>0.8</formula>
    </cfRule>
  </conditionalFormatting>
  <conditionalFormatting sqref="Q19:Q24">
    <cfRule type="cellIs" dxfId="16633" priority="1802" operator="lessThan">
      <formula>0</formula>
    </cfRule>
  </conditionalFormatting>
  <conditionalFormatting sqref="R19:R24">
    <cfRule type="cellIs" dxfId="16632" priority="1800" operator="lessThan">
      <formula>0.8</formula>
    </cfRule>
    <cfRule type="cellIs" dxfId="16631" priority="1801" operator="greaterThan">
      <formula>1</formula>
    </cfRule>
  </conditionalFormatting>
  <conditionalFormatting sqref="R19:R24">
    <cfRule type="cellIs" dxfId="16630" priority="1798" operator="greaterThan">
      <formula>1</formula>
    </cfRule>
    <cfRule type="cellIs" dxfId="16629" priority="1799" operator="lessThan">
      <formula>0.8</formula>
    </cfRule>
  </conditionalFormatting>
  <conditionalFormatting sqref="P19:P24">
    <cfRule type="cellIs" dxfId="16628" priority="1797" operator="greaterThan">
      <formula>0</formula>
    </cfRule>
  </conditionalFormatting>
  <conditionalFormatting sqref="Q19:Q24">
    <cfRule type="cellIs" dxfId="16627" priority="1796" operator="lessThan">
      <formula>0</formula>
    </cfRule>
  </conditionalFormatting>
  <conditionalFormatting sqref="R19:R24">
    <cfRule type="cellIs" dxfId="16626" priority="1794" operator="lessThan">
      <formula>0.8</formula>
    </cfRule>
    <cfRule type="cellIs" dxfId="16625" priority="1795" operator="greaterThan">
      <formula>1</formula>
    </cfRule>
  </conditionalFormatting>
  <conditionalFormatting sqref="R19:R24">
    <cfRule type="cellIs" dxfId="16624" priority="1792" operator="greaterThan">
      <formula>1</formula>
    </cfRule>
    <cfRule type="cellIs" dxfId="16623" priority="1793" operator="lessThan">
      <formula>0.8</formula>
    </cfRule>
  </conditionalFormatting>
  <conditionalFormatting sqref="P19:P24">
    <cfRule type="cellIs" dxfId="16622" priority="1791" operator="greaterThan">
      <formula>0</formula>
    </cfRule>
  </conditionalFormatting>
  <conditionalFormatting sqref="P19:P24">
    <cfRule type="cellIs" dxfId="16621" priority="1785" operator="greaterThan">
      <formula>0</formula>
    </cfRule>
  </conditionalFormatting>
  <conditionalFormatting sqref="Q19:Q24">
    <cfRule type="cellIs" dxfId="16620" priority="1790" operator="lessThan">
      <formula>0</formula>
    </cfRule>
  </conditionalFormatting>
  <conditionalFormatting sqref="R19:R24">
    <cfRule type="cellIs" dxfId="16619" priority="1788" operator="lessThan">
      <formula>0.8</formula>
    </cfRule>
    <cfRule type="cellIs" dxfId="16618" priority="1789" operator="greaterThan">
      <formula>1</formula>
    </cfRule>
  </conditionalFormatting>
  <conditionalFormatting sqref="R19:R24">
    <cfRule type="cellIs" dxfId="16617" priority="1786" operator="greaterThan">
      <formula>1</formula>
    </cfRule>
    <cfRule type="cellIs" dxfId="16616" priority="1787" operator="lessThan">
      <formula>0.8</formula>
    </cfRule>
  </conditionalFormatting>
  <conditionalFormatting sqref="Q19:Q24">
    <cfRule type="cellIs" dxfId="16615" priority="1784" operator="lessThan">
      <formula>0</formula>
    </cfRule>
  </conditionalFormatting>
  <conditionalFormatting sqref="R19:R24">
    <cfRule type="cellIs" dxfId="16614" priority="1782" operator="lessThan">
      <formula>0.8</formula>
    </cfRule>
    <cfRule type="cellIs" dxfId="16613" priority="1783" operator="greaterThan">
      <formula>1</formula>
    </cfRule>
  </conditionalFormatting>
  <conditionalFormatting sqref="R19:R24">
    <cfRule type="cellIs" dxfId="16612" priority="1780" operator="greaterThan">
      <formula>1</formula>
    </cfRule>
    <cfRule type="cellIs" dxfId="16611" priority="1781" operator="lessThan">
      <formula>0.8</formula>
    </cfRule>
  </conditionalFormatting>
  <conditionalFormatting sqref="P19:P24">
    <cfRule type="cellIs" dxfId="16610" priority="1779" operator="greaterThan">
      <formula>0</formula>
    </cfRule>
  </conditionalFormatting>
  <conditionalFormatting sqref="Q19:Q24">
    <cfRule type="cellIs" dxfId="16609" priority="1778" operator="lessThan">
      <formula>0</formula>
    </cfRule>
  </conditionalFormatting>
  <conditionalFormatting sqref="R19:R24">
    <cfRule type="cellIs" dxfId="16608" priority="1776" operator="lessThan">
      <formula>0.8</formula>
    </cfRule>
    <cfRule type="cellIs" dxfId="16607" priority="1777" operator="greaterThan">
      <formula>1</formula>
    </cfRule>
  </conditionalFormatting>
  <conditionalFormatting sqref="R19:R24">
    <cfRule type="cellIs" dxfId="16606" priority="1774" operator="greaterThan">
      <formula>1</formula>
    </cfRule>
    <cfRule type="cellIs" dxfId="16605" priority="1775" operator="lessThan">
      <formula>0.8</formula>
    </cfRule>
  </conditionalFormatting>
  <conditionalFormatting sqref="P19:P24">
    <cfRule type="cellIs" dxfId="16604" priority="1773" operator="greaterThan">
      <formula>0</formula>
    </cfRule>
  </conditionalFormatting>
  <conditionalFormatting sqref="Q19:Q24">
    <cfRule type="cellIs" dxfId="16603" priority="1772" operator="lessThan">
      <formula>0</formula>
    </cfRule>
  </conditionalFormatting>
  <conditionalFormatting sqref="R19:R24">
    <cfRule type="cellIs" dxfId="16602" priority="1770" operator="lessThan">
      <formula>0.8</formula>
    </cfRule>
    <cfRule type="cellIs" dxfId="16601" priority="1771" operator="greaterThan">
      <formula>1</formula>
    </cfRule>
  </conditionalFormatting>
  <conditionalFormatting sqref="R19:R24">
    <cfRule type="cellIs" dxfId="16600" priority="1768" operator="greaterThan">
      <formula>1</formula>
    </cfRule>
    <cfRule type="cellIs" dxfId="16599" priority="1769" operator="lessThan">
      <formula>0.8</formula>
    </cfRule>
  </conditionalFormatting>
  <conditionalFormatting sqref="P19:P24">
    <cfRule type="cellIs" dxfId="16598" priority="1767" operator="greaterThan">
      <formula>0</formula>
    </cfRule>
  </conditionalFormatting>
  <conditionalFormatting sqref="R19:R24">
    <cfRule type="cellIs" dxfId="16597" priority="1764" operator="lessThan">
      <formula>0.8</formula>
    </cfRule>
    <cfRule type="cellIs" dxfId="16596" priority="1765" operator="greaterThan">
      <formula>1</formula>
    </cfRule>
  </conditionalFormatting>
  <conditionalFormatting sqref="R19:R24">
    <cfRule type="cellIs" dxfId="16595" priority="1762" operator="greaterThan">
      <formula>1</formula>
    </cfRule>
    <cfRule type="cellIs" dxfId="16594" priority="1763" operator="lessThan">
      <formula>0.8</formula>
    </cfRule>
  </conditionalFormatting>
  <conditionalFormatting sqref="P19:P24">
    <cfRule type="cellIs" dxfId="16593" priority="1761" operator="greaterThan">
      <formula>0</formula>
    </cfRule>
  </conditionalFormatting>
  <conditionalFormatting sqref="Q19:Q24">
    <cfRule type="cellIs" dxfId="16592" priority="1766" operator="lessThan">
      <formula>0</formula>
    </cfRule>
  </conditionalFormatting>
  <conditionalFormatting sqref="Q40">
    <cfRule type="cellIs" dxfId="16591" priority="1760" operator="lessThan">
      <formula>0</formula>
    </cfRule>
  </conditionalFormatting>
  <conditionalFormatting sqref="R40">
    <cfRule type="cellIs" dxfId="16590" priority="1758" operator="lessThan">
      <formula>0.8</formula>
    </cfRule>
    <cfRule type="cellIs" dxfId="16589" priority="1759" operator="greaterThan">
      <formula>1</formula>
    </cfRule>
  </conditionalFormatting>
  <conditionalFormatting sqref="R40">
    <cfRule type="cellIs" dxfId="16588" priority="1756" operator="greaterThan">
      <formula>1</formula>
    </cfRule>
    <cfRule type="cellIs" dxfId="16587" priority="1757" operator="lessThan">
      <formula>0.8</formula>
    </cfRule>
  </conditionalFormatting>
  <conditionalFormatting sqref="P40">
    <cfRule type="cellIs" dxfId="16586" priority="1755" operator="greaterThan">
      <formula>0</formula>
    </cfRule>
  </conditionalFormatting>
  <conditionalFormatting sqref="P40">
    <cfRule type="cellIs" dxfId="16585" priority="1749" operator="greaterThan">
      <formula>0</formula>
    </cfRule>
  </conditionalFormatting>
  <conditionalFormatting sqref="Q40">
    <cfRule type="cellIs" dxfId="16584" priority="1754" operator="lessThan">
      <formula>0</formula>
    </cfRule>
  </conditionalFormatting>
  <conditionalFormatting sqref="R40">
    <cfRule type="cellIs" dxfId="16583" priority="1752" operator="lessThan">
      <formula>0.8</formula>
    </cfRule>
    <cfRule type="cellIs" dxfId="16582" priority="1753" operator="greaterThan">
      <formula>1</formula>
    </cfRule>
  </conditionalFormatting>
  <conditionalFormatting sqref="R40">
    <cfRule type="cellIs" dxfId="16581" priority="1750" operator="greaterThan">
      <formula>1</formula>
    </cfRule>
    <cfRule type="cellIs" dxfId="16580" priority="1751" operator="lessThan">
      <formula>0.8</formula>
    </cfRule>
  </conditionalFormatting>
  <conditionalFormatting sqref="P40">
    <cfRule type="cellIs" dxfId="16579" priority="1743" operator="greaterThan">
      <formula>0</formula>
    </cfRule>
  </conditionalFormatting>
  <conditionalFormatting sqref="Q40">
    <cfRule type="cellIs" dxfId="16578" priority="1748" operator="lessThan">
      <formula>0</formula>
    </cfRule>
  </conditionalFormatting>
  <conditionalFormatting sqref="R40">
    <cfRule type="cellIs" dxfId="16577" priority="1746" operator="lessThan">
      <formula>0.8</formula>
    </cfRule>
    <cfRule type="cellIs" dxfId="16576" priority="1747" operator="greaterThan">
      <formula>1</formula>
    </cfRule>
  </conditionalFormatting>
  <conditionalFormatting sqref="R40">
    <cfRule type="cellIs" dxfId="16575" priority="1744" operator="greaterThan">
      <formula>1</formula>
    </cfRule>
    <cfRule type="cellIs" dxfId="16574" priority="1745" operator="lessThan">
      <formula>0.8</formula>
    </cfRule>
  </conditionalFormatting>
  <conditionalFormatting sqref="Q40">
    <cfRule type="cellIs" dxfId="16573" priority="1742" operator="lessThan">
      <formula>0</formula>
    </cfRule>
  </conditionalFormatting>
  <conditionalFormatting sqref="R40">
    <cfRule type="cellIs" dxfId="16572" priority="1740" operator="lessThan">
      <formula>0.8</formula>
    </cfRule>
    <cfRule type="cellIs" dxfId="16571" priority="1741" operator="greaterThan">
      <formula>1</formula>
    </cfRule>
  </conditionalFormatting>
  <conditionalFormatting sqref="R40">
    <cfRule type="cellIs" dxfId="16570" priority="1738" operator="greaterThan">
      <formula>1</formula>
    </cfRule>
    <cfRule type="cellIs" dxfId="16569" priority="1739" operator="lessThan">
      <formula>0.8</formula>
    </cfRule>
  </conditionalFormatting>
  <conditionalFormatting sqref="P40">
    <cfRule type="cellIs" dxfId="16568" priority="1737" operator="greaterThan">
      <formula>0</formula>
    </cfRule>
  </conditionalFormatting>
  <conditionalFormatting sqref="P40">
    <cfRule type="cellIs" dxfId="16567" priority="1731" operator="greaterThan">
      <formula>0</formula>
    </cfRule>
  </conditionalFormatting>
  <conditionalFormatting sqref="Q40">
    <cfRule type="cellIs" dxfId="16566" priority="1736" operator="lessThan">
      <formula>0</formula>
    </cfRule>
  </conditionalFormatting>
  <conditionalFormatting sqref="R40">
    <cfRule type="cellIs" dxfId="16565" priority="1734" operator="lessThan">
      <formula>0.8</formula>
    </cfRule>
    <cfRule type="cellIs" dxfId="16564" priority="1735" operator="greaterThan">
      <formula>1</formula>
    </cfRule>
  </conditionalFormatting>
  <conditionalFormatting sqref="R40">
    <cfRule type="cellIs" dxfId="16563" priority="1732" operator="greaterThan">
      <formula>1</formula>
    </cfRule>
    <cfRule type="cellIs" dxfId="16562" priority="1733" operator="lessThan">
      <formula>0.8</formula>
    </cfRule>
  </conditionalFormatting>
  <conditionalFormatting sqref="P40">
    <cfRule type="cellIs" dxfId="16561" priority="1725" operator="greaterThan">
      <formula>0</formula>
    </cfRule>
  </conditionalFormatting>
  <conditionalFormatting sqref="Q40">
    <cfRule type="cellIs" dxfId="16560" priority="1730" operator="lessThan">
      <formula>0</formula>
    </cfRule>
  </conditionalFormatting>
  <conditionalFormatting sqref="R40">
    <cfRule type="cellIs" dxfId="16559" priority="1728" operator="lessThan">
      <formula>0.8</formula>
    </cfRule>
    <cfRule type="cellIs" dxfId="16558" priority="1729" operator="greaterThan">
      <formula>1</formula>
    </cfRule>
  </conditionalFormatting>
  <conditionalFormatting sqref="R40">
    <cfRule type="cellIs" dxfId="16557" priority="1726" operator="greaterThan">
      <formula>1</formula>
    </cfRule>
    <cfRule type="cellIs" dxfId="16556" priority="1727" operator="lessThan">
      <formula>0.8</formula>
    </cfRule>
  </conditionalFormatting>
  <conditionalFormatting sqref="P40">
    <cfRule type="cellIs" dxfId="16555" priority="1719" operator="greaterThan">
      <formula>0</formula>
    </cfRule>
  </conditionalFormatting>
  <conditionalFormatting sqref="Q40">
    <cfRule type="cellIs" dxfId="16554" priority="1724" operator="lessThan">
      <formula>0</formula>
    </cfRule>
  </conditionalFormatting>
  <conditionalFormatting sqref="R40">
    <cfRule type="cellIs" dxfId="16553" priority="1722" operator="lessThan">
      <formula>0.8</formula>
    </cfRule>
    <cfRule type="cellIs" dxfId="16552" priority="1723" operator="greaterThan">
      <formula>1</formula>
    </cfRule>
  </conditionalFormatting>
  <conditionalFormatting sqref="R40">
    <cfRule type="cellIs" dxfId="16551" priority="1720" operator="greaterThan">
      <formula>1</formula>
    </cfRule>
    <cfRule type="cellIs" dxfId="16550" priority="1721" operator="lessThan">
      <formula>0.8</formula>
    </cfRule>
  </conditionalFormatting>
  <conditionalFormatting sqref="Q40">
    <cfRule type="cellIs" dxfId="16549" priority="1713" operator="lessThan">
      <formula>0</formula>
    </cfRule>
  </conditionalFormatting>
  <conditionalFormatting sqref="P40">
    <cfRule type="cellIs" dxfId="16548" priority="1714" operator="greaterThan">
      <formula>0</formula>
    </cfRule>
  </conditionalFormatting>
  <conditionalFormatting sqref="R40">
    <cfRule type="cellIs" dxfId="16547" priority="1717" operator="lessThan">
      <formula>0.8</formula>
    </cfRule>
    <cfRule type="cellIs" dxfId="16546" priority="1718" operator="greaterThan">
      <formula>1</formula>
    </cfRule>
  </conditionalFormatting>
  <conditionalFormatting sqref="R40">
    <cfRule type="cellIs" dxfId="16545" priority="1715" operator="greaterThan">
      <formula>1</formula>
    </cfRule>
    <cfRule type="cellIs" dxfId="16544" priority="1716" operator="lessThan">
      <formula>0.8</formula>
    </cfRule>
  </conditionalFormatting>
  <conditionalFormatting sqref="Q40">
    <cfRule type="cellIs" dxfId="16543" priority="1707" operator="lessThan">
      <formula>0</formula>
    </cfRule>
  </conditionalFormatting>
  <conditionalFormatting sqref="R40">
    <cfRule type="cellIs" dxfId="16542" priority="1711" operator="lessThan">
      <formula>0.8</formula>
    </cfRule>
    <cfRule type="cellIs" dxfId="16541" priority="1712" operator="greaterThan">
      <formula>1</formula>
    </cfRule>
  </conditionalFormatting>
  <conditionalFormatting sqref="R40">
    <cfRule type="cellIs" dxfId="16540" priority="1709" operator="greaterThan">
      <formula>1</formula>
    </cfRule>
    <cfRule type="cellIs" dxfId="16539" priority="1710" operator="lessThan">
      <formula>0.8</formula>
    </cfRule>
  </conditionalFormatting>
  <conditionalFormatting sqref="P40">
    <cfRule type="cellIs" dxfId="16538" priority="1708" operator="greaterThan">
      <formula>0</formula>
    </cfRule>
  </conditionalFormatting>
  <conditionalFormatting sqref="Q40">
    <cfRule type="cellIs" dxfId="16537" priority="1706" operator="lessThan">
      <formula>0</formula>
    </cfRule>
  </conditionalFormatting>
  <conditionalFormatting sqref="R40">
    <cfRule type="cellIs" dxfId="16536" priority="1704" operator="lessThan">
      <formula>0.8</formula>
    </cfRule>
    <cfRule type="cellIs" dxfId="16535" priority="1705" operator="greaterThan">
      <formula>1</formula>
    </cfRule>
  </conditionalFormatting>
  <conditionalFormatting sqref="R40">
    <cfRule type="cellIs" dxfId="16534" priority="1702" operator="greaterThan">
      <formula>1</formula>
    </cfRule>
    <cfRule type="cellIs" dxfId="16533" priority="1703" operator="lessThan">
      <formula>0.8</formula>
    </cfRule>
  </conditionalFormatting>
  <conditionalFormatting sqref="P40">
    <cfRule type="cellIs" dxfId="16532" priority="1701" operator="greaterThan">
      <formula>0</formula>
    </cfRule>
  </conditionalFormatting>
  <conditionalFormatting sqref="Q40">
    <cfRule type="cellIs" dxfId="16531" priority="1700" operator="lessThan">
      <formula>0</formula>
    </cfRule>
  </conditionalFormatting>
  <conditionalFormatting sqref="R40">
    <cfRule type="cellIs" dxfId="16530" priority="1698" operator="lessThan">
      <formula>0.8</formula>
    </cfRule>
    <cfRule type="cellIs" dxfId="16529" priority="1699" operator="greaterThan">
      <formula>1</formula>
    </cfRule>
  </conditionalFormatting>
  <conditionalFormatting sqref="R40">
    <cfRule type="cellIs" dxfId="16528" priority="1696" operator="greaterThan">
      <formula>1</formula>
    </cfRule>
    <cfRule type="cellIs" dxfId="16527" priority="1697" operator="lessThan">
      <formula>0.8</formula>
    </cfRule>
  </conditionalFormatting>
  <conditionalFormatting sqref="P40">
    <cfRule type="cellIs" dxfId="16526" priority="1695" operator="greaterThan">
      <formula>0</formula>
    </cfRule>
  </conditionalFormatting>
  <conditionalFormatting sqref="Q32:Q39">
    <cfRule type="cellIs" dxfId="16525" priority="1694" operator="lessThan">
      <formula>0</formula>
    </cfRule>
  </conditionalFormatting>
  <conditionalFormatting sqref="R32:R39">
    <cfRule type="cellIs" dxfId="16524" priority="1692" operator="lessThan">
      <formula>0.8</formula>
    </cfRule>
    <cfRule type="cellIs" dxfId="16523" priority="1693" operator="greaterThan">
      <formula>1</formula>
    </cfRule>
  </conditionalFormatting>
  <conditionalFormatting sqref="R32:R39">
    <cfRule type="cellIs" dxfId="16522" priority="1690" operator="greaterThan">
      <formula>1</formula>
    </cfRule>
    <cfRule type="cellIs" dxfId="16521" priority="1691" operator="lessThan">
      <formula>0.8</formula>
    </cfRule>
  </conditionalFormatting>
  <conditionalFormatting sqref="P32:P39">
    <cfRule type="cellIs" dxfId="16520" priority="1689" operator="greaterThan">
      <formula>0</formula>
    </cfRule>
  </conditionalFormatting>
  <conditionalFormatting sqref="Q32:Q39">
    <cfRule type="cellIs" dxfId="16519" priority="1688" operator="lessThan">
      <formula>0</formula>
    </cfRule>
  </conditionalFormatting>
  <conditionalFormatting sqref="R32:R39">
    <cfRule type="cellIs" dxfId="16518" priority="1686" operator="lessThan">
      <formula>0.8</formula>
    </cfRule>
    <cfRule type="cellIs" dxfId="16517" priority="1687" operator="greaterThan">
      <formula>1</formula>
    </cfRule>
  </conditionalFormatting>
  <conditionalFormatting sqref="R32:R39">
    <cfRule type="cellIs" dxfId="16516" priority="1684" operator="greaterThan">
      <formula>1</formula>
    </cfRule>
    <cfRule type="cellIs" dxfId="16515" priority="1685" operator="lessThan">
      <formula>0.8</formula>
    </cfRule>
  </conditionalFormatting>
  <conditionalFormatting sqref="P32:P39">
    <cfRule type="cellIs" dxfId="16514" priority="1683" operator="greaterThan">
      <formula>0</formula>
    </cfRule>
  </conditionalFormatting>
  <conditionalFormatting sqref="Q32:Q39">
    <cfRule type="cellIs" dxfId="16513" priority="1682" operator="lessThan">
      <formula>0</formula>
    </cfRule>
  </conditionalFormatting>
  <conditionalFormatting sqref="R32:R39">
    <cfRule type="cellIs" dxfId="16512" priority="1680" operator="lessThan">
      <formula>0.8</formula>
    </cfRule>
    <cfRule type="cellIs" dxfId="16511" priority="1681" operator="greaterThan">
      <formula>1</formula>
    </cfRule>
  </conditionalFormatting>
  <conditionalFormatting sqref="R32:R39">
    <cfRule type="cellIs" dxfId="16510" priority="1678" operator="greaterThan">
      <formula>1</formula>
    </cfRule>
    <cfRule type="cellIs" dxfId="16509" priority="1679" operator="lessThan">
      <formula>0.8</formula>
    </cfRule>
  </conditionalFormatting>
  <conditionalFormatting sqref="P32:P39">
    <cfRule type="cellIs" dxfId="16508" priority="1677" operator="greaterThan">
      <formula>0</formula>
    </cfRule>
  </conditionalFormatting>
  <conditionalFormatting sqref="Q32:Q39">
    <cfRule type="cellIs" dxfId="16507" priority="1676" operator="lessThan">
      <formula>0</formula>
    </cfRule>
  </conditionalFormatting>
  <conditionalFormatting sqref="R32:R39">
    <cfRule type="cellIs" dxfId="16506" priority="1674" operator="lessThan">
      <formula>0.8</formula>
    </cfRule>
    <cfRule type="cellIs" dxfId="16505" priority="1675" operator="greaterThan">
      <formula>1</formula>
    </cfRule>
  </conditionalFormatting>
  <conditionalFormatting sqref="R32:R39">
    <cfRule type="cellIs" dxfId="16504" priority="1672" operator="greaterThan">
      <formula>1</formula>
    </cfRule>
    <cfRule type="cellIs" dxfId="16503" priority="1673" operator="lessThan">
      <formula>0.8</formula>
    </cfRule>
  </conditionalFormatting>
  <conditionalFormatting sqref="P32:P39">
    <cfRule type="cellIs" dxfId="16502" priority="1671" operator="greaterThan">
      <formula>0</formula>
    </cfRule>
  </conditionalFormatting>
  <conditionalFormatting sqref="P32:P39">
    <cfRule type="cellIs" dxfId="16501" priority="1665" operator="greaterThan">
      <formula>0</formula>
    </cfRule>
  </conditionalFormatting>
  <conditionalFormatting sqref="Q32:Q39">
    <cfRule type="cellIs" dxfId="16500" priority="1670" operator="lessThan">
      <formula>0</formula>
    </cfRule>
  </conditionalFormatting>
  <conditionalFormatting sqref="R32:R39">
    <cfRule type="cellIs" dxfId="16499" priority="1668" operator="lessThan">
      <formula>0.8</formula>
    </cfRule>
    <cfRule type="cellIs" dxfId="16498" priority="1669" operator="greaterThan">
      <formula>1</formula>
    </cfRule>
  </conditionalFormatting>
  <conditionalFormatting sqref="R32:R39">
    <cfRule type="cellIs" dxfId="16497" priority="1666" operator="greaterThan">
      <formula>1</formula>
    </cfRule>
    <cfRule type="cellIs" dxfId="16496" priority="1667" operator="lessThan">
      <formula>0.8</formula>
    </cfRule>
  </conditionalFormatting>
  <conditionalFormatting sqref="P32:P39">
    <cfRule type="cellIs" dxfId="16495" priority="1659" operator="greaterThan">
      <formula>0</formula>
    </cfRule>
  </conditionalFormatting>
  <conditionalFormatting sqref="Q32:Q39">
    <cfRule type="cellIs" dxfId="16494" priority="1664" operator="lessThan">
      <formula>0</formula>
    </cfRule>
  </conditionalFormatting>
  <conditionalFormatting sqref="R32:R39">
    <cfRule type="cellIs" dxfId="16493" priority="1662" operator="lessThan">
      <formula>0.8</formula>
    </cfRule>
    <cfRule type="cellIs" dxfId="16492" priority="1663" operator="greaterThan">
      <formula>1</formula>
    </cfRule>
  </conditionalFormatting>
  <conditionalFormatting sqref="R32:R39">
    <cfRule type="cellIs" dxfId="16491" priority="1660" operator="greaterThan">
      <formula>1</formula>
    </cfRule>
    <cfRule type="cellIs" dxfId="16490" priority="1661" operator="lessThan">
      <formula>0.8</formula>
    </cfRule>
  </conditionalFormatting>
  <conditionalFormatting sqref="R32:R39">
    <cfRule type="cellIs" dxfId="16489" priority="1656" operator="lessThan">
      <formula>0.8</formula>
    </cfRule>
    <cfRule type="cellIs" dxfId="16488" priority="1657" operator="greaterThan">
      <formula>1</formula>
    </cfRule>
  </conditionalFormatting>
  <conditionalFormatting sqref="R32:R39">
    <cfRule type="cellIs" dxfId="16487" priority="1654" operator="greaterThan">
      <formula>1</formula>
    </cfRule>
    <cfRule type="cellIs" dxfId="16486" priority="1655" operator="lessThan">
      <formula>0.8</formula>
    </cfRule>
  </conditionalFormatting>
  <conditionalFormatting sqref="P32:P39">
    <cfRule type="cellIs" dxfId="16485" priority="1653" operator="greaterThan">
      <formula>0</formula>
    </cfRule>
  </conditionalFormatting>
  <conditionalFormatting sqref="Q32:Q39">
    <cfRule type="cellIs" dxfId="16484" priority="1658" operator="lessThan">
      <formula>0</formula>
    </cfRule>
  </conditionalFormatting>
  <conditionalFormatting sqref="Q32:Q39">
    <cfRule type="cellIs" dxfId="16483" priority="1652" operator="lessThan">
      <formula>0</formula>
    </cfRule>
  </conditionalFormatting>
  <conditionalFormatting sqref="R32:R39">
    <cfRule type="cellIs" dxfId="16482" priority="1650" operator="lessThan">
      <formula>0.8</formula>
    </cfRule>
    <cfRule type="cellIs" dxfId="16481" priority="1651" operator="greaterThan">
      <formula>1</formula>
    </cfRule>
  </conditionalFormatting>
  <conditionalFormatting sqref="R32:R39">
    <cfRule type="cellIs" dxfId="16480" priority="1648" operator="greaterThan">
      <formula>1</formula>
    </cfRule>
    <cfRule type="cellIs" dxfId="16479" priority="1649" operator="lessThan">
      <formula>0.8</formula>
    </cfRule>
  </conditionalFormatting>
  <conditionalFormatting sqref="P32:P39">
    <cfRule type="cellIs" dxfId="16478" priority="1647" operator="greaterThan">
      <formula>0</formula>
    </cfRule>
  </conditionalFormatting>
  <conditionalFormatting sqref="P32:P39">
    <cfRule type="cellIs" dxfId="16477" priority="1641" operator="greaterThan">
      <formula>0</formula>
    </cfRule>
  </conditionalFormatting>
  <conditionalFormatting sqref="Q32:Q39">
    <cfRule type="cellIs" dxfId="16476" priority="1646" operator="lessThan">
      <formula>0</formula>
    </cfRule>
  </conditionalFormatting>
  <conditionalFormatting sqref="R32:R39">
    <cfRule type="cellIs" dxfId="16475" priority="1644" operator="lessThan">
      <formula>0.8</formula>
    </cfRule>
    <cfRule type="cellIs" dxfId="16474" priority="1645" operator="greaterThan">
      <formula>1</formula>
    </cfRule>
  </conditionalFormatting>
  <conditionalFormatting sqref="R32:R39">
    <cfRule type="cellIs" dxfId="16473" priority="1642" operator="greaterThan">
      <formula>1</formula>
    </cfRule>
    <cfRule type="cellIs" dxfId="16472" priority="1643" operator="lessThan">
      <formula>0.8</formula>
    </cfRule>
  </conditionalFormatting>
  <conditionalFormatting sqref="P32:P39">
    <cfRule type="cellIs" dxfId="16471" priority="1635" operator="greaterThan">
      <formula>0</formula>
    </cfRule>
  </conditionalFormatting>
  <conditionalFormatting sqref="Q32:Q39">
    <cfRule type="cellIs" dxfId="16470" priority="1640" operator="lessThan">
      <formula>0</formula>
    </cfRule>
  </conditionalFormatting>
  <conditionalFormatting sqref="R32:R39">
    <cfRule type="cellIs" dxfId="16469" priority="1638" operator="lessThan">
      <formula>0.8</formula>
    </cfRule>
    <cfRule type="cellIs" dxfId="16468" priority="1639" operator="greaterThan">
      <formula>1</formula>
    </cfRule>
  </conditionalFormatting>
  <conditionalFormatting sqref="R32:R39">
    <cfRule type="cellIs" dxfId="16467" priority="1636" operator="greaterThan">
      <formula>1</formula>
    </cfRule>
    <cfRule type="cellIs" dxfId="16466" priority="1637" operator="lessThan">
      <formula>0.8</formula>
    </cfRule>
  </conditionalFormatting>
  <conditionalFormatting sqref="R32:R39">
    <cfRule type="cellIs" dxfId="16465" priority="1632" operator="lessThan">
      <formula>0.8</formula>
    </cfRule>
    <cfRule type="cellIs" dxfId="16464" priority="1633" operator="greaterThan">
      <formula>1</formula>
    </cfRule>
  </conditionalFormatting>
  <conditionalFormatting sqref="R32:R39">
    <cfRule type="cellIs" dxfId="16463" priority="1630" operator="greaterThan">
      <formula>1</formula>
    </cfRule>
    <cfRule type="cellIs" dxfId="16462" priority="1631" operator="lessThan">
      <formula>0.8</formula>
    </cfRule>
  </conditionalFormatting>
  <conditionalFormatting sqref="P32:P39">
    <cfRule type="cellIs" dxfId="16461" priority="1629" operator="greaterThan">
      <formula>0</formula>
    </cfRule>
  </conditionalFormatting>
  <conditionalFormatting sqref="Q32:Q39">
    <cfRule type="cellIs" dxfId="16460" priority="1634" operator="lessThan">
      <formula>0</formula>
    </cfRule>
  </conditionalFormatting>
  <conditionalFormatting sqref="P32:P39">
    <cfRule type="cellIs" dxfId="16459" priority="1623" operator="greaterThan">
      <formula>0</formula>
    </cfRule>
  </conditionalFormatting>
  <conditionalFormatting sqref="Q32:Q39">
    <cfRule type="cellIs" dxfId="16458" priority="1628" operator="lessThan">
      <formula>0</formula>
    </cfRule>
  </conditionalFormatting>
  <conditionalFormatting sqref="R32:R39">
    <cfRule type="cellIs" dxfId="16457" priority="1626" operator="lessThan">
      <formula>0.8</formula>
    </cfRule>
    <cfRule type="cellIs" dxfId="16456" priority="1627" operator="greaterThan">
      <formula>1</formula>
    </cfRule>
  </conditionalFormatting>
  <conditionalFormatting sqref="R32:R39">
    <cfRule type="cellIs" dxfId="16455" priority="1624" operator="greaterThan">
      <formula>1</formula>
    </cfRule>
    <cfRule type="cellIs" dxfId="16454" priority="1625" operator="lessThan">
      <formula>0.8</formula>
    </cfRule>
  </conditionalFormatting>
  <conditionalFormatting sqref="R32:R39">
    <cfRule type="cellIs" dxfId="16453" priority="1620" operator="lessThan">
      <formula>0.8</formula>
    </cfRule>
    <cfRule type="cellIs" dxfId="16452" priority="1621" operator="greaterThan">
      <formula>1</formula>
    </cfRule>
  </conditionalFormatting>
  <conditionalFormatting sqref="R32:R39">
    <cfRule type="cellIs" dxfId="16451" priority="1618" operator="greaterThan">
      <formula>1</formula>
    </cfRule>
    <cfRule type="cellIs" dxfId="16450" priority="1619" operator="lessThan">
      <formula>0.8</formula>
    </cfRule>
  </conditionalFormatting>
  <conditionalFormatting sqref="P32:P39">
    <cfRule type="cellIs" dxfId="16449" priority="1617" operator="greaterThan">
      <formula>0</formula>
    </cfRule>
  </conditionalFormatting>
  <conditionalFormatting sqref="Q32:Q39">
    <cfRule type="cellIs" dxfId="16448" priority="1622" operator="lessThan">
      <formula>0</formula>
    </cfRule>
  </conditionalFormatting>
  <conditionalFormatting sqref="R32:R39">
    <cfRule type="cellIs" dxfId="16447" priority="1614" operator="lessThan">
      <formula>0.8</formula>
    </cfRule>
    <cfRule type="cellIs" dxfId="16446" priority="1615" operator="greaterThan">
      <formula>1</formula>
    </cfRule>
  </conditionalFormatting>
  <conditionalFormatting sqref="R32:R39">
    <cfRule type="cellIs" dxfId="16445" priority="1612" operator="greaterThan">
      <formula>1</formula>
    </cfRule>
    <cfRule type="cellIs" dxfId="16444" priority="1613" operator="lessThan">
      <formula>0.8</formula>
    </cfRule>
  </conditionalFormatting>
  <conditionalFormatting sqref="P32:P39">
    <cfRule type="cellIs" dxfId="16443" priority="1611" operator="greaterThan">
      <formula>0</formula>
    </cfRule>
  </conditionalFormatting>
  <conditionalFormatting sqref="Q32:Q39">
    <cfRule type="cellIs" dxfId="16442" priority="1616" operator="lessThan">
      <formula>0</formula>
    </cfRule>
  </conditionalFormatting>
  <conditionalFormatting sqref="Q32:Q39">
    <cfRule type="cellIs" dxfId="16441" priority="1610" operator="lessThan">
      <formula>0</formula>
    </cfRule>
  </conditionalFormatting>
  <conditionalFormatting sqref="R32:R39">
    <cfRule type="cellIs" dxfId="16440" priority="1608" operator="lessThan">
      <formula>0.8</formula>
    </cfRule>
    <cfRule type="cellIs" dxfId="16439" priority="1609" operator="greaterThan">
      <formula>1</formula>
    </cfRule>
  </conditionalFormatting>
  <conditionalFormatting sqref="R32:R39">
    <cfRule type="cellIs" dxfId="16438" priority="1606" operator="greaterThan">
      <formula>1</formula>
    </cfRule>
    <cfRule type="cellIs" dxfId="16437" priority="1607" operator="lessThan">
      <formula>0.8</formula>
    </cfRule>
  </conditionalFormatting>
  <conditionalFormatting sqref="P32:P39">
    <cfRule type="cellIs" dxfId="16436" priority="1605" operator="greaterThan">
      <formula>0</formula>
    </cfRule>
  </conditionalFormatting>
  <conditionalFormatting sqref="Q32:Q39">
    <cfRule type="cellIs" dxfId="16435" priority="1599" operator="lessThan">
      <formula>0</formula>
    </cfRule>
  </conditionalFormatting>
  <conditionalFormatting sqref="R32:R39">
    <cfRule type="cellIs" dxfId="16434" priority="1603" operator="lessThan">
      <formula>0.8</formula>
    </cfRule>
    <cfRule type="cellIs" dxfId="16433" priority="1604" operator="greaterThan">
      <formula>1</formula>
    </cfRule>
  </conditionalFormatting>
  <conditionalFormatting sqref="R32:R39">
    <cfRule type="cellIs" dxfId="16432" priority="1601" operator="greaterThan">
      <formula>1</formula>
    </cfRule>
    <cfRule type="cellIs" dxfId="16431" priority="1602" operator="lessThan">
      <formula>0.8</formula>
    </cfRule>
  </conditionalFormatting>
  <conditionalFormatting sqref="P32:P39">
    <cfRule type="cellIs" dxfId="16430" priority="1600" operator="greaterThan">
      <formula>0</formula>
    </cfRule>
  </conditionalFormatting>
  <conditionalFormatting sqref="Q32:Q39">
    <cfRule type="cellIs" dxfId="16429" priority="1598" operator="lessThan">
      <formula>0</formula>
    </cfRule>
  </conditionalFormatting>
  <conditionalFormatting sqref="R32:R39">
    <cfRule type="cellIs" dxfId="16428" priority="1596" operator="lessThan">
      <formula>0.8</formula>
    </cfRule>
    <cfRule type="cellIs" dxfId="16427" priority="1597" operator="greaterThan">
      <formula>1</formula>
    </cfRule>
  </conditionalFormatting>
  <conditionalFormatting sqref="R32:R39">
    <cfRule type="cellIs" dxfId="16426" priority="1594" operator="greaterThan">
      <formula>1</formula>
    </cfRule>
    <cfRule type="cellIs" dxfId="16425" priority="1595" operator="lessThan">
      <formula>0.8</formula>
    </cfRule>
  </conditionalFormatting>
  <conditionalFormatting sqref="P32:P39">
    <cfRule type="cellIs" dxfId="16424" priority="1593" operator="greaterThan">
      <formula>0</formula>
    </cfRule>
  </conditionalFormatting>
  <conditionalFormatting sqref="Q32:Q39">
    <cfRule type="cellIs" dxfId="16423" priority="1592" operator="lessThan">
      <formula>0</formula>
    </cfRule>
  </conditionalFormatting>
  <conditionalFormatting sqref="R32:R39">
    <cfRule type="cellIs" dxfId="16422" priority="1590" operator="lessThan">
      <formula>0.8</formula>
    </cfRule>
    <cfRule type="cellIs" dxfId="16421" priority="1591" operator="greaterThan">
      <formula>1</formula>
    </cfRule>
  </conditionalFormatting>
  <conditionalFormatting sqref="R32:R39">
    <cfRule type="cellIs" dxfId="16420" priority="1588" operator="greaterThan">
      <formula>1</formula>
    </cfRule>
    <cfRule type="cellIs" dxfId="16419" priority="1589" operator="lessThan">
      <formula>0.8</formula>
    </cfRule>
  </conditionalFormatting>
  <conditionalFormatting sqref="P32:P39">
    <cfRule type="cellIs" dxfId="16418" priority="1587" operator="greaterThan">
      <formula>0</formula>
    </cfRule>
  </conditionalFormatting>
  <conditionalFormatting sqref="Q32:Q39">
    <cfRule type="cellIs" dxfId="16417" priority="1586" operator="lessThan">
      <formula>0</formula>
    </cfRule>
  </conditionalFormatting>
  <conditionalFormatting sqref="R32:R39">
    <cfRule type="cellIs" dxfId="16416" priority="1584" operator="lessThan">
      <formula>0.8</formula>
    </cfRule>
    <cfRule type="cellIs" dxfId="16415" priority="1585" operator="greaterThan">
      <formula>1</formula>
    </cfRule>
  </conditionalFormatting>
  <conditionalFormatting sqref="R32:R39">
    <cfRule type="cellIs" dxfId="16414" priority="1582" operator="greaterThan">
      <formula>1</formula>
    </cfRule>
    <cfRule type="cellIs" dxfId="16413" priority="1583" operator="lessThan">
      <formula>0.8</formula>
    </cfRule>
  </conditionalFormatting>
  <conditionalFormatting sqref="P32:P39">
    <cfRule type="cellIs" dxfId="16412" priority="1581" operator="greaterThan">
      <formula>0</formula>
    </cfRule>
  </conditionalFormatting>
  <conditionalFormatting sqref="Q32:Q39">
    <cfRule type="cellIs" dxfId="16411" priority="1580" operator="lessThan">
      <formula>0</formula>
    </cfRule>
  </conditionalFormatting>
  <conditionalFormatting sqref="R32:R39">
    <cfRule type="cellIs" dxfId="16410" priority="1578" operator="lessThan">
      <formula>0.8</formula>
    </cfRule>
    <cfRule type="cellIs" dxfId="16409" priority="1579" operator="greaterThan">
      <formula>1</formula>
    </cfRule>
  </conditionalFormatting>
  <conditionalFormatting sqref="R32:R39">
    <cfRule type="cellIs" dxfId="16408" priority="1576" operator="greaterThan">
      <formula>1</formula>
    </cfRule>
    <cfRule type="cellIs" dxfId="16407" priority="1577" operator="lessThan">
      <formula>0.8</formula>
    </cfRule>
  </conditionalFormatting>
  <conditionalFormatting sqref="P32:P39">
    <cfRule type="cellIs" dxfId="16406" priority="1575" operator="greaterThan">
      <formula>0</formula>
    </cfRule>
  </conditionalFormatting>
  <conditionalFormatting sqref="Q32:Q39">
    <cfRule type="cellIs" dxfId="16405" priority="1574" operator="lessThan">
      <formula>0</formula>
    </cfRule>
  </conditionalFormatting>
  <conditionalFormatting sqref="R32:R39">
    <cfRule type="cellIs" dxfId="16404" priority="1572" operator="lessThan">
      <formula>0.8</formula>
    </cfRule>
    <cfRule type="cellIs" dxfId="16403" priority="1573" operator="greaterThan">
      <formula>1</formula>
    </cfRule>
  </conditionalFormatting>
  <conditionalFormatting sqref="R32:R39">
    <cfRule type="cellIs" dxfId="16402" priority="1570" operator="greaterThan">
      <formula>1</formula>
    </cfRule>
    <cfRule type="cellIs" dxfId="16401" priority="1571" operator="lessThan">
      <formula>0.8</formula>
    </cfRule>
  </conditionalFormatting>
  <conditionalFormatting sqref="P32:P39">
    <cfRule type="cellIs" dxfId="16400" priority="1569" operator="greaterThan">
      <formula>0</formula>
    </cfRule>
  </conditionalFormatting>
  <conditionalFormatting sqref="P32:P39">
    <cfRule type="cellIs" dxfId="16399" priority="1563" operator="greaterThan">
      <formula>0</formula>
    </cfRule>
  </conditionalFormatting>
  <conditionalFormatting sqref="Q32:Q39">
    <cfRule type="cellIs" dxfId="16398" priority="1568" operator="lessThan">
      <formula>0</formula>
    </cfRule>
  </conditionalFormatting>
  <conditionalFormatting sqref="R32:R39">
    <cfRule type="cellIs" dxfId="16397" priority="1566" operator="lessThan">
      <formula>0.8</formula>
    </cfRule>
    <cfRule type="cellIs" dxfId="16396" priority="1567" operator="greaterThan">
      <formula>1</formula>
    </cfRule>
  </conditionalFormatting>
  <conditionalFormatting sqref="R32:R39">
    <cfRule type="cellIs" dxfId="16395" priority="1564" operator="greaterThan">
      <formula>1</formula>
    </cfRule>
    <cfRule type="cellIs" dxfId="16394" priority="1565" operator="lessThan">
      <formula>0.8</formula>
    </cfRule>
  </conditionalFormatting>
  <conditionalFormatting sqref="P32:P39">
    <cfRule type="cellIs" dxfId="16393" priority="1557" operator="greaterThan">
      <formula>0</formula>
    </cfRule>
  </conditionalFormatting>
  <conditionalFormatting sqref="Q32:Q39">
    <cfRule type="cellIs" dxfId="16392" priority="1562" operator="lessThan">
      <formula>0</formula>
    </cfRule>
  </conditionalFormatting>
  <conditionalFormatting sqref="R32:R39">
    <cfRule type="cellIs" dxfId="16391" priority="1560" operator="lessThan">
      <formula>0.8</formula>
    </cfRule>
    <cfRule type="cellIs" dxfId="16390" priority="1561" operator="greaterThan">
      <formula>1</formula>
    </cfRule>
  </conditionalFormatting>
  <conditionalFormatting sqref="R32:R39">
    <cfRule type="cellIs" dxfId="16389" priority="1558" operator="greaterThan">
      <formula>1</formula>
    </cfRule>
    <cfRule type="cellIs" dxfId="16388" priority="1559" operator="lessThan">
      <formula>0.8</formula>
    </cfRule>
  </conditionalFormatting>
  <conditionalFormatting sqref="R32:R39">
    <cfRule type="cellIs" dxfId="16387" priority="1554" operator="lessThan">
      <formula>0.8</formula>
    </cfRule>
    <cfRule type="cellIs" dxfId="16386" priority="1555" operator="greaterThan">
      <formula>1</formula>
    </cfRule>
  </conditionalFormatting>
  <conditionalFormatting sqref="R32:R39">
    <cfRule type="cellIs" dxfId="16385" priority="1552" operator="greaterThan">
      <formula>1</formula>
    </cfRule>
    <cfRule type="cellIs" dxfId="16384" priority="1553" operator="lessThan">
      <formula>0.8</formula>
    </cfRule>
  </conditionalFormatting>
  <conditionalFormatting sqref="P32:P39">
    <cfRule type="cellIs" dxfId="16383" priority="1551" operator="greaterThan">
      <formula>0</formula>
    </cfRule>
  </conditionalFormatting>
  <conditionalFormatting sqref="Q32:Q39">
    <cfRule type="cellIs" dxfId="16382" priority="1556" operator="lessThan">
      <formula>0</formula>
    </cfRule>
  </conditionalFormatting>
  <conditionalFormatting sqref="Q32:Q39">
    <cfRule type="cellIs" dxfId="16381" priority="1545" operator="lessThan">
      <formula>0</formula>
    </cfRule>
  </conditionalFormatting>
  <conditionalFormatting sqref="P32:P39">
    <cfRule type="cellIs" dxfId="16380" priority="1546" operator="greaterThan">
      <formula>0</formula>
    </cfRule>
  </conditionalFormatting>
  <conditionalFormatting sqref="R32:R39">
    <cfRule type="cellIs" dxfId="16379" priority="1549" operator="lessThan">
      <formula>0.8</formula>
    </cfRule>
    <cfRule type="cellIs" dxfId="16378" priority="1550" operator="greaterThan">
      <formula>1</formula>
    </cfRule>
  </conditionalFormatting>
  <conditionalFormatting sqref="R32:R39">
    <cfRule type="cellIs" dxfId="16377" priority="1547" operator="greaterThan">
      <formula>1</formula>
    </cfRule>
    <cfRule type="cellIs" dxfId="16376" priority="1548" operator="lessThan">
      <formula>0.8</formula>
    </cfRule>
  </conditionalFormatting>
  <conditionalFormatting sqref="Q32:Q39">
    <cfRule type="cellIs" dxfId="16375" priority="1539" operator="lessThan">
      <formula>0</formula>
    </cfRule>
  </conditionalFormatting>
  <conditionalFormatting sqref="R32:R39">
    <cfRule type="cellIs" dxfId="16374" priority="1543" operator="lessThan">
      <formula>0.8</formula>
    </cfRule>
    <cfRule type="cellIs" dxfId="16373" priority="1544" operator="greaterThan">
      <formula>1</formula>
    </cfRule>
  </conditionalFormatting>
  <conditionalFormatting sqref="R32:R39">
    <cfRule type="cellIs" dxfId="16372" priority="1541" operator="greaterThan">
      <formula>1</formula>
    </cfRule>
    <cfRule type="cellIs" dxfId="16371" priority="1542" operator="lessThan">
      <formula>0.8</formula>
    </cfRule>
  </conditionalFormatting>
  <conditionalFormatting sqref="P32:P39">
    <cfRule type="cellIs" dxfId="16370" priority="1540" operator="greaterThan">
      <formula>0</formula>
    </cfRule>
  </conditionalFormatting>
  <conditionalFormatting sqref="Q32:Q39">
    <cfRule type="cellIs" dxfId="16369" priority="1538" operator="lessThan">
      <formula>0</formula>
    </cfRule>
  </conditionalFormatting>
  <conditionalFormatting sqref="R32:R39">
    <cfRule type="cellIs" dxfId="16368" priority="1536" operator="lessThan">
      <formula>0.8</formula>
    </cfRule>
    <cfRule type="cellIs" dxfId="16367" priority="1537" operator="greaterThan">
      <formula>1</formula>
    </cfRule>
  </conditionalFormatting>
  <conditionalFormatting sqref="R32:R39">
    <cfRule type="cellIs" dxfId="16366" priority="1534" operator="greaterThan">
      <formula>1</formula>
    </cfRule>
    <cfRule type="cellIs" dxfId="16365" priority="1535" operator="lessThan">
      <formula>0.8</formula>
    </cfRule>
  </conditionalFormatting>
  <conditionalFormatting sqref="P32:P39">
    <cfRule type="cellIs" dxfId="16364" priority="1533" operator="greaterThan">
      <formula>0</formula>
    </cfRule>
  </conditionalFormatting>
  <conditionalFormatting sqref="Q32:Q39">
    <cfRule type="cellIs" dxfId="16363" priority="1532" operator="lessThan">
      <formula>0</formula>
    </cfRule>
  </conditionalFormatting>
  <conditionalFormatting sqref="R32:R39">
    <cfRule type="cellIs" dxfId="16362" priority="1530" operator="lessThan">
      <formula>0.8</formula>
    </cfRule>
    <cfRule type="cellIs" dxfId="16361" priority="1531" operator="greaterThan">
      <formula>1</formula>
    </cfRule>
  </conditionalFormatting>
  <conditionalFormatting sqref="R32:R39">
    <cfRule type="cellIs" dxfId="16360" priority="1528" operator="greaterThan">
      <formula>1</formula>
    </cfRule>
    <cfRule type="cellIs" dxfId="16359" priority="1529" operator="lessThan">
      <formula>0.8</formula>
    </cfRule>
  </conditionalFormatting>
  <conditionalFormatting sqref="P32:P39">
    <cfRule type="cellIs" dxfId="16358" priority="1527" operator="greaterThan">
      <formula>0</formula>
    </cfRule>
  </conditionalFormatting>
  <conditionalFormatting sqref="Q32:Q39">
    <cfRule type="cellIs" dxfId="16357" priority="1526" operator="lessThan">
      <formula>0</formula>
    </cfRule>
  </conditionalFormatting>
  <conditionalFormatting sqref="R32:R39">
    <cfRule type="cellIs" dxfId="16356" priority="1524" operator="lessThan">
      <formula>0.8</formula>
    </cfRule>
    <cfRule type="cellIs" dxfId="16355" priority="1525" operator="greaterThan">
      <formula>1</formula>
    </cfRule>
  </conditionalFormatting>
  <conditionalFormatting sqref="R32:R39">
    <cfRule type="cellIs" dxfId="16354" priority="1522" operator="greaterThan">
      <formula>1</formula>
    </cfRule>
    <cfRule type="cellIs" dxfId="16353" priority="1523" operator="lessThan">
      <formula>0.8</formula>
    </cfRule>
  </conditionalFormatting>
  <conditionalFormatting sqref="P32:P39">
    <cfRule type="cellIs" dxfId="16352" priority="1521" operator="greaterThan">
      <formula>0</formula>
    </cfRule>
  </conditionalFormatting>
  <conditionalFormatting sqref="Q32:Q39">
    <cfRule type="cellIs" dxfId="16351" priority="1520" operator="lessThan">
      <formula>0</formula>
    </cfRule>
  </conditionalFormatting>
  <conditionalFormatting sqref="R32:R39">
    <cfRule type="cellIs" dxfId="16350" priority="1518" operator="lessThan">
      <formula>0.8</formula>
    </cfRule>
    <cfRule type="cellIs" dxfId="16349" priority="1519" operator="greaterThan">
      <formula>1</formula>
    </cfRule>
  </conditionalFormatting>
  <conditionalFormatting sqref="R32:R39">
    <cfRule type="cellIs" dxfId="16348" priority="1516" operator="greaterThan">
      <formula>1</formula>
    </cfRule>
    <cfRule type="cellIs" dxfId="16347" priority="1517" operator="lessThan">
      <formula>0.8</formula>
    </cfRule>
  </conditionalFormatting>
  <conditionalFormatting sqref="P32:P39">
    <cfRule type="cellIs" dxfId="16346" priority="1515" operator="greaterThan">
      <formula>0</formula>
    </cfRule>
  </conditionalFormatting>
  <conditionalFormatting sqref="Q97 Q99 Q101:Q104">
    <cfRule type="cellIs" dxfId="16345" priority="1514" operator="lessThan">
      <formula>0</formula>
    </cfRule>
  </conditionalFormatting>
  <conditionalFormatting sqref="P97 P99 P101:P104">
    <cfRule type="cellIs" dxfId="16344" priority="1513" operator="greaterThan">
      <formula>0</formula>
    </cfRule>
  </conditionalFormatting>
  <conditionalFormatting sqref="P97 P99 P101:P104">
    <cfRule type="cellIs" dxfId="16343" priority="1511" operator="greaterThan">
      <formula>0</formula>
    </cfRule>
  </conditionalFormatting>
  <conditionalFormatting sqref="Q97 Q99 Q101:Q104">
    <cfRule type="cellIs" dxfId="16342" priority="1512" operator="lessThan">
      <formula>0</formula>
    </cfRule>
  </conditionalFormatting>
  <conditionalFormatting sqref="P97 P99 P101:P104">
    <cfRule type="cellIs" dxfId="16341" priority="1509" operator="greaterThan">
      <formula>0</formula>
    </cfRule>
  </conditionalFormatting>
  <conditionalFormatting sqref="Q97 Q99 Q101:Q104">
    <cfRule type="cellIs" dxfId="16340" priority="1510" operator="lessThan">
      <formula>0</formula>
    </cfRule>
  </conditionalFormatting>
  <conditionalFormatting sqref="Q97 Q99 Q101:Q104">
    <cfRule type="cellIs" dxfId="16339" priority="1508" operator="lessThan">
      <formula>0</formula>
    </cfRule>
  </conditionalFormatting>
  <conditionalFormatting sqref="P97 P99 P101:P104">
    <cfRule type="cellIs" dxfId="16338" priority="1507" operator="greaterThan">
      <formula>0</formula>
    </cfRule>
  </conditionalFormatting>
  <conditionalFormatting sqref="P97 P99 P101:P104">
    <cfRule type="cellIs" dxfId="16337" priority="1505" operator="greaterThan">
      <formula>0</formula>
    </cfRule>
  </conditionalFormatting>
  <conditionalFormatting sqref="Q97 Q99 Q101:Q104">
    <cfRule type="cellIs" dxfId="16336" priority="1506" operator="lessThan">
      <formula>0</formula>
    </cfRule>
  </conditionalFormatting>
  <conditionalFormatting sqref="Q97 Q99 Q101:Q104">
    <cfRule type="cellIs" dxfId="16335" priority="1504" operator="lessThan">
      <formula>0</formula>
    </cfRule>
  </conditionalFormatting>
  <conditionalFormatting sqref="P97 P99 P101:P104">
    <cfRule type="cellIs" dxfId="16334" priority="1503" operator="greaterThan">
      <formula>0</formula>
    </cfRule>
  </conditionalFormatting>
  <conditionalFormatting sqref="Q97 Q99 Q101:Q104">
    <cfRule type="cellIs" dxfId="16333" priority="1501" operator="lessThan">
      <formula>0</formula>
    </cfRule>
  </conditionalFormatting>
  <conditionalFormatting sqref="P97 P99 P101:P104">
    <cfRule type="cellIs" dxfId="16332" priority="1502" operator="greaterThan">
      <formula>0</formula>
    </cfRule>
  </conditionalFormatting>
  <conditionalFormatting sqref="Q97 Q99 Q101:Q104">
    <cfRule type="cellIs" dxfId="16331" priority="1500" operator="lessThan">
      <formula>0</formula>
    </cfRule>
  </conditionalFormatting>
  <conditionalFormatting sqref="P97 P99 P101:P104">
    <cfRule type="cellIs" dxfId="16330" priority="1499" operator="greaterThan">
      <formula>0</formula>
    </cfRule>
  </conditionalFormatting>
  <conditionalFormatting sqref="Q97 Q99 Q101:Q104">
    <cfRule type="cellIs" dxfId="16329" priority="1498" operator="lessThan">
      <formula>0</formula>
    </cfRule>
  </conditionalFormatting>
  <conditionalFormatting sqref="P97 P99 P101:P104">
    <cfRule type="cellIs" dxfId="16328" priority="1497" operator="greaterThan">
      <formula>0</formula>
    </cfRule>
  </conditionalFormatting>
  <conditionalFormatting sqref="Q97 Q99 Q101:Q104">
    <cfRule type="cellIs" dxfId="16327" priority="1496" operator="lessThan">
      <formula>0</formula>
    </cfRule>
  </conditionalFormatting>
  <conditionalFormatting sqref="P97 P99 P101:P104">
    <cfRule type="cellIs" dxfId="16326" priority="1495" operator="greaterThan">
      <formula>0</formula>
    </cfRule>
  </conditionalFormatting>
  <conditionalFormatting sqref="Q97 Q99 Q101:Q104">
    <cfRule type="cellIs" dxfId="16325" priority="1494" operator="lessThan">
      <formula>0</formula>
    </cfRule>
  </conditionalFormatting>
  <conditionalFormatting sqref="P97 P99 P101:P104">
    <cfRule type="cellIs" dxfId="16324" priority="1493" operator="greaterThan">
      <formula>0</formula>
    </cfRule>
  </conditionalFormatting>
  <conditionalFormatting sqref="Q97 Q99 Q101:Q104">
    <cfRule type="cellIs" dxfId="16323" priority="1492" operator="lessThan">
      <formula>0</formula>
    </cfRule>
  </conditionalFormatting>
  <conditionalFormatting sqref="P97 P99 P101:P104">
    <cfRule type="cellIs" dxfId="16322" priority="1491" operator="greaterThan">
      <formula>0</formula>
    </cfRule>
  </conditionalFormatting>
  <conditionalFormatting sqref="P97 P99 P101:P104">
    <cfRule type="cellIs" dxfId="16321" priority="1489" operator="greaterThan">
      <formula>0</formula>
    </cfRule>
  </conditionalFormatting>
  <conditionalFormatting sqref="Q97 Q99 Q101:Q104">
    <cfRule type="cellIs" dxfId="16320" priority="1490" operator="lessThan">
      <formula>0</formula>
    </cfRule>
  </conditionalFormatting>
  <conditionalFormatting sqref="P97 P99 P101:P104">
    <cfRule type="cellIs" dxfId="16319" priority="1487" operator="greaterThan">
      <formula>0</formula>
    </cfRule>
  </conditionalFormatting>
  <conditionalFormatting sqref="Q97 Q99 Q101:Q104">
    <cfRule type="cellIs" dxfId="16318" priority="1488" operator="lessThan">
      <formula>0</formula>
    </cfRule>
  </conditionalFormatting>
  <conditionalFormatting sqref="P97 P99 P101:P104">
    <cfRule type="cellIs" dxfId="16317" priority="1485" operator="greaterThan">
      <formula>0</formula>
    </cfRule>
  </conditionalFormatting>
  <conditionalFormatting sqref="Q97 Q99 Q101:Q104">
    <cfRule type="cellIs" dxfId="16316" priority="1486" operator="lessThan">
      <formula>0</formula>
    </cfRule>
  </conditionalFormatting>
  <conditionalFormatting sqref="Q97 Q99 Q101:Q104">
    <cfRule type="cellIs" dxfId="16315" priority="1483" operator="lessThan">
      <formula>0</formula>
    </cfRule>
  </conditionalFormatting>
  <conditionalFormatting sqref="P97 P99 P101:P104">
    <cfRule type="cellIs" dxfId="16314" priority="1484" operator="greaterThan">
      <formula>0</formula>
    </cfRule>
  </conditionalFormatting>
  <conditionalFormatting sqref="Q97 Q99 Q101:Q104">
    <cfRule type="cellIs" dxfId="16313" priority="1481" operator="lessThan">
      <formula>0</formula>
    </cfRule>
  </conditionalFormatting>
  <conditionalFormatting sqref="P97 P99 P101:P104">
    <cfRule type="cellIs" dxfId="16312" priority="1482" operator="greaterThan">
      <formula>0</formula>
    </cfRule>
  </conditionalFormatting>
  <conditionalFormatting sqref="Q97 Q99 Q101:Q104">
    <cfRule type="cellIs" dxfId="16311" priority="1480" operator="lessThan">
      <formula>0</formula>
    </cfRule>
  </conditionalFormatting>
  <conditionalFormatting sqref="P97 P99 P101:P104">
    <cfRule type="cellIs" dxfId="16310" priority="1479" operator="greaterThan">
      <formula>0</formula>
    </cfRule>
  </conditionalFormatting>
  <conditionalFormatting sqref="Q97 Q99 Q101:Q104">
    <cfRule type="cellIs" dxfId="16309" priority="1478" operator="lessThan">
      <formula>0</formula>
    </cfRule>
  </conditionalFormatting>
  <conditionalFormatting sqref="P97 P99 P101:P104">
    <cfRule type="cellIs" dxfId="16308" priority="1477" operator="greaterThan">
      <formula>0</formula>
    </cfRule>
  </conditionalFormatting>
  <conditionalFormatting sqref="Q97 Q99 Q101:Q104">
    <cfRule type="cellIs" dxfId="16307" priority="1475" operator="lessThan">
      <formula>0</formula>
    </cfRule>
  </conditionalFormatting>
  <conditionalFormatting sqref="P97 P99 P101:P104">
    <cfRule type="cellIs" dxfId="16306" priority="1476" operator="greaterThan">
      <formula>0</formula>
    </cfRule>
  </conditionalFormatting>
  <conditionalFormatting sqref="Q97 Q99 Q101:Q104">
    <cfRule type="cellIs" dxfId="16305" priority="1473" operator="lessThan">
      <formula>0</formula>
    </cfRule>
  </conditionalFormatting>
  <conditionalFormatting sqref="P97 P99 P101:P104">
    <cfRule type="cellIs" dxfId="16304" priority="1474" operator="greaterThan">
      <formula>0</formula>
    </cfRule>
  </conditionalFormatting>
  <conditionalFormatting sqref="Q97 Q99 Q101:Q104">
    <cfRule type="cellIs" dxfId="16303" priority="1472" operator="lessThan">
      <formula>0</formula>
    </cfRule>
  </conditionalFormatting>
  <conditionalFormatting sqref="P97 P99 P101:P104">
    <cfRule type="cellIs" dxfId="16302" priority="1471" operator="greaterThan">
      <formula>0</formula>
    </cfRule>
  </conditionalFormatting>
  <conditionalFormatting sqref="Q97 Q99 Q101:Q104">
    <cfRule type="cellIs" dxfId="16301" priority="1470" operator="lessThan">
      <formula>0</formula>
    </cfRule>
  </conditionalFormatting>
  <conditionalFormatting sqref="P97 P99 P101:P104">
    <cfRule type="cellIs" dxfId="16300" priority="1469" operator="greaterThan">
      <formula>0</formula>
    </cfRule>
  </conditionalFormatting>
  <conditionalFormatting sqref="P97 P99 P101:P104">
    <cfRule type="cellIs" dxfId="16299" priority="1467" operator="greaterThan">
      <formula>0</formula>
    </cfRule>
  </conditionalFormatting>
  <conditionalFormatting sqref="Q97 Q99 Q101:Q104">
    <cfRule type="cellIs" dxfId="16298" priority="1468" operator="lessThan">
      <formula>0</formula>
    </cfRule>
  </conditionalFormatting>
  <conditionalFormatting sqref="P97 P99 P101:P104">
    <cfRule type="cellIs" dxfId="16297" priority="1465" operator="greaterThan">
      <formula>0</formula>
    </cfRule>
  </conditionalFormatting>
  <conditionalFormatting sqref="Q97 Q99 Q101:Q104">
    <cfRule type="cellIs" dxfId="16296" priority="1466" operator="lessThan">
      <formula>0</formula>
    </cfRule>
  </conditionalFormatting>
  <conditionalFormatting sqref="Q97 Q99 Q101:Q104">
    <cfRule type="cellIs" dxfId="16295" priority="1463" operator="lessThan">
      <formula>0</formula>
    </cfRule>
  </conditionalFormatting>
  <conditionalFormatting sqref="P97 P99 P101:P104">
    <cfRule type="cellIs" dxfId="16294" priority="1464" operator="greaterThan">
      <formula>0</formula>
    </cfRule>
  </conditionalFormatting>
  <conditionalFormatting sqref="Q97 Q99 Q101:Q104">
    <cfRule type="cellIs" dxfId="16293" priority="1462" operator="lessThan">
      <formula>0</formula>
    </cfRule>
  </conditionalFormatting>
  <conditionalFormatting sqref="P97 P99 P101:P104">
    <cfRule type="cellIs" dxfId="16292" priority="1461" operator="greaterThan">
      <formula>0</formula>
    </cfRule>
  </conditionalFormatting>
  <conditionalFormatting sqref="Q97 Q99 Q101:Q104">
    <cfRule type="cellIs" dxfId="16291" priority="1460" operator="lessThan">
      <formula>0</formula>
    </cfRule>
  </conditionalFormatting>
  <conditionalFormatting sqref="P97 P99 P101:P104">
    <cfRule type="cellIs" dxfId="16290" priority="1459" operator="greaterThan">
      <formula>0</formula>
    </cfRule>
  </conditionalFormatting>
  <conditionalFormatting sqref="Q97 Q99 Q101:Q104">
    <cfRule type="cellIs" dxfId="16289" priority="1458" operator="lessThan">
      <formula>0</formula>
    </cfRule>
  </conditionalFormatting>
  <conditionalFormatting sqref="P97 P99 P101:P104">
    <cfRule type="cellIs" dxfId="16288" priority="1457" operator="greaterThan">
      <formula>0</formula>
    </cfRule>
  </conditionalFormatting>
  <conditionalFormatting sqref="Q97 Q99 Q101:Q104">
    <cfRule type="cellIs" dxfId="16287" priority="1456" operator="lessThan">
      <formula>0</formula>
    </cfRule>
  </conditionalFormatting>
  <conditionalFormatting sqref="P97 P99 P101:P104">
    <cfRule type="cellIs" dxfId="16286" priority="1455" operator="greaterThan">
      <formula>0</formula>
    </cfRule>
  </conditionalFormatting>
  <conditionalFormatting sqref="Q97 Q99 Q101:Q104">
    <cfRule type="cellIs" dxfId="16285" priority="1454" operator="lessThan">
      <formula>0</formula>
    </cfRule>
  </conditionalFormatting>
  <conditionalFormatting sqref="P97 P99 P101:P104">
    <cfRule type="cellIs" dxfId="16284" priority="1453" operator="greaterThan">
      <formula>0</formula>
    </cfRule>
  </conditionalFormatting>
  <conditionalFormatting sqref="P97 P99 P101:P104">
    <cfRule type="cellIs" dxfId="16283" priority="1451" operator="greaterThan">
      <formula>0</formula>
    </cfRule>
  </conditionalFormatting>
  <conditionalFormatting sqref="Q97 Q99 Q101:Q104">
    <cfRule type="cellIs" dxfId="16282" priority="1452" operator="lessThan">
      <formula>0</formula>
    </cfRule>
  </conditionalFormatting>
  <conditionalFormatting sqref="P97 P99 P101:P104">
    <cfRule type="cellIs" dxfId="16281" priority="1449" operator="greaterThan">
      <formula>0</formula>
    </cfRule>
  </conditionalFormatting>
  <conditionalFormatting sqref="Q97 Q99 Q101:Q104">
    <cfRule type="cellIs" dxfId="16280" priority="1450" operator="lessThan">
      <formula>0</formula>
    </cfRule>
  </conditionalFormatting>
  <conditionalFormatting sqref="P97 P99 P101:P104">
    <cfRule type="cellIs" dxfId="16279" priority="1447" operator="greaterThan">
      <formula>0</formula>
    </cfRule>
  </conditionalFormatting>
  <conditionalFormatting sqref="Q97 Q99 Q101:Q104">
    <cfRule type="cellIs" dxfId="16278" priority="1448" operator="lessThan">
      <formula>0</formula>
    </cfRule>
  </conditionalFormatting>
  <conditionalFormatting sqref="Q97 Q99 Q101:Q104">
    <cfRule type="cellIs" dxfId="16277" priority="1445" operator="lessThan">
      <formula>0</formula>
    </cfRule>
  </conditionalFormatting>
  <conditionalFormatting sqref="P97 P99 P101:P104">
    <cfRule type="cellIs" dxfId="16276" priority="1446" operator="greaterThan">
      <formula>0</formula>
    </cfRule>
  </conditionalFormatting>
  <conditionalFormatting sqref="Q97 Q99 Q101:Q104">
    <cfRule type="cellIs" dxfId="16275" priority="1443" operator="lessThan">
      <formula>0</formula>
    </cfRule>
  </conditionalFormatting>
  <conditionalFormatting sqref="P97 P99 P101:P104">
    <cfRule type="cellIs" dxfId="16274" priority="1444" operator="greaterThan">
      <formula>0</formula>
    </cfRule>
  </conditionalFormatting>
  <conditionalFormatting sqref="Q97 Q99 Q101:Q104">
    <cfRule type="cellIs" dxfId="16273" priority="1442" operator="lessThan">
      <formula>0</formula>
    </cfRule>
  </conditionalFormatting>
  <conditionalFormatting sqref="P97 P99 P101:P104">
    <cfRule type="cellIs" dxfId="16272" priority="1441" operator="greaterThan">
      <formula>0</formula>
    </cfRule>
  </conditionalFormatting>
  <conditionalFormatting sqref="Q97 Q99 Q101:Q104">
    <cfRule type="cellIs" dxfId="16271" priority="1440" operator="lessThan">
      <formula>0</formula>
    </cfRule>
  </conditionalFormatting>
  <conditionalFormatting sqref="P97 P99 P101:P104">
    <cfRule type="cellIs" dxfId="16270" priority="1439" operator="greaterThan">
      <formula>0</formula>
    </cfRule>
  </conditionalFormatting>
  <conditionalFormatting sqref="Q98 Q105 Q100">
    <cfRule type="cellIs" dxfId="16269" priority="1438" operator="lessThan">
      <formula>0</formula>
    </cfRule>
  </conditionalFormatting>
  <conditionalFormatting sqref="P98 P105 P100">
    <cfRule type="cellIs" dxfId="16268" priority="1437" operator="greaterThan">
      <formula>0</formula>
    </cfRule>
  </conditionalFormatting>
  <conditionalFormatting sqref="P98 P105 P100">
    <cfRule type="cellIs" dxfId="16267" priority="1435" operator="greaterThan">
      <formula>0</formula>
    </cfRule>
  </conditionalFormatting>
  <conditionalFormatting sqref="Q98 Q105 Q100">
    <cfRule type="cellIs" dxfId="16266" priority="1436" operator="lessThan">
      <formula>0</formula>
    </cfRule>
  </conditionalFormatting>
  <conditionalFormatting sqref="Q98 Q105 Q100">
    <cfRule type="cellIs" dxfId="16265" priority="1434" operator="lessThan">
      <formula>0</formula>
    </cfRule>
  </conditionalFormatting>
  <conditionalFormatting sqref="P98 P105 P100">
    <cfRule type="cellIs" dxfId="16264" priority="1433" operator="greaterThan">
      <formula>0</formula>
    </cfRule>
  </conditionalFormatting>
  <conditionalFormatting sqref="Q96">
    <cfRule type="cellIs" dxfId="16263" priority="1427" operator="lessThan">
      <formula>0</formula>
    </cfRule>
  </conditionalFormatting>
  <conditionalFormatting sqref="P96">
    <cfRule type="cellIs" dxfId="16262" priority="1428" operator="greaterThan">
      <formula>0</formula>
    </cfRule>
  </conditionalFormatting>
  <conditionalFormatting sqref="R96:R105">
    <cfRule type="cellIs" dxfId="16261" priority="1431" operator="lessThan">
      <formula>0.8</formula>
    </cfRule>
    <cfRule type="cellIs" dxfId="16260" priority="1432" operator="greaterThan">
      <formula>1</formula>
    </cfRule>
  </conditionalFormatting>
  <conditionalFormatting sqref="R96:R105">
    <cfRule type="cellIs" dxfId="16259" priority="1429" operator="greaterThan">
      <formula>1</formula>
    </cfRule>
    <cfRule type="cellIs" dxfId="16258" priority="1430" operator="lessThan">
      <formula>0.8</formula>
    </cfRule>
  </conditionalFormatting>
  <conditionalFormatting sqref="Q96">
    <cfRule type="cellIs" dxfId="16257" priority="1421" operator="lessThan">
      <formula>0</formula>
    </cfRule>
  </conditionalFormatting>
  <conditionalFormatting sqref="R96:R105">
    <cfRule type="cellIs" dxfId="16256" priority="1425" operator="lessThan">
      <formula>0.8</formula>
    </cfRule>
    <cfRule type="cellIs" dxfId="16255" priority="1426" operator="greaterThan">
      <formula>1</formula>
    </cfRule>
  </conditionalFormatting>
  <conditionalFormatting sqref="R96:R105">
    <cfRule type="cellIs" dxfId="16254" priority="1423" operator="greaterThan">
      <formula>1</formula>
    </cfRule>
    <cfRule type="cellIs" dxfId="16253" priority="1424" operator="lessThan">
      <formula>0.8</formula>
    </cfRule>
  </conditionalFormatting>
  <conditionalFormatting sqref="P96">
    <cfRule type="cellIs" dxfId="16252" priority="1422" operator="greaterThan">
      <formula>0</formula>
    </cfRule>
  </conditionalFormatting>
  <conditionalFormatting sqref="Q96">
    <cfRule type="cellIs" dxfId="16251" priority="1420" operator="lessThan">
      <formula>0</formula>
    </cfRule>
  </conditionalFormatting>
  <conditionalFormatting sqref="R96:R105">
    <cfRule type="cellIs" dxfId="16250" priority="1418" operator="lessThan">
      <formula>0.8</formula>
    </cfRule>
    <cfRule type="cellIs" dxfId="16249" priority="1419" operator="greaterThan">
      <formula>1</formula>
    </cfRule>
  </conditionalFormatting>
  <conditionalFormatting sqref="R96:R105">
    <cfRule type="cellIs" dxfId="16248" priority="1416" operator="greaterThan">
      <formula>1</formula>
    </cfRule>
    <cfRule type="cellIs" dxfId="16247" priority="1417" operator="lessThan">
      <formula>0.8</formula>
    </cfRule>
  </conditionalFormatting>
  <conditionalFormatting sqref="P96">
    <cfRule type="cellIs" dxfId="16246" priority="1415" operator="greaterThan">
      <formula>0</formula>
    </cfRule>
  </conditionalFormatting>
  <conditionalFormatting sqref="Q96">
    <cfRule type="cellIs" dxfId="16245" priority="1414" operator="lessThan">
      <formula>0</formula>
    </cfRule>
  </conditionalFormatting>
  <conditionalFormatting sqref="R96:R105">
    <cfRule type="cellIs" dxfId="16244" priority="1412" operator="lessThan">
      <formula>0.8</formula>
    </cfRule>
    <cfRule type="cellIs" dxfId="16243" priority="1413" operator="greaterThan">
      <formula>1</formula>
    </cfRule>
  </conditionalFormatting>
  <conditionalFormatting sqref="R96:R105">
    <cfRule type="cellIs" dxfId="16242" priority="1410" operator="greaterThan">
      <formula>1</formula>
    </cfRule>
    <cfRule type="cellIs" dxfId="16241" priority="1411" operator="lessThan">
      <formula>0.8</formula>
    </cfRule>
  </conditionalFormatting>
  <conditionalFormatting sqref="P96">
    <cfRule type="cellIs" dxfId="16240" priority="1409" operator="greaterThan">
      <formula>0</formula>
    </cfRule>
  </conditionalFormatting>
  <conditionalFormatting sqref="Q96">
    <cfRule type="cellIs" dxfId="16239" priority="1403" operator="lessThan">
      <formula>0</formula>
    </cfRule>
  </conditionalFormatting>
  <conditionalFormatting sqref="R96:R105">
    <cfRule type="cellIs" dxfId="16238" priority="1407" operator="lessThan">
      <formula>0.8</formula>
    </cfRule>
    <cfRule type="cellIs" dxfId="16237" priority="1408" operator="greaterThan">
      <formula>1</formula>
    </cfRule>
  </conditionalFormatting>
  <conditionalFormatting sqref="R96:R105">
    <cfRule type="cellIs" dxfId="16236" priority="1405" operator="greaterThan">
      <formula>1</formula>
    </cfRule>
    <cfRule type="cellIs" dxfId="16235" priority="1406" operator="lessThan">
      <formula>0.8</formula>
    </cfRule>
  </conditionalFormatting>
  <conditionalFormatting sqref="P96">
    <cfRule type="cellIs" dxfId="16234" priority="1404" operator="greaterThan">
      <formula>0</formula>
    </cfRule>
  </conditionalFormatting>
  <conditionalFormatting sqref="Q96">
    <cfRule type="cellIs" dxfId="16233" priority="1402" operator="lessThan">
      <formula>0</formula>
    </cfRule>
  </conditionalFormatting>
  <conditionalFormatting sqref="R96:R105">
    <cfRule type="cellIs" dxfId="16232" priority="1400" operator="lessThan">
      <formula>0.8</formula>
    </cfRule>
    <cfRule type="cellIs" dxfId="16231" priority="1401" operator="greaterThan">
      <formula>1</formula>
    </cfRule>
  </conditionalFormatting>
  <conditionalFormatting sqref="R96:R105">
    <cfRule type="cellIs" dxfId="16230" priority="1398" operator="greaterThan">
      <formula>1</formula>
    </cfRule>
    <cfRule type="cellIs" dxfId="16229" priority="1399" operator="lessThan">
      <formula>0.8</formula>
    </cfRule>
  </conditionalFormatting>
  <conditionalFormatting sqref="P96">
    <cfRule type="cellIs" dxfId="16228" priority="1397" operator="greaterThan">
      <formula>0</formula>
    </cfRule>
  </conditionalFormatting>
  <conditionalFormatting sqref="Q96">
    <cfRule type="cellIs" dxfId="16227" priority="1396" operator="lessThan">
      <formula>0</formula>
    </cfRule>
  </conditionalFormatting>
  <conditionalFormatting sqref="R96:R105">
    <cfRule type="cellIs" dxfId="16226" priority="1394" operator="lessThan">
      <formula>0.8</formula>
    </cfRule>
    <cfRule type="cellIs" dxfId="16225" priority="1395" operator="greaterThan">
      <formula>1</formula>
    </cfRule>
  </conditionalFormatting>
  <conditionalFormatting sqref="R96:R105">
    <cfRule type="cellIs" dxfId="16224" priority="1392" operator="greaterThan">
      <formula>1</formula>
    </cfRule>
    <cfRule type="cellIs" dxfId="16223" priority="1393" operator="lessThan">
      <formula>0.8</formula>
    </cfRule>
  </conditionalFormatting>
  <conditionalFormatting sqref="P96">
    <cfRule type="cellIs" dxfId="16222" priority="1391" operator="greaterThan">
      <formula>0</formula>
    </cfRule>
  </conditionalFormatting>
  <conditionalFormatting sqref="Q96">
    <cfRule type="cellIs" dxfId="16221" priority="1390" operator="lessThan">
      <formula>0</formula>
    </cfRule>
  </conditionalFormatting>
  <conditionalFormatting sqref="R96:R105">
    <cfRule type="cellIs" dxfId="16220" priority="1388" operator="lessThan">
      <formula>0.8</formula>
    </cfRule>
    <cfRule type="cellIs" dxfId="16219" priority="1389" operator="greaterThan">
      <formula>1</formula>
    </cfRule>
  </conditionalFormatting>
  <conditionalFormatting sqref="R96:R105">
    <cfRule type="cellIs" dxfId="16218" priority="1386" operator="greaterThan">
      <formula>1</formula>
    </cfRule>
    <cfRule type="cellIs" dxfId="16217" priority="1387" operator="lessThan">
      <formula>0.8</formula>
    </cfRule>
  </conditionalFormatting>
  <conditionalFormatting sqref="P96">
    <cfRule type="cellIs" dxfId="16216" priority="1385" operator="greaterThan">
      <formula>0</formula>
    </cfRule>
  </conditionalFormatting>
  <conditionalFormatting sqref="Q96">
    <cfRule type="cellIs" dxfId="16215" priority="1384" operator="lessThan">
      <formula>0</formula>
    </cfRule>
  </conditionalFormatting>
  <conditionalFormatting sqref="R96:R105">
    <cfRule type="cellIs" dxfId="16214" priority="1382" operator="lessThan">
      <formula>0.8</formula>
    </cfRule>
    <cfRule type="cellIs" dxfId="16213" priority="1383" operator="greaterThan">
      <formula>1</formula>
    </cfRule>
  </conditionalFormatting>
  <conditionalFormatting sqref="R96:R105">
    <cfRule type="cellIs" dxfId="16212" priority="1380" operator="greaterThan">
      <formula>1</formula>
    </cfRule>
    <cfRule type="cellIs" dxfId="16211" priority="1381" operator="lessThan">
      <formula>0.8</formula>
    </cfRule>
  </conditionalFormatting>
  <conditionalFormatting sqref="P96">
    <cfRule type="cellIs" dxfId="16210" priority="1379" operator="greaterThan">
      <formula>0</formula>
    </cfRule>
  </conditionalFormatting>
  <conditionalFormatting sqref="Q96">
    <cfRule type="cellIs" dxfId="16209" priority="1378" operator="lessThan">
      <formula>0</formula>
    </cfRule>
  </conditionalFormatting>
  <conditionalFormatting sqref="R96:R105">
    <cfRule type="cellIs" dxfId="16208" priority="1376" operator="lessThan">
      <formula>0.8</formula>
    </cfRule>
    <cfRule type="cellIs" dxfId="16207" priority="1377" operator="greaterThan">
      <formula>1</formula>
    </cfRule>
  </conditionalFormatting>
  <conditionalFormatting sqref="R96:R105">
    <cfRule type="cellIs" dxfId="16206" priority="1374" operator="greaterThan">
      <formula>1</formula>
    </cfRule>
    <cfRule type="cellIs" dxfId="16205" priority="1375" operator="lessThan">
      <formula>0.8</formula>
    </cfRule>
  </conditionalFormatting>
  <conditionalFormatting sqref="P96">
    <cfRule type="cellIs" dxfId="16204" priority="1373" operator="greaterThan">
      <formula>0</formula>
    </cfRule>
  </conditionalFormatting>
  <conditionalFormatting sqref="P96">
    <cfRule type="cellIs" dxfId="16203" priority="1367" operator="greaterThan">
      <formula>0</formula>
    </cfRule>
  </conditionalFormatting>
  <conditionalFormatting sqref="Q96">
    <cfRule type="cellIs" dxfId="16202" priority="1372" operator="lessThan">
      <formula>0</formula>
    </cfRule>
  </conditionalFormatting>
  <conditionalFormatting sqref="R96:R105">
    <cfRule type="cellIs" dxfId="16201" priority="1370" operator="lessThan">
      <formula>0.8</formula>
    </cfRule>
    <cfRule type="cellIs" dxfId="16200" priority="1371" operator="greaterThan">
      <formula>1</formula>
    </cfRule>
  </conditionalFormatting>
  <conditionalFormatting sqref="R96:R105">
    <cfRule type="cellIs" dxfId="16199" priority="1368" operator="greaterThan">
      <formula>1</formula>
    </cfRule>
    <cfRule type="cellIs" dxfId="16198" priority="1369" operator="lessThan">
      <formula>0.8</formula>
    </cfRule>
  </conditionalFormatting>
  <conditionalFormatting sqref="P96">
    <cfRule type="cellIs" dxfId="16197" priority="1361" operator="greaterThan">
      <formula>0</formula>
    </cfRule>
  </conditionalFormatting>
  <conditionalFormatting sqref="Q96">
    <cfRule type="cellIs" dxfId="16196" priority="1366" operator="lessThan">
      <formula>0</formula>
    </cfRule>
  </conditionalFormatting>
  <conditionalFormatting sqref="R96:R105">
    <cfRule type="cellIs" dxfId="16195" priority="1364" operator="lessThan">
      <formula>0.8</formula>
    </cfRule>
    <cfRule type="cellIs" dxfId="16194" priority="1365" operator="greaterThan">
      <formula>1</formula>
    </cfRule>
  </conditionalFormatting>
  <conditionalFormatting sqref="R96:R105">
    <cfRule type="cellIs" dxfId="16193" priority="1362" operator="greaterThan">
      <formula>1</formula>
    </cfRule>
    <cfRule type="cellIs" dxfId="16192" priority="1363" operator="lessThan">
      <formula>0.8</formula>
    </cfRule>
  </conditionalFormatting>
  <conditionalFormatting sqref="R96:R105">
    <cfRule type="cellIs" dxfId="16191" priority="1358" operator="lessThan">
      <formula>0.8</formula>
    </cfRule>
    <cfRule type="cellIs" dxfId="16190" priority="1359" operator="greaterThan">
      <formula>1</formula>
    </cfRule>
  </conditionalFormatting>
  <conditionalFormatting sqref="R96:R105">
    <cfRule type="cellIs" dxfId="16189" priority="1356" operator="greaterThan">
      <formula>1</formula>
    </cfRule>
    <cfRule type="cellIs" dxfId="16188" priority="1357" operator="lessThan">
      <formula>0.8</formula>
    </cfRule>
  </conditionalFormatting>
  <conditionalFormatting sqref="P96">
    <cfRule type="cellIs" dxfId="16187" priority="1355" operator="greaterThan">
      <formula>0</formula>
    </cfRule>
  </conditionalFormatting>
  <conditionalFormatting sqref="Q96">
    <cfRule type="cellIs" dxfId="16186" priority="1360" operator="lessThan">
      <formula>0</formula>
    </cfRule>
  </conditionalFormatting>
  <conditionalFormatting sqref="Q96">
    <cfRule type="cellIs" dxfId="16185" priority="1349" operator="lessThan">
      <formula>0</formula>
    </cfRule>
  </conditionalFormatting>
  <conditionalFormatting sqref="P96">
    <cfRule type="cellIs" dxfId="16184" priority="1350" operator="greaterThan">
      <formula>0</formula>
    </cfRule>
  </conditionalFormatting>
  <conditionalFormatting sqref="R96:R105">
    <cfRule type="cellIs" dxfId="16183" priority="1353" operator="lessThan">
      <formula>0.8</formula>
    </cfRule>
    <cfRule type="cellIs" dxfId="16182" priority="1354" operator="greaterThan">
      <formula>1</formula>
    </cfRule>
  </conditionalFormatting>
  <conditionalFormatting sqref="R96:R105">
    <cfRule type="cellIs" dxfId="16181" priority="1351" operator="greaterThan">
      <formula>1</formula>
    </cfRule>
    <cfRule type="cellIs" dxfId="16180" priority="1352" operator="lessThan">
      <formula>0.8</formula>
    </cfRule>
  </conditionalFormatting>
  <conditionalFormatting sqref="Q96">
    <cfRule type="cellIs" dxfId="16179" priority="1343" operator="lessThan">
      <formula>0</formula>
    </cfRule>
  </conditionalFormatting>
  <conditionalFormatting sqref="R96:R105">
    <cfRule type="cellIs" dxfId="16178" priority="1347" operator="lessThan">
      <formula>0.8</formula>
    </cfRule>
    <cfRule type="cellIs" dxfId="16177" priority="1348" operator="greaterThan">
      <formula>1</formula>
    </cfRule>
  </conditionalFormatting>
  <conditionalFormatting sqref="R96:R105">
    <cfRule type="cellIs" dxfId="16176" priority="1345" operator="greaterThan">
      <formula>1</formula>
    </cfRule>
    <cfRule type="cellIs" dxfId="16175" priority="1346" operator="lessThan">
      <formula>0.8</formula>
    </cfRule>
  </conditionalFormatting>
  <conditionalFormatting sqref="P96">
    <cfRule type="cellIs" dxfId="16174" priority="1344" operator="greaterThan">
      <formula>0</formula>
    </cfRule>
  </conditionalFormatting>
  <conditionalFormatting sqref="Q96">
    <cfRule type="cellIs" dxfId="16173" priority="1342" operator="lessThan">
      <formula>0</formula>
    </cfRule>
  </conditionalFormatting>
  <conditionalFormatting sqref="R96:R105">
    <cfRule type="cellIs" dxfId="16172" priority="1340" operator="lessThan">
      <formula>0.8</formula>
    </cfRule>
    <cfRule type="cellIs" dxfId="16171" priority="1341" operator="greaterThan">
      <formula>1</formula>
    </cfRule>
  </conditionalFormatting>
  <conditionalFormatting sqref="R96:R105">
    <cfRule type="cellIs" dxfId="16170" priority="1338" operator="greaterThan">
      <formula>1</formula>
    </cfRule>
    <cfRule type="cellIs" dxfId="16169" priority="1339" operator="lessThan">
      <formula>0.8</formula>
    </cfRule>
  </conditionalFormatting>
  <conditionalFormatting sqref="P96">
    <cfRule type="cellIs" dxfId="16168" priority="1337" operator="greaterThan">
      <formula>0</formula>
    </cfRule>
  </conditionalFormatting>
  <conditionalFormatting sqref="Q96">
    <cfRule type="cellIs" dxfId="16167" priority="1336" operator="lessThan">
      <formula>0</formula>
    </cfRule>
  </conditionalFormatting>
  <conditionalFormatting sqref="R96:R105">
    <cfRule type="cellIs" dxfId="16166" priority="1334" operator="lessThan">
      <formula>0.8</formula>
    </cfRule>
    <cfRule type="cellIs" dxfId="16165" priority="1335" operator="greaterThan">
      <formula>1</formula>
    </cfRule>
  </conditionalFormatting>
  <conditionalFormatting sqref="R96:R105">
    <cfRule type="cellIs" dxfId="16164" priority="1332" operator="greaterThan">
      <formula>1</formula>
    </cfRule>
    <cfRule type="cellIs" dxfId="16163" priority="1333" operator="lessThan">
      <formula>0.8</formula>
    </cfRule>
  </conditionalFormatting>
  <conditionalFormatting sqref="P96">
    <cfRule type="cellIs" dxfId="16162" priority="1331" operator="greaterThan">
      <formula>0</formula>
    </cfRule>
  </conditionalFormatting>
  <conditionalFormatting sqref="Q96">
    <cfRule type="cellIs" dxfId="16161" priority="1325" operator="lessThan">
      <formula>0</formula>
    </cfRule>
  </conditionalFormatting>
  <conditionalFormatting sqref="P96">
    <cfRule type="cellIs" dxfId="16160" priority="1326" operator="greaterThan">
      <formula>0</formula>
    </cfRule>
  </conditionalFormatting>
  <conditionalFormatting sqref="R96:R105">
    <cfRule type="cellIs" dxfId="16159" priority="1329" operator="lessThan">
      <formula>0.8</formula>
    </cfRule>
    <cfRule type="cellIs" dxfId="16158" priority="1330" operator="greaterThan">
      <formula>1</formula>
    </cfRule>
  </conditionalFormatting>
  <conditionalFormatting sqref="R96:R105">
    <cfRule type="cellIs" dxfId="16157" priority="1327" operator="greaterThan">
      <formula>1</formula>
    </cfRule>
    <cfRule type="cellIs" dxfId="16156" priority="1328" operator="lessThan">
      <formula>0.8</formula>
    </cfRule>
  </conditionalFormatting>
  <conditionalFormatting sqref="Q96">
    <cfRule type="cellIs" dxfId="16155" priority="1319" operator="lessThan">
      <formula>0</formula>
    </cfRule>
  </conditionalFormatting>
  <conditionalFormatting sqref="R96:R105">
    <cfRule type="cellIs" dxfId="16154" priority="1323" operator="lessThan">
      <formula>0.8</formula>
    </cfRule>
    <cfRule type="cellIs" dxfId="16153" priority="1324" operator="greaterThan">
      <formula>1</formula>
    </cfRule>
  </conditionalFormatting>
  <conditionalFormatting sqref="R96:R105">
    <cfRule type="cellIs" dxfId="16152" priority="1321" operator="greaterThan">
      <formula>1</formula>
    </cfRule>
    <cfRule type="cellIs" dxfId="16151" priority="1322" operator="lessThan">
      <formula>0.8</formula>
    </cfRule>
  </conditionalFormatting>
  <conditionalFormatting sqref="P96">
    <cfRule type="cellIs" dxfId="16150" priority="1320" operator="greaterThan">
      <formula>0</formula>
    </cfRule>
  </conditionalFormatting>
  <conditionalFormatting sqref="Q96">
    <cfRule type="cellIs" dxfId="16149" priority="1318" operator="lessThan">
      <formula>0</formula>
    </cfRule>
  </conditionalFormatting>
  <conditionalFormatting sqref="R96:R105">
    <cfRule type="cellIs" dxfId="16148" priority="1316" operator="lessThan">
      <formula>0.8</formula>
    </cfRule>
    <cfRule type="cellIs" dxfId="16147" priority="1317" operator="greaterThan">
      <formula>1</formula>
    </cfRule>
  </conditionalFormatting>
  <conditionalFormatting sqref="R96:R105">
    <cfRule type="cellIs" dxfId="16146" priority="1314" operator="greaterThan">
      <formula>1</formula>
    </cfRule>
    <cfRule type="cellIs" dxfId="16145" priority="1315" operator="lessThan">
      <formula>0.8</formula>
    </cfRule>
  </conditionalFormatting>
  <conditionalFormatting sqref="P96">
    <cfRule type="cellIs" dxfId="16144" priority="1313" operator="greaterThan">
      <formula>0</formula>
    </cfRule>
  </conditionalFormatting>
  <conditionalFormatting sqref="Q96">
    <cfRule type="cellIs" dxfId="16143" priority="1312" operator="lessThan">
      <formula>0</formula>
    </cfRule>
  </conditionalFormatting>
  <conditionalFormatting sqref="R96:R105">
    <cfRule type="cellIs" dxfId="16142" priority="1310" operator="lessThan">
      <formula>0.8</formula>
    </cfRule>
    <cfRule type="cellIs" dxfId="16141" priority="1311" operator="greaterThan">
      <formula>1</formula>
    </cfRule>
  </conditionalFormatting>
  <conditionalFormatting sqref="R96:R105">
    <cfRule type="cellIs" dxfId="16140" priority="1308" operator="greaterThan">
      <formula>1</formula>
    </cfRule>
    <cfRule type="cellIs" dxfId="16139" priority="1309" operator="lessThan">
      <formula>0.8</formula>
    </cfRule>
  </conditionalFormatting>
  <conditionalFormatting sqref="P96">
    <cfRule type="cellIs" dxfId="16138" priority="1307" operator="greaterThan">
      <formula>0</formula>
    </cfRule>
  </conditionalFormatting>
  <conditionalFormatting sqref="P124">
    <cfRule type="cellIs" dxfId="16137" priority="1301" operator="greaterThan">
      <formula>0</formula>
    </cfRule>
  </conditionalFormatting>
  <conditionalFormatting sqref="Q124">
    <cfRule type="cellIs" dxfId="16136" priority="1306" operator="lessThan">
      <formula>0</formula>
    </cfRule>
  </conditionalFormatting>
  <conditionalFormatting sqref="R124">
    <cfRule type="cellIs" dxfId="16135" priority="1304" operator="lessThan">
      <formula>0.8</formula>
    </cfRule>
    <cfRule type="cellIs" dxfId="16134" priority="1305" operator="greaterThan">
      <formula>1</formula>
    </cfRule>
  </conditionalFormatting>
  <conditionalFormatting sqref="R124">
    <cfRule type="cellIs" dxfId="16133" priority="1302" operator="greaterThan">
      <formula>1</formula>
    </cfRule>
    <cfRule type="cellIs" dxfId="16132" priority="1303" operator="lessThan">
      <formula>0.8</formula>
    </cfRule>
  </conditionalFormatting>
  <conditionalFormatting sqref="Q124">
    <cfRule type="cellIs" dxfId="16131" priority="1300" operator="lessThan">
      <formula>0</formula>
    </cfRule>
  </conditionalFormatting>
  <conditionalFormatting sqref="R124">
    <cfRule type="cellIs" dxfId="16130" priority="1298" operator="lessThan">
      <formula>0.8</formula>
    </cfRule>
    <cfRule type="cellIs" dxfId="16129" priority="1299" operator="greaterThan">
      <formula>1</formula>
    </cfRule>
  </conditionalFormatting>
  <conditionalFormatting sqref="R124">
    <cfRule type="cellIs" dxfId="16128" priority="1296" operator="greaterThan">
      <formula>1</formula>
    </cfRule>
    <cfRule type="cellIs" dxfId="16127" priority="1297" operator="lessThan">
      <formula>0.8</formula>
    </cfRule>
  </conditionalFormatting>
  <conditionalFormatting sqref="P124">
    <cfRule type="cellIs" dxfId="16126" priority="1295" operator="greaterThan">
      <formula>0</formula>
    </cfRule>
  </conditionalFormatting>
  <conditionalFormatting sqref="Q123 Q125:Q129">
    <cfRule type="cellIs" dxfId="16125" priority="1294" operator="lessThan">
      <formula>0</formula>
    </cfRule>
  </conditionalFormatting>
  <conditionalFormatting sqref="R123 R125:R129">
    <cfRule type="cellIs" dxfId="16124" priority="1292" operator="lessThan">
      <formula>0.8</formula>
    </cfRule>
    <cfRule type="cellIs" dxfId="16123" priority="1293" operator="greaterThan">
      <formula>1</formula>
    </cfRule>
  </conditionalFormatting>
  <conditionalFormatting sqref="R123 R125:R129">
    <cfRule type="cellIs" dxfId="16122" priority="1290" operator="greaterThan">
      <formula>1</formula>
    </cfRule>
    <cfRule type="cellIs" dxfId="16121" priority="1291" operator="lessThan">
      <formula>0.8</formula>
    </cfRule>
  </conditionalFormatting>
  <conditionalFormatting sqref="P123 P125:P129">
    <cfRule type="cellIs" dxfId="16120" priority="1289" operator="greaterThan">
      <formula>0</formula>
    </cfRule>
  </conditionalFormatting>
  <conditionalFormatting sqref="P123 P125:P129">
    <cfRule type="cellIs" dxfId="16119" priority="1283" operator="greaterThan">
      <formula>0</formula>
    </cfRule>
  </conditionalFormatting>
  <conditionalFormatting sqref="Q123 Q125:Q129">
    <cfRule type="cellIs" dxfId="16118" priority="1288" operator="lessThan">
      <formula>0</formula>
    </cfRule>
  </conditionalFormatting>
  <conditionalFormatting sqref="R123 R125:R129">
    <cfRule type="cellIs" dxfId="16117" priority="1286" operator="lessThan">
      <formula>0.8</formula>
    </cfRule>
    <cfRule type="cellIs" dxfId="16116" priority="1287" operator="greaterThan">
      <formula>1</formula>
    </cfRule>
  </conditionalFormatting>
  <conditionalFormatting sqref="R123 R125:R129">
    <cfRule type="cellIs" dxfId="16115" priority="1284" operator="greaterThan">
      <formula>1</formula>
    </cfRule>
    <cfRule type="cellIs" dxfId="16114" priority="1285" operator="lessThan">
      <formula>0.8</formula>
    </cfRule>
  </conditionalFormatting>
  <conditionalFormatting sqref="P122">
    <cfRule type="cellIs" dxfId="16113" priority="1277" operator="greaterThan">
      <formula>0</formula>
    </cfRule>
  </conditionalFormatting>
  <conditionalFormatting sqref="Q122">
    <cfRule type="cellIs" dxfId="16112" priority="1282" operator="lessThan">
      <formula>0</formula>
    </cfRule>
  </conditionalFormatting>
  <conditionalFormatting sqref="R122">
    <cfRule type="cellIs" dxfId="16111" priority="1280" operator="lessThan">
      <formula>0.8</formula>
    </cfRule>
    <cfRule type="cellIs" dxfId="16110" priority="1281" operator="greaterThan">
      <formula>1</formula>
    </cfRule>
  </conditionalFormatting>
  <conditionalFormatting sqref="R122">
    <cfRule type="cellIs" dxfId="16109" priority="1278" operator="greaterThan">
      <formula>1</formula>
    </cfRule>
    <cfRule type="cellIs" dxfId="16108" priority="1279" operator="lessThan">
      <formula>0.8</formula>
    </cfRule>
  </conditionalFormatting>
  <conditionalFormatting sqref="Q109:Q116">
    <cfRule type="cellIs" dxfId="16107" priority="1276" operator="lessThan">
      <formula>0</formula>
    </cfRule>
  </conditionalFormatting>
  <conditionalFormatting sqref="R109:R116">
    <cfRule type="cellIs" dxfId="16106" priority="1274" operator="lessThan">
      <formula>0.8</formula>
    </cfRule>
    <cfRule type="cellIs" dxfId="16105" priority="1275" operator="greaterThan">
      <formula>1</formula>
    </cfRule>
  </conditionalFormatting>
  <conditionalFormatting sqref="R109:R116">
    <cfRule type="cellIs" dxfId="16104" priority="1272" operator="greaterThan">
      <formula>1</formula>
    </cfRule>
    <cfRule type="cellIs" dxfId="16103" priority="1273" operator="lessThan">
      <formula>0.8</formula>
    </cfRule>
  </conditionalFormatting>
  <conditionalFormatting sqref="P109:P116">
    <cfRule type="cellIs" dxfId="16102" priority="1271" operator="greaterThan">
      <formula>0</formula>
    </cfRule>
  </conditionalFormatting>
  <conditionalFormatting sqref="Q130">
    <cfRule type="cellIs" dxfId="16101" priority="1270" operator="lessThan">
      <formula>0</formula>
    </cfRule>
  </conditionalFormatting>
  <conditionalFormatting sqref="R130">
    <cfRule type="cellIs" dxfId="16100" priority="1268" operator="lessThan">
      <formula>0.8</formula>
    </cfRule>
    <cfRule type="cellIs" dxfId="16099" priority="1269" operator="greaterThan">
      <formula>1</formula>
    </cfRule>
  </conditionalFormatting>
  <conditionalFormatting sqref="R130">
    <cfRule type="cellIs" dxfId="16098" priority="1266" operator="greaterThan">
      <formula>1</formula>
    </cfRule>
    <cfRule type="cellIs" dxfId="16097" priority="1267" operator="lessThan">
      <formula>0.8</formula>
    </cfRule>
  </conditionalFormatting>
  <conditionalFormatting sqref="P130">
    <cfRule type="cellIs" dxfId="16096" priority="1265" operator="greaterThan">
      <formula>0</formula>
    </cfRule>
  </conditionalFormatting>
  <conditionalFormatting sqref="R130">
    <cfRule type="cellIs" dxfId="16095" priority="1262" operator="lessThan">
      <formula>0.8</formula>
    </cfRule>
    <cfRule type="cellIs" dxfId="16094" priority="1263" operator="greaterThan">
      <formula>1</formula>
    </cfRule>
  </conditionalFormatting>
  <conditionalFormatting sqref="R130">
    <cfRule type="cellIs" dxfId="16093" priority="1260" operator="greaterThan">
      <formula>1</formula>
    </cfRule>
    <cfRule type="cellIs" dxfId="16092" priority="1261" operator="lessThan">
      <formula>0.8</formula>
    </cfRule>
  </conditionalFormatting>
  <conditionalFormatting sqref="P130">
    <cfRule type="cellIs" dxfId="16091" priority="1259" operator="greaterThan">
      <formula>0</formula>
    </cfRule>
  </conditionalFormatting>
  <conditionalFormatting sqref="Q130">
    <cfRule type="cellIs" dxfId="16090" priority="1264" operator="lessThan">
      <formula>0</formula>
    </cfRule>
  </conditionalFormatting>
  <conditionalFormatting sqref="R130">
    <cfRule type="cellIs" dxfId="16089" priority="1256" operator="lessThan">
      <formula>0.8</formula>
    </cfRule>
    <cfRule type="cellIs" dxfId="16088" priority="1257" operator="greaterThan">
      <formula>1</formula>
    </cfRule>
  </conditionalFormatting>
  <conditionalFormatting sqref="R130">
    <cfRule type="cellIs" dxfId="16087" priority="1254" operator="greaterThan">
      <formula>1</formula>
    </cfRule>
    <cfRule type="cellIs" dxfId="16086" priority="1255" operator="lessThan">
      <formula>0.8</formula>
    </cfRule>
  </conditionalFormatting>
  <conditionalFormatting sqref="P130">
    <cfRule type="cellIs" dxfId="16085" priority="1253" operator="greaterThan">
      <formula>0</formula>
    </cfRule>
  </conditionalFormatting>
  <conditionalFormatting sqref="Q130">
    <cfRule type="cellIs" dxfId="16084" priority="1258" operator="lessThan">
      <formula>0</formula>
    </cfRule>
  </conditionalFormatting>
  <conditionalFormatting sqref="Q130">
    <cfRule type="cellIs" dxfId="16083" priority="1252" operator="lessThan">
      <formula>0</formula>
    </cfRule>
  </conditionalFormatting>
  <conditionalFormatting sqref="R130">
    <cfRule type="cellIs" dxfId="16082" priority="1250" operator="lessThan">
      <formula>0.8</formula>
    </cfRule>
    <cfRule type="cellIs" dxfId="16081" priority="1251" operator="greaterThan">
      <formula>1</formula>
    </cfRule>
  </conditionalFormatting>
  <conditionalFormatting sqref="R130">
    <cfRule type="cellIs" dxfId="16080" priority="1248" operator="greaterThan">
      <formula>1</formula>
    </cfRule>
    <cfRule type="cellIs" dxfId="16079" priority="1249" operator="lessThan">
      <formula>0.8</formula>
    </cfRule>
  </conditionalFormatting>
  <conditionalFormatting sqref="P130">
    <cfRule type="cellIs" dxfId="16078" priority="1247" operator="greaterThan">
      <formula>0</formula>
    </cfRule>
  </conditionalFormatting>
  <conditionalFormatting sqref="R130">
    <cfRule type="cellIs" dxfId="16077" priority="1244" operator="lessThan">
      <formula>0.8</formula>
    </cfRule>
    <cfRule type="cellIs" dxfId="16076" priority="1245" operator="greaterThan">
      <formula>1</formula>
    </cfRule>
  </conditionalFormatting>
  <conditionalFormatting sqref="R130">
    <cfRule type="cellIs" dxfId="16075" priority="1242" operator="greaterThan">
      <formula>1</formula>
    </cfRule>
    <cfRule type="cellIs" dxfId="16074" priority="1243" operator="lessThan">
      <formula>0.8</formula>
    </cfRule>
  </conditionalFormatting>
  <conditionalFormatting sqref="P130">
    <cfRule type="cellIs" dxfId="16073" priority="1241" operator="greaterThan">
      <formula>0</formula>
    </cfRule>
  </conditionalFormatting>
  <conditionalFormatting sqref="Q130">
    <cfRule type="cellIs" dxfId="16072" priority="1246" operator="lessThan">
      <formula>0</formula>
    </cfRule>
  </conditionalFormatting>
  <conditionalFormatting sqref="Q130">
    <cfRule type="cellIs" dxfId="16071" priority="1240" operator="lessThan">
      <formula>0</formula>
    </cfRule>
  </conditionalFormatting>
  <conditionalFormatting sqref="R130">
    <cfRule type="cellIs" dxfId="16070" priority="1238" operator="lessThan">
      <formula>0.8</formula>
    </cfRule>
    <cfRule type="cellIs" dxfId="16069" priority="1239" operator="greaterThan">
      <formula>1</formula>
    </cfRule>
  </conditionalFormatting>
  <conditionalFormatting sqref="R130">
    <cfRule type="cellIs" dxfId="16068" priority="1236" operator="greaterThan">
      <formula>1</formula>
    </cfRule>
    <cfRule type="cellIs" dxfId="16067" priority="1237" operator="lessThan">
      <formula>0.8</formula>
    </cfRule>
  </conditionalFormatting>
  <conditionalFormatting sqref="P130">
    <cfRule type="cellIs" dxfId="16066" priority="1235" operator="greaterThan">
      <formula>0</formula>
    </cfRule>
  </conditionalFormatting>
  <conditionalFormatting sqref="Q130">
    <cfRule type="cellIs" dxfId="16065" priority="1229" operator="lessThan">
      <formula>0</formula>
    </cfRule>
  </conditionalFormatting>
  <conditionalFormatting sqref="R130">
    <cfRule type="cellIs" dxfId="16064" priority="1233" operator="lessThan">
      <formula>0.8</formula>
    </cfRule>
    <cfRule type="cellIs" dxfId="16063" priority="1234" operator="greaterThan">
      <formula>1</formula>
    </cfRule>
  </conditionalFormatting>
  <conditionalFormatting sqref="R130">
    <cfRule type="cellIs" dxfId="16062" priority="1231" operator="greaterThan">
      <formula>1</formula>
    </cfRule>
    <cfRule type="cellIs" dxfId="16061" priority="1232" operator="lessThan">
      <formula>0.8</formula>
    </cfRule>
  </conditionalFormatting>
  <conditionalFormatting sqref="P130">
    <cfRule type="cellIs" dxfId="16060" priority="1230" operator="greaterThan">
      <formula>0</formula>
    </cfRule>
  </conditionalFormatting>
  <conditionalFormatting sqref="Q130">
    <cfRule type="cellIs" dxfId="16059" priority="1228" operator="lessThan">
      <formula>0</formula>
    </cfRule>
  </conditionalFormatting>
  <conditionalFormatting sqref="R130">
    <cfRule type="cellIs" dxfId="16058" priority="1226" operator="lessThan">
      <formula>0.8</formula>
    </cfRule>
    <cfRule type="cellIs" dxfId="16057" priority="1227" operator="greaterThan">
      <formula>1</formula>
    </cfRule>
  </conditionalFormatting>
  <conditionalFormatting sqref="R130">
    <cfRule type="cellIs" dxfId="16056" priority="1224" operator="greaterThan">
      <formula>1</formula>
    </cfRule>
    <cfRule type="cellIs" dxfId="16055" priority="1225" operator="lessThan">
      <formula>0.8</formula>
    </cfRule>
  </conditionalFormatting>
  <conditionalFormatting sqref="P130">
    <cfRule type="cellIs" dxfId="16054" priority="1223" operator="greaterThan">
      <formula>0</formula>
    </cfRule>
  </conditionalFormatting>
  <conditionalFormatting sqref="Q130">
    <cfRule type="cellIs" dxfId="16053" priority="1222" operator="lessThan">
      <formula>0</formula>
    </cfRule>
  </conditionalFormatting>
  <conditionalFormatting sqref="R130">
    <cfRule type="cellIs" dxfId="16052" priority="1220" operator="lessThan">
      <formula>0.8</formula>
    </cfRule>
    <cfRule type="cellIs" dxfId="16051" priority="1221" operator="greaterThan">
      <formula>1</formula>
    </cfRule>
  </conditionalFormatting>
  <conditionalFormatting sqref="R130">
    <cfRule type="cellIs" dxfId="16050" priority="1218" operator="greaterThan">
      <formula>1</formula>
    </cfRule>
    <cfRule type="cellIs" dxfId="16049" priority="1219" operator="lessThan">
      <formula>0.8</formula>
    </cfRule>
  </conditionalFormatting>
  <conditionalFormatting sqref="P130">
    <cfRule type="cellIs" dxfId="16048" priority="1217" operator="greaterThan">
      <formula>0</formula>
    </cfRule>
  </conditionalFormatting>
  <conditionalFormatting sqref="Q130">
    <cfRule type="cellIs" dxfId="16047" priority="1216" operator="lessThan">
      <formula>0</formula>
    </cfRule>
  </conditionalFormatting>
  <conditionalFormatting sqref="R130">
    <cfRule type="cellIs" dxfId="16046" priority="1214" operator="lessThan">
      <formula>0.8</formula>
    </cfRule>
    <cfRule type="cellIs" dxfId="16045" priority="1215" operator="greaterThan">
      <formula>1</formula>
    </cfRule>
  </conditionalFormatting>
  <conditionalFormatting sqref="R130">
    <cfRule type="cellIs" dxfId="16044" priority="1212" operator="greaterThan">
      <formula>1</formula>
    </cfRule>
    <cfRule type="cellIs" dxfId="16043" priority="1213" operator="lessThan">
      <formula>0.8</formula>
    </cfRule>
  </conditionalFormatting>
  <conditionalFormatting sqref="P130">
    <cfRule type="cellIs" dxfId="16042" priority="1211" operator="greaterThan">
      <formula>0</formula>
    </cfRule>
  </conditionalFormatting>
  <conditionalFormatting sqref="Q130">
    <cfRule type="cellIs" dxfId="16041" priority="1210" operator="lessThan">
      <formula>0</formula>
    </cfRule>
  </conditionalFormatting>
  <conditionalFormatting sqref="R130">
    <cfRule type="cellIs" dxfId="16040" priority="1208" operator="lessThan">
      <formula>0.8</formula>
    </cfRule>
    <cfRule type="cellIs" dxfId="16039" priority="1209" operator="greaterThan">
      <formula>1</formula>
    </cfRule>
  </conditionalFormatting>
  <conditionalFormatting sqref="R130">
    <cfRule type="cellIs" dxfId="16038" priority="1206" operator="greaterThan">
      <formula>1</formula>
    </cfRule>
    <cfRule type="cellIs" dxfId="16037" priority="1207" operator="lessThan">
      <formula>0.8</formula>
    </cfRule>
  </conditionalFormatting>
  <conditionalFormatting sqref="P130">
    <cfRule type="cellIs" dxfId="16036" priority="1205" operator="greaterThan">
      <formula>0</formula>
    </cfRule>
  </conditionalFormatting>
  <conditionalFormatting sqref="Q130">
    <cfRule type="cellIs" dxfId="16035" priority="1204" operator="lessThan">
      <formula>0</formula>
    </cfRule>
  </conditionalFormatting>
  <conditionalFormatting sqref="R130">
    <cfRule type="cellIs" dxfId="16034" priority="1202" operator="lessThan">
      <formula>0.8</formula>
    </cfRule>
    <cfRule type="cellIs" dxfId="16033" priority="1203" operator="greaterThan">
      <formula>1</formula>
    </cfRule>
  </conditionalFormatting>
  <conditionalFormatting sqref="R130">
    <cfRule type="cellIs" dxfId="16032" priority="1200" operator="greaterThan">
      <formula>1</formula>
    </cfRule>
    <cfRule type="cellIs" dxfId="16031" priority="1201" operator="lessThan">
      <formula>0.8</formula>
    </cfRule>
  </conditionalFormatting>
  <conditionalFormatting sqref="P130">
    <cfRule type="cellIs" dxfId="16030" priority="1199" operator="greaterThan">
      <formula>0</formula>
    </cfRule>
  </conditionalFormatting>
  <conditionalFormatting sqref="P130">
    <cfRule type="cellIs" dxfId="16029" priority="1193" operator="greaterThan">
      <formula>0</formula>
    </cfRule>
  </conditionalFormatting>
  <conditionalFormatting sqref="Q130">
    <cfRule type="cellIs" dxfId="16028" priority="1198" operator="lessThan">
      <formula>0</formula>
    </cfRule>
  </conditionalFormatting>
  <conditionalFormatting sqref="R130">
    <cfRule type="cellIs" dxfId="16027" priority="1196" operator="lessThan">
      <formula>0.8</formula>
    </cfRule>
    <cfRule type="cellIs" dxfId="16026" priority="1197" operator="greaterThan">
      <formula>1</formula>
    </cfRule>
  </conditionalFormatting>
  <conditionalFormatting sqref="R130">
    <cfRule type="cellIs" dxfId="16025" priority="1194" operator="greaterThan">
      <formula>1</formula>
    </cfRule>
    <cfRule type="cellIs" dxfId="16024" priority="1195" operator="lessThan">
      <formula>0.8</formula>
    </cfRule>
  </conditionalFormatting>
  <conditionalFormatting sqref="P130">
    <cfRule type="cellIs" dxfId="16023" priority="1187" operator="greaterThan">
      <formula>0</formula>
    </cfRule>
  </conditionalFormatting>
  <conditionalFormatting sqref="Q130">
    <cfRule type="cellIs" dxfId="16022" priority="1192" operator="lessThan">
      <formula>0</formula>
    </cfRule>
  </conditionalFormatting>
  <conditionalFormatting sqref="R130">
    <cfRule type="cellIs" dxfId="16021" priority="1190" operator="lessThan">
      <formula>0.8</formula>
    </cfRule>
    <cfRule type="cellIs" dxfId="16020" priority="1191" operator="greaterThan">
      <formula>1</formula>
    </cfRule>
  </conditionalFormatting>
  <conditionalFormatting sqref="R130">
    <cfRule type="cellIs" dxfId="16019" priority="1188" operator="greaterThan">
      <formula>1</formula>
    </cfRule>
    <cfRule type="cellIs" dxfId="16018" priority="1189" operator="lessThan">
      <formula>0.8</formula>
    </cfRule>
  </conditionalFormatting>
  <conditionalFormatting sqref="R130">
    <cfRule type="cellIs" dxfId="16017" priority="1184" operator="lessThan">
      <formula>0.8</formula>
    </cfRule>
    <cfRule type="cellIs" dxfId="16016" priority="1185" operator="greaterThan">
      <formula>1</formula>
    </cfRule>
  </conditionalFormatting>
  <conditionalFormatting sqref="R130">
    <cfRule type="cellIs" dxfId="16015" priority="1182" operator="greaterThan">
      <formula>1</formula>
    </cfRule>
    <cfRule type="cellIs" dxfId="16014" priority="1183" operator="lessThan">
      <formula>0.8</formula>
    </cfRule>
  </conditionalFormatting>
  <conditionalFormatting sqref="P130">
    <cfRule type="cellIs" dxfId="16013" priority="1181" operator="greaterThan">
      <formula>0</formula>
    </cfRule>
  </conditionalFormatting>
  <conditionalFormatting sqref="Q130">
    <cfRule type="cellIs" dxfId="16012" priority="1186" operator="lessThan">
      <formula>0</formula>
    </cfRule>
  </conditionalFormatting>
  <conditionalFormatting sqref="Q130">
    <cfRule type="cellIs" dxfId="16011" priority="1175" operator="lessThan">
      <formula>0</formula>
    </cfRule>
  </conditionalFormatting>
  <conditionalFormatting sqref="P130">
    <cfRule type="cellIs" dxfId="16010" priority="1176" operator="greaterThan">
      <formula>0</formula>
    </cfRule>
  </conditionalFormatting>
  <conditionalFormatting sqref="R130">
    <cfRule type="cellIs" dxfId="16009" priority="1179" operator="lessThan">
      <formula>0.8</formula>
    </cfRule>
    <cfRule type="cellIs" dxfId="16008" priority="1180" operator="greaterThan">
      <formula>1</formula>
    </cfRule>
  </conditionalFormatting>
  <conditionalFormatting sqref="R130">
    <cfRule type="cellIs" dxfId="16007" priority="1177" operator="greaterThan">
      <formula>1</formula>
    </cfRule>
    <cfRule type="cellIs" dxfId="16006" priority="1178" operator="lessThan">
      <formula>0.8</formula>
    </cfRule>
  </conditionalFormatting>
  <conditionalFormatting sqref="Q130">
    <cfRule type="cellIs" dxfId="16005" priority="1169" operator="lessThan">
      <formula>0</formula>
    </cfRule>
  </conditionalFormatting>
  <conditionalFormatting sqref="R130">
    <cfRule type="cellIs" dxfId="16004" priority="1173" operator="lessThan">
      <formula>0.8</formula>
    </cfRule>
    <cfRule type="cellIs" dxfId="16003" priority="1174" operator="greaterThan">
      <formula>1</formula>
    </cfRule>
  </conditionalFormatting>
  <conditionalFormatting sqref="R130">
    <cfRule type="cellIs" dxfId="16002" priority="1171" operator="greaterThan">
      <formula>1</formula>
    </cfRule>
    <cfRule type="cellIs" dxfId="16001" priority="1172" operator="lessThan">
      <formula>0.8</formula>
    </cfRule>
  </conditionalFormatting>
  <conditionalFormatting sqref="P130">
    <cfRule type="cellIs" dxfId="16000" priority="1170" operator="greaterThan">
      <formula>0</formula>
    </cfRule>
  </conditionalFormatting>
  <conditionalFormatting sqref="Q130">
    <cfRule type="cellIs" dxfId="15999" priority="1168" operator="lessThan">
      <formula>0</formula>
    </cfRule>
  </conditionalFormatting>
  <conditionalFormatting sqref="R130">
    <cfRule type="cellIs" dxfId="15998" priority="1166" operator="lessThan">
      <formula>0.8</formula>
    </cfRule>
    <cfRule type="cellIs" dxfId="15997" priority="1167" operator="greaterThan">
      <formula>1</formula>
    </cfRule>
  </conditionalFormatting>
  <conditionalFormatting sqref="R130">
    <cfRule type="cellIs" dxfId="15996" priority="1164" operator="greaterThan">
      <formula>1</formula>
    </cfRule>
    <cfRule type="cellIs" dxfId="15995" priority="1165" operator="lessThan">
      <formula>0.8</formula>
    </cfRule>
  </conditionalFormatting>
  <conditionalFormatting sqref="P130">
    <cfRule type="cellIs" dxfId="15994" priority="1163" operator="greaterThan">
      <formula>0</formula>
    </cfRule>
  </conditionalFormatting>
  <conditionalFormatting sqref="Q130">
    <cfRule type="cellIs" dxfId="15993" priority="1162" operator="lessThan">
      <formula>0</formula>
    </cfRule>
  </conditionalFormatting>
  <conditionalFormatting sqref="R130">
    <cfRule type="cellIs" dxfId="15992" priority="1160" operator="lessThan">
      <formula>0.8</formula>
    </cfRule>
    <cfRule type="cellIs" dxfId="15991" priority="1161" operator="greaterThan">
      <formula>1</formula>
    </cfRule>
  </conditionalFormatting>
  <conditionalFormatting sqref="R130">
    <cfRule type="cellIs" dxfId="15990" priority="1158" operator="greaterThan">
      <formula>1</formula>
    </cfRule>
    <cfRule type="cellIs" dxfId="15989" priority="1159" operator="lessThan">
      <formula>0.8</formula>
    </cfRule>
  </conditionalFormatting>
  <conditionalFormatting sqref="P130">
    <cfRule type="cellIs" dxfId="15988" priority="1157" operator="greaterThan">
      <formula>0</formula>
    </cfRule>
  </conditionalFormatting>
  <conditionalFormatting sqref="Q130">
    <cfRule type="cellIs" dxfId="15987" priority="1151" operator="lessThan">
      <formula>0</formula>
    </cfRule>
  </conditionalFormatting>
  <conditionalFormatting sqref="P130">
    <cfRule type="cellIs" dxfId="15986" priority="1152" operator="greaterThan">
      <formula>0</formula>
    </cfRule>
  </conditionalFormatting>
  <conditionalFormatting sqref="R130">
    <cfRule type="cellIs" dxfId="15985" priority="1155" operator="lessThan">
      <formula>0.8</formula>
    </cfRule>
    <cfRule type="cellIs" dxfId="15984" priority="1156" operator="greaterThan">
      <formula>1</formula>
    </cfRule>
  </conditionalFormatting>
  <conditionalFormatting sqref="R130">
    <cfRule type="cellIs" dxfId="15983" priority="1153" operator="greaterThan">
      <formula>1</formula>
    </cfRule>
    <cfRule type="cellIs" dxfId="15982" priority="1154" operator="lessThan">
      <formula>0.8</formula>
    </cfRule>
  </conditionalFormatting>
  <conditionalFormatting sqref="Q130">
    <cfRule type="cellIs" dxfId="15981" priority="1145" operator="lessThan">
      <formula>0</formula>
    </cfRule>
  </conditionalFormatting>
  <conditionalFormatting sqref="R130">
    <cfRule type="cellIs" dxfId="15980" priority="1149" operator="lessThan">
      <formula>0.8</formula>
    </cfRule>
    <cfRule type="cellIs" dxfId="15979" priority="1150" operator="greaterThan">
      <formula>1</formula>
    </cfRule>
  </conditionalFormatting>
  <conditionalFormatting sqref="R130">
    <cfRule type="cellIs" dxfId="15978" priority="1147" operator="greaterThan">
      <formula>1</formula>
    </cfRule>
    <cfRule type="cellIs" dxfId="15977" priority="1148" operator="lessThan">
      <formula>0.8</formula>
    </cfRule>
  </conditionalFormatting>
  <conditionalFormatting sqref="P130">
    <cfRule type="cellIs" dxfId="15976" priority="1146" operator="greaterThan">
      <formula>0</formula>
    </cfRule>
  </conditionalFormatting>
  <conditionalFormatting sqref="Q130">
    <cfRule type="cellIs" dxfId="15975" priority="1144" operator="lessThan">
      <formula>0</formula>
    </cfRule>
  </conditionalFormatting>
  <conditionalFormatting sqref="R130">
    <cfRule type="cellIs" dxfId="15974" priority="1142" operator="lessThan">
      <formula>0.8</formula>
    </cfRule>
    <cfRule type="cellIs" dxfId="15973" priority="1143" operator="greaterThan">
      <formula>1</formula>
    </cfRule>
  </conditionalFormatting>
  <conditionalFormatting sqref="R130">
    <cfRule type="cellIs" dxfId="15972" priority="1140" operator="greaterThan">
      <formula>1</formula>
    </cfRule>
    <cfRule type="cellIs" dxfId="15971" priority="1141" operator="lessThan">
      <formula>0.8</formula>
    </cfRule>
  </conditionalFormatting>
  <conditionalFormatting sqref="P130">
    <cfRule type="cellIs" dxfId="15970" priority="1139" operator="greaterThan">
      <formula>0</formula>
    </cfRule>
  </conditionalFormatting>
  <conditionalFormatting sqref="Q130">
    <cfRule type="cellIs" dxfId="15969" priority="1138" operator="lessThan">
      <formula>0</formula>
    </cfRule>
  </conditionalFormatting>
  <conditionalFormatting sqref="R130">
    <cfRule type="cellIs" dxfId="15968" priority="1136" operator="lessThan">
      <formula>0.8</formula>
    </cfRule>
    <cfRule type="cellIs" dxfId="15967" priority="1137" operator="greaterThan">
      <formula>1</formula>
    </cfRule>
  </conditionalFormatting>
  <conditionalFormatting sqref="R130">
    <cfRule type="cellIs" dxfId="15966" priority="1134" operator="greaterThan">
      <formula>1</formula>
    </cfRule>
    <cfRule type="cellIs" dxfId="15965" priority="1135" operator="lessThan">
      <formula>0.8</formula>
    </cfRule>
  </conditionalFormatting>
  <conditionalFormatting sqref="P130">
    <cfRule type="cellIs" dxfId="15964" priority="1133" operator="greaterThan">
      <formula>0</formula>
    </cfRule>
  </conditionalFormatting>
  <conditionalFormatting sqref="P130">
    <cfRule type="cellIs" dxfId="15963" priority="1127" operator="greaterThan">
      <formula>0</formula>
    </cfRule>
  </conditionalFormatting>
  <conditionalFormatting sqref="Q130">
    <cfRule type="cellIs" dxfId="15962" priority="1132" operator="lessThan">
      <formula>0</formula>
    </cfRule>
  </conditionalFormatting>
  <conditionalFormatting sqref="R130">
    <cfRule type="cellIs" dxfId="15961" priority="1130" operator="lessThan">
      <formula>0.8</formula>
    </cfRule>
    <cfRule type="cellIs" dxfId="15960" priority="1131" operator="greaterThan">
      <formula>1</formula>
    </cfRule>
  </conditionalFormatting>
  <conditionalFormatting sqref="R130">
    <cfRule type="cellIs" dxfId="15959" priority="1128" operator="greaterThan">
      <formula>1</formula>
    </cfRule>
    <cfRule type="cellIs" dxfId="15958" priority="1129" operator="lessThan">
      <formula>0.8</formula>
    </cfRule>
  </conditionalFormatting>
  <conditionalFormatting sqref="P130">
    <cfRule type="cellIs" dxfId="15957" priority="1121" operator="greaterThan">
      <formula>0</formula>
    </cfRule>
  </conditionalFormatting>
  <conditionalFormatting sqref="Q130">
    <cfRule type="cellIs" dxfId="15956" priority="1126" operator="lessThan">
      <formula>0</formula>
    </cfRule>
  </conditionalFormatting>
  <conditionalFormatting sqref="R130">
    <cfRule type="cellIs" dxfId="15955" priority="1124" operator="lessThan">
      <formula>0.8</formula>
    </cfRule>
    <cfRule type="cellIs" dxfId="15954" priority="1125" operator="greaterThan">
      <formula>1</formula>
    </cfRule>
  </conditionalFormatting>
  <conditionalFormatting sqref="R130">
    <cfRule type="cellIs" dxfId="15953" priority="1122" operator="greaterThan">
      <formula>1</formula>
    </cfRule>
    <cfRule type="cellIs" dxfId="15952" priority="1123" operator="lessThan">
      <formula>0.8</formula>
    </cfRule>
  </conditionalFormatting>
  <conditionalFormatting sqref="Q130">
    <cfRule type="cellIs" dxfId="15951" priority="1115" operator="lessThan">
      <formula>0</formula>
    </cfRule>
  </conditionalFormatting>
  <conditionalFormatting sqref="R130">
    <cfRule type="cellIs" dxfId="15950" priority="1119" operator="lessThan">
      <formula>0.8</formula>
    </cfRule>
    <cfRule type="cellIs" dxfId="15949" priority="1120" operator="greaterThan">
      <formula>1</formula>
    </cfRule>
  </conditionalFormatting>
  <conditionalFormatting sqref="R130">
    <cfRule type="cellIs" dxfId="15948" priority="1117" operator="greaterThan">
      <formula>1</formula>
    </cfRule>
    <cfRule type="cellIs" dxfId="15947" priority="1118" operator="lessThan">
      <formula>0.8</formula>
    </cfRule>
  </conditionalFormatting>
  <conditionalFormatting sqref="P130">
    <cfRule type="cellIs" dxfId="15946" priority="1116" operator="greaterThan">
      <formula>0</formula>
    </cfRule>
  </conditionalFormatting>
  <conditionalFormatting sqref="Q130">
    <cfRule type="cellIs" dxfId="15945" priority="1114" operator="lessThan">
      <formula>0</formula>
    </cfRule>
  </conditionalFormatting>
  <conditionalFormatting sqref="R130">
    <cfRule type="cellIs" dxfId="15944" priority="1112" operator="lessThan">
      <formula>0.8</formula>
    </cfRule>
    <cfRule type="cellIs" dxfId="15943" priority="1113" operator="greaterThan">
      <formula>1</formula>
    </cfRule>
  </conditionalFormatting>
  <conditionalFormatting sqref="R130">
    <cfRule type="cellIs" dxfId="15942" priority="1110" operator="greaterThan">
      <formula>1</formula>
    </cfRule>
    <cfRule type="cellIs" dxfId="15941" priority="1111" operator="lessThan">
      <formula>0.8</formula>
    </cfRule>
  </conditionalFormatting>
  <conditionalFormatting sqref="P130">
    <cfRule type="cellIs" dxfId="15940" priority="1109" operator="greaterThan">
      <formula>0</formula>
    </cfRule>
  </conditionalFormatting>
  <conditionalFormatting sqref="Q130">
    <cfRule type="cellIs" dxfId="15939" priority="1108" operator="lessThan">
      <formula>0</formula>
    </cfRule>
  </conditionalFormatting>
  <conditionalFormatting sqref="R130">
    <cfRule type="cellIs" dxfId="15938" priority="1106" operator="lessThan">
      <formula>0.8</formula>
    </cfRule>
    <cfRule type="cellIs" dxfId="15937" priority="1107" operator="greaterThan">
      <formula>1</formula>
    </cfRule>
  </conditionalFormatting>
  <conditionalFormatting sqref="R130">
    <cfRule type="cellIs" dxfId="15936" priority="1104" operator="greaterThan">
      <formula>1</formula>
    </cfRule>
    <cfRule type="cellIs" dxfId="15935" priority="1105" operator="lessThan">
      <formula>0.8</formula>
    </cfRule>
  </conditionalFormatting>
  <conditionalFormatting sqref="P130">
    <cfRule type="cellIs" dxfId="15934" priority="1103" operator="greaterThan">
      <formula>0</formula>
    </cfRule>
  </conditionalFormatting>
  <conditionalFormatting sqref="Q130">
    <cfRule type="cellIs" dxfId="15933" priority="1102" operator="lessThan">
      <formula>0</formula>
    </cfRule>
  </conditionalFormatting>
  <conditionalFormatting sqref="R130">
    <cfRule type="cellIs" dxfId="15932" priority="1100" operator="lessThan">
      <formula>0.8</formula>
    </cfRule>
    <cfRule type="cellIs" dxfId="15931" priority="1101" operator="greaterThan">
      <formula>1</formula>
    </cfRule>
  </conditionalFormatting>
  <conditionalFormatting sqref="R130">
    <cfRule type="cellIs" dxfId="15930" priority="1098" operator="greaterThan">
      <formula>1</formula>
    </cfRule>
    <cfRule type="cellIs" dxfId="15929" priority="1099" operator="lessThan">
      <formula>0.8</formula>
    </cfRule>
  </conditionalFormatting>
  <conditionalFormatting sqref="P130">
    <cfRule type="cellIs" dxfId="15928" priority="1097" operator="greaterThan">
      <formula>0</formula>
    </cfRule>
  </conditionalFormatting>
  <conditionalFormatting sqref="Q130">
    <cfRule type="cellIs" dxfId="15927" priority="1096" operator="lessThan">
      <formula>0</formula>
    </cfRule>
  </conditionalFormatting>
  <conditionalFormatting sqref="R130">
    <cfRule type="cellIs" dxfId="15926" priority="1094" operator="lessThan">
      <formula>0.8</formula>
    </cfRule>
    <cfRule type="cellIs" dxfId="15925" priority="1095" operator="greaterThan">
      <formula>1</formula>
    </cfRule>
  </conditionalFormatting>
  <conditionalFormatting sqref="R130">
    <cfRule type="cellIs" dxfId="15924" priority="1092" operator="greaterThan">
      <formula>1</formula>
    </cfRule>
    <cfRule type="cellIs" dxfId="15923" priority="1093" operator="lessThan">
      <formula>0.8</formula>
    </cfRule>
  </conditionalFormatting>
  <conditionalFormatting sqref="P130">
    <cfRule type="cellIs" dxfId="15922" priority="1091" operator="greaterThan">
      <formula>0</formula>
    </cfRule>
  </conditionalFormatting>
  <conditionalFormatting sqref="Q130">
    <cfRule type="cellIs" dxfId="15921" priority="1090" operator="lessThan">
      <formula>0</formula>
    </cfRule>
  </conditionalFormatting>
  <conditionalFormatting sqref="R130">
    <cfRule type="cellIs" dxfId="15920" priority="1088" operator="lessThan">
      <formula>0.8</formula>
    </cfRule>
    <cfRule type="cellIs" dxfId="15919" priority="1089" operator="greaterThan">
      <formula>1</formula>
    </cfRule>
  </conditionalFormatting>
  <conditionalFormatting sqref="R130">
    <cfRule type="cellIs" dxfId="15918" priority="1086" operator="greaterThan">
      <formula>1</formula>
    </cfRule>
    <cfRule type="cellIs" dxfId="15917" priority="1087" operator="lessThan">
      <formula>0.8</formula>
    </cfRule>
  </conditionalFormatting>
  <conditionalFormatting sqref="P130">
    <cfRule type="cellIs" dxfId="15916" priority="1085" operator="greaterThan">
      <formula>0</formula>
    </cfRule>
  </conditionalFormatting>
  <conditionalFormatting sqref="P130">
    <cfRule type="cellIs" dxfId="15915" priority="1079" operator="greaterThan">
      <formula>0</formula>
    </cfRule>
  </conditionalFormatting>
  <conditionalFormatting sqref="Q130">
    <cfRule type="cellIs" dxfId="15914" priority="1084" operator="lessThan">
      <formula>0</formula>
    </cfRule>
  </conditionalFormatting>
  <conditionalFormatting sqref="R130">
    <cfRule type="cellIs" dxfId="15913" priority="1082" operator="lessThan">
      <formula>0.8</formula>
    </cfRule>
    <cfRule type="cellIs" dxfId="15912" priority="1083" operator="greaterThan">
      <formula>1</formula>
    </cfRule>
  </conditionalFormatting>
  <conditionalFormatting sqref="R130">
    <cfRule type="cellIs" dxfId="15911" priority="1080" operator="greaterThan">
      <formula>1</formula>
    </cfRule>
    <cfRule type="cellIs" dxfId="15910" priority="1081" operator="lessThan">
      <formula>0.8</formula>
    </cfRule>
  </conditionalFormatting>
  <conditionalFormatting sqref="P130">
    <cfRule type="cellIs" dxfId="15909" priority="1073" operator="greaterThan">
      <formula>0</formula>
    </cfRule>
  </conditionalFormatting>
  <conditionalFormatting sqref="Q130">
    <cfRule type="cellIs" dxfId="15908" priority="1078" operator="lessThan">
      <formula>0</formula>
    </cfRule>
  </conditionalFormatting>
  <conditionalFormatting sqref="R130">
    <cfRule type="cellIs" dxfId="15907" priority="1076" operator="lessThan">
      <formula>0.8</formula>
    </cfRule>
    <cfRule type="cellIs" dxfId="15906" priority="1077" operator="greaterThan">
      <formula>1</formula>
    </cfRule>
  </conditionalFormatting>
  <conditionalFormatting sqref="R130">
    <cfRule type="cellIs" dxfId="15905" priority="1074" operator="greaterThan">
      <formula>1</formula>
    </cfRule>
    <cfRule type="cellIs" dxfId="15904" priority="1075" operator="lessThan">
      <formula>0.8</formula>
    </cfRule>
  </conditionalFormatting>
  <conditionalFormatting sqref="R130">
    <cfRule type="cellIs" dxfId="15903" priority="1070" operator="lessThan">
      <formula>0.8</formula>
    </cfRule>
    <cfRule type="cellIs" dxfId="15902" priority="1071" operator="greaterThan">
      <formula>1</formula>
    </cfRule>
  </conditionalFormatting>
  <conditionalFormatting sqref="R130">
    <cfRule type="cellIs" dxfId="15901" priority="1068" operator="greaterThan">
      <formula>1</formula>
    </cfRule>
    <cfRule type="cellIs" dxfId="15900" priority="1069" operator="lessThan">
      <formula>0.8</formula>
    </cfRule>
  </conditionalFormatting>
  <conditionalFormatting sqref="P130">
    <cfRule type="cellIs" dxfId="15899" priority="1067" operator="greaterThan">
      <formula>0</formula>
    </cfRule>
  </conditionalFormatting>
  <conditionalFormatting sqref="Q130">
    <cfRule type="cellIs" dxfId="15898" priority="1072" operator="lessThan">
      <formula>0</formula>
    </cfRule>
  </conditionalFormatting>
  <conditionalFormatting sqref="Q130">
    <cfRule type="cellIs" dxfId="15897" priority="1061" operator="lessThan">
      <formula>0</formula>
    </cfRule>
  </conditionalFormatting>
  <conditionalFormatting sqref="P130">
    <cfRule type="cellIs" dxfId="15896" priority="1062" operator="greaterThan">
      <formula>0</formula>
    </cfRule>
  </conditionalFormatting>
  <conditionalFormatting sqref="R130">
    <cfRule type="cellIs" dxfId="15895" priority="1065" operator="lessThan">
      <formula>0.8</formula>
    </cfRule>
    <cfRule type="cellIs" dxfId="15894" priority="1066" operator="greaterThan">
      <formula>1</formula>
    </cfRule>
  </conditionalFormatting>
  <conditionalFormatting sqref="R130">
    <cfRule type="cellIs" dxfId="15893" priority="1063" operator="greaterThan">
      <formula>1</formula>
    </cfRule>
    <cfRule type="cellIs" dxfId="15892" priority="1064" operator="lessThan">
      <formula>0.8</formula>
    </cfRule>
  </conditionalFormatting>
  <conditionalFormatting sqref="Q130">
    <cfRule type="cellIs" dxfId="15891" priority="1055" operator="lessThan">
      <formula>0</formula>
    </cfRule>
  </conditionalFormatting>
  <conditionalFormatting sqref="R130">
    <cfRule type="cellIs" dxfId="15890" priority="1059" operator="lessThan">
      <formula>0.8</formula>
    </cfRule>
    <cfRule type="cellIs" dxfId="15889" priority="1060" operator="greaterThan">
      <formula>1</formula>
    </cfRule>
  </conditionalFormatting>
  <conditionalFormatting sqref="R130">
    <cfRule type="cellIs" dxfId="15888" priority="1057" operator="greaterThan">
      <formula>1</formula>
    </cfRule>
    <cfRule type="cellIs" dxfId="15887" priority="1058" operator="lessThan">
      <formula>0.8</formula>
    </cfRule>
  </conditionalFormatting>
  <conditionalFormatting sqref="P130">
    <cfRule type="cellIs" dxfId="15886" priority="1056" operator="greaterThan">
      <formula>0</formula>
    </cfRule>
  </conditionalFormatting>
  <conditionalFormatting sqref="Q130">
    <cfRule type="cellIs" dxfId="15885" priority="1054" operator="lessThan">
      <formula>0</formula>
    </cfRule>
  </conditionalFormatting>
  <conditionalFormatting sqref="R130">
    <cfRule type="cellIs" dxfId="15884" priority="1052" operator="lessThan">
      <formula>0.8</formula>
    </cfRule>
    <cfRule type="cellIs" dxfId="15883" priority="1053" operator="greaterThan">
      <formula>1</formula>
    </cfRule>
  </conditionalFormatting>
  <conditionalFormatting sqref="R130">
    <cfRule type="cellIs" dxfId="15882" priority="1050" operator="greaterThan">
      <formula>1</formula>
    </cfRule>
    <cfRule type="cellIs" dxfId="15881" priority="1051" operator="lessThan">
      <formula>0.8</formula>
    </cfRule>
  </conditionalFormatting>
  <conditionalFormatting sqref="P130">
    <cfRule type="cellIs" dxfId="15880" priority="1049" operator="greaterThan">
      <formula>0</formula>
    </cfRule>
  </conditionalFormatting>
  <conditionalFormatting sqref="Q130">
    <cfRule type="cellIs" dxfId="15879" priority="1048" operator="lessThan">
      <formula>0</formula>
    </cfRule>
  </conditionalFormatting>
  <conditionalFormatting sqref="R130">
    <cfRule type="cellIs" dxfId="15878" priority="1046" operator="lessThan">
      <formula>0.8</formula>
    </cfRule>
    <cfRule type="cellIs" dxfId="15877" priority="1047" operator="greaterThan">
      <formula>1</formula>
    </cfRule>
  </conditionalFormatting>
  <conditionalFormatting sqref="R130">
    <cfRule type="cellIs" dxfId="15876" priority="1044" operator="greaterThan">
      <formula>1</formula>
    </cfRule>
    <cfRule type="cellIs" dxfId="15875" priority="1045" operator="lessThan">
      <formula>0.8</formula>
    </cfRule>
  </conditionalFormatting>
  <conditionalFormatting sqref="P130">
    <cfRule type="cellIs" dxfId="15874" priority="1043" operator="greaterThan">
      <formula>0</formula>
    </cfRule>
  </conditionalFormatting>
  <conditionalFormatting sqref="P131">
    <cfRule type="cellIs" dxfId="15873" priority="1042" operator="greaterThan">
      <formula>0</formula>
    </cfRule>
  </conditionalFormatting>
  <conditionalFormatting sqref="Q131">
    <cfRule type="cellIs" dxfId="15872" priority="1041" operator="lessThan">
      <formula>0</formula>
    </cfRule>
  </conditionalFormatting>
  <conditionalFormatting sqref="R131">
    <cfRule type="cellIs" dxfId="15871" priority="1039" operator="lessThan">
      <formula>0.8</formula>
    </cfRule>
    <cfRule type="cellIs" dxfId="15870" priority="1040" operator="greaterThan">
      <formula>1</formula>
    </cfRule>
  </conditionalFormatting>
  <conditionalFormatting sqref="R131">
    <cfRule type="cellIs" dxfId="15869" priority="1037" operator="greaterThan">
      <formula>1</formula>
    </cfRule>
    <cfRule type="cellIs" dxfId="15868" priority="1038" operator="lessThan">
      <formula>0.8</formula>
    </cfRule>
  </conditionalFormatting>
  <conditionalFormatting sqref="P131">
    <cfRule type="cellIs" dxfId="15867" priority="1036" operator="greaterThan">
      <formula>0</formula>
    </cfRule>
  </conditionalFormatting>
  <conditionalFormatting sqref="P137 P139 P141">
    <cfRule type="cellIs" dxfId="15866" priority="1035" operator="greaterThan">
      <formula>0</formula>
    </cfRule>
  </conditionalFormatting>
  <conditionalFormatting sqref="Q137 Q139 Q141">
    <cfRule type="cellIs" dxfId="15865" priority="1034" operator="lessThan">
      <formula>0</formula>
    </cfRule>
  </conditionalFormatting>
  <conditionalFormatting sqref="R137 R139 R141">
    <cfRule type="cellIs" dxfId="15864" priority="1032" operator="lessThan">
      <formula>0.8</formula>
    </cfRule>
    <cfRule type="cellIs" dxfId="15863" priority="1033" operator="greaterThan">
      <formula>1</formula>
    </cfRule>
  </conditionalFormatting>
  <conditionalFormatting sqref="R137 R139 R141">
    <cfRule type="cellIs" dxfId="15862" priority="1030" operator="greaterThan">
      <formula>1</formula>
    </cfRule>
    <cfRule type="cellIs" dxfId="15861" priority="1031" operator="lessThan">
      <formula>0.8</formula>
    </cfRule>
  </conditionalFormatting>
  <conditionalFormatting sqref="P137 P139 P141">
    <cfRule type="cellIs" dxfId="15860" priority="1029" operator="greaterThan">
      <formula>0</formula>
    </cfRule>
  </conditionalFormatting>
  <conditionalFormatting sqref="Q137 Q139 Q141">
    <cfRule type="cellIs" dxfId="15859" priority="1028" operator="lessThan">
      <formula>0</formula>
    </cfRule>
  </conditionalFormatting>
  <conditionalFormatting sqref="R137 R139 R141">
    <cfRule type="cellIs" dxfId="15858" priority="1026" operator="lessThan">
      <formula>0.8</formula>
    </cfRule>
    <cfRule type="cellIs" dxfId="15857" priority="1027" operator="greaterThan">
      <formula>1</formula>
    </cfRule>
  </conditionalFormatting>
  <conditionalFormatting sqref="R137 R139 R141">
    <cfRule type="cellIs" dxfId="15856" priority="1024" operator="greaterThan">
      <formula>1</formula>
    </cfRule>
    <cfRule type="cellIs" dxfId="15855" priority="1025" operator="lessThan">
      <formula>0.8</formula>
    </cfRule>
  </conditionalFormatting>
  <conditionalFormatting sqref="P137 P139 P141">
    <cfRule type="cellIs" dxfId="15854" priority="1023" operator="greaterThan">
      <formula>0</formula>
    </cfRule>
  </conditionalFormatting>
  <conditionalFormatting sqref="P137 P139 P141">
    <cfRule type="cellIs" dxfId="15853" priority="1017" operator="greaterThan">
      <formula>0</formula>
    </cfRule>
  </conditionalFormatting>
  <conditionalFormatting sqref="Q137 Q139 Q141">
    <cfRule type="cellIs" dxfId="15852" priority="1022" operator="lessThan">
      <formula>0</formula>
    </cfRule>
  </conditionalFormatting>
  <conditionalFormatting sqref="R137 R139 R141">
    <cfRule type="cellIs" dxfId="15851" priority="1020" operator="lessThan">
      <formula>0.8</formula>
    </cfRule>
    <cfRule type="cellIs" dxfId="15850" priority="1021" operator="greaterThan">
      <formula>1</formula>
    </cfRule>
  </conditionalFormatting>
  <conditionalFormatting sqref="R137 R139 R141">
    <cfRule type="cellIs" dxfId="15849" priority="1018" operator="greaterThan">
      <formula>1</formula>
    </cfRule>
    <cfRule type="cellIs" dxfId="15848" priority="1019" operator="lessThan">
      <formula>0.8</formula>
    </cfRule>
  </conditionalFormatting>
  <conditionalFormatting sqref="Q137 Q139 Q141">
    <cfRule type="cellIs" dxfId="15847" priority="1016" operator="lessThan">
      <formula>0</formula>
    </cfRule>
  </conditionalFormatting>
  <conditionalFormatting sqref="R137 R139 R141">
    <cfRule type="cellIs" dxfId="15846" priority="1014" operator="lessThan">
      <formula>0.8</formula>
    </cfRule>
    <cfRule type="cellIs" dxfId="15845" priority="1015" operator="greaterThan">
      <formula>1</formula>
    </cfRule>
  </conditionalFormatting>
  <conditionalFormatting sqref="R137 R139 R141">
    <cfRule type="cellIs" dxfId="15844" priority="1012" operator="greaterThan">
      <formula>1</formula>
    </cfRule>
    <cfRule type="cellIs" dxfId="15843" priority="1013" operator="lessThan">
      <formula>0.8</formula>
    </cfRule>
  </conditionalFormatting>
  <conditionalFormatting sqref="P137 P139 P141">
    <cfRule type="cellIs" dxfId="15842" priority="1011" operator="greaterThan">
      <formula>0</formula>
    </cfRule>
  </conditionalFormatting>
  <conditionalFormatting sqref="Q137 Q139 Q141">
    <cfRule type="cellIs" dxfId="15841" priority="1010" operator="lessThan">
      <formula>0</formula>
    </cfRule>
  </conditionalFormatting>
  <conditionalFormatting sqref="R137 R139 R141">
    <cfRule type="cellIs" dxfId="15840" priority="1008" operator="lessThan">
      <formula>0.8</formula>
    </cfRule>
    <cfRule type="cellIs" dxfId="15839" priority="1009" operator="greaterThan">
      <formula>1</formula>
    </cfRule>
  </conditionalFormatting>
  <conditionalFormatting sqref="R137 R139 R141">
    <cfRule type="cellIs" dxfId="15838" priority="1006" operator="greaterThan">
      <formula>1</formula>
    </cfRule>
    <cfRule type="cellIs" dxfId="15837" priority="1007" operator="lessThan">
      <formula>0.8</formula>
    </cfRule>
  </conditionalFormatting>
  <conditionalFormatting sqref="P137 P139 P141">
    <cfRule type="cellIs" dxfId="15836" priority="1005" operator="greaterThan">
      <formula>0</formula>
    </cfRule>
  </conditionalFormatting>
  <conditionalFormatting sqref="P137 P139 P141">
    <cfRule type="cellIs" dxfId="15835" priority="999" operator="greaterThan">
      <formula>0</formula>
    </cfRule>
  </conditionalFormatting>
  <conditionalFormatting sqref="Q137 Q139 Q141">
    <cfRule type="cellIs" dxfId="15834" priority="1004" operator="lessThan">
      <formula>0</formula>
    </cfRule>
  </conditionalFormatting>
  <conditionalFormatting sqref="R137 R139 R141">
    <cfRule type="cellIs" dxfId="15833" priority="1002" operator="lessThan">
      <formula>0.8</formula>
    </cfRule>
    <cfRule type="cellIs" dxfId="15832" priority="1003" operator="greaterThan">
      <formula>1</formula>
    </cfRule>
  </conditionalFormatting>
  <conditionalFormatting sqref="R137 R139 R141">
    <cfRule type="cellIs" dxfId="15831" priority="1000" operator="greaterThan">
      <formula>1</formula>
    </cfRule>
    <cfRule type="cellIs" dxfId="15830" priority="1001" operator="lessThan">
      <formula>0.8</formula>
    </cfRule>
  </conditionalFormatting>
  <conditionalFormatting sqref="Q137 Q139 Q141">
    <cfRule type="cellIs" dxfId="15829" priority="998" operator="lessThan">
      <formula>0</formula>
    </cfRule>
  </conditionalFormatting>
  <conditionalFormatting sqref="R137 R139 R141">
    <cfRule type="cellIs" dxfId="15828" priority="996" operator="lessThan">
      <formula>0.8</formula>
    </cfRule>
    <cfRule type="cellIs" dxfId="15827" priority="997" operator="greaterThan">
      <formula>1</formula>
    </cfRule>
  </conditionalFormatting>
  <conditionalFormatting sqref="R137 R139 R141">
    <cfRule type="cellIs" dxfId="15826" priority="994" operator="greaterThan">
      <formula>1</formula>
    </cfRule>
    <cfRule type="cellIs" dxfId="15825" priority="995" operator="lessThan">
      <formula>0.8</formula>
    </cfRule>
  </conditionalFormatting>
  <conditionalFormatting sqref="P137 P139 P141">
    <cfRule type="cellIs" dxfId="15824" priority="993" operator="greaterThan">
      <formula>0</formula>
    </cfRule>
  </conditionalFormatting>
  <conditionalFormatting sqref="Q137 Q139 Q141">
    <cfRule type="cellIs" dxfId="15823" priority="992" operator="lessThan">
      <formula>0</formula>
    </cfRule>
  </conditionalFormatting>
  <conditionalFormatting sqref="R137 R139 R141">
    <cfRule type="cellIs" dxfId="15822" priority="990" operator="lessThan">
      <formula>0.8</formula>
    </cfRule>
    <cfRule type="cellIs" dxfId="15821" priority="991" operator="greaterThan">
      <formula>1</formula>
    </cfRule>
  </conditionalFormatting>
  <conditionalFormatting sqref="R137 R139 R141">
    <cfRule type="cellIs" dxfId="15820" priority="988" operator="greaterThan">
      <formula>1</formula>
    </cfRule>
    <cfRule type="cellIs" dxfId="15819" priority="989" operator="lessThan">
      <formula>0.8</formula>
    </cfRule>
  </conditionalFormatting>
  <conditionalFormatting sqref="P137 P139 P141">
    <cfRule type="cellIs" dxfId="15818" priority="987" operator="greaterThan">
      <formula>0</formula>
    </cfRule>
  </conditionalFormatting>
  <conditionalFormatting sqref="P137 P139 P141">
    <cfRule type="cellIs" dxfId="15817" priority="981" operator="greaterThan">
      <formula>0</formula>
    </cfRule>
  </conditionalFormatting>
  <conditionalFormatting sqref="Q137 Q139 Q141">
    <cfRule type="cellIs" dxfId="15816" priority="986" operator="lessThan">
      <formula>0</formula>
    </cfRule>
  </conditionalFormatting>
  <conditionalFormatting sqref="R137 R139 R141">
    <cfRule type="cellIs" dxfId="15815" priority="984" operator="lessThan">
      <formula>0.8</formula>
    </cfRule>
    <cfRule type="cellIs" dxfId="15814" priority="985" operator="greaterThan">
      <formula>1</formula>
    </cfRule>
  </conditionalFormatting>
  <conditionalFormatting sqref="R137 R139 R141">
    <cfRule type="cellIs" dxfId="15813" priority="982" operator="greaterThan">
      <formula>1</formula>
    </cfRule>
    <cfRule type="cellIs" dxfId="15812" priority="983" operator="lessThan">
      <formula>0.8</formula>
    </cfRule>
  </conditionalFormatting>
  <conditionalFormatting sqref="Q137 Q139 Q141">
    <cfRule type="cellIs" dxfId="15811" priority="980" operator="lessThan">
      <formula>0</formula>
    </cfRule>
  </conditionalFormatting>
  <conditionalFormatting sqref="R137 R139 R141">
    <cfRule type="cellIs" dxfId="15810" priority="978" operator="lessThan">
      <formula>0.8</formula>
    </cfRule>
    <cfRule type="cellIs" dxfId="15809" priority="979" operator="greaterThan">
      <formula>1</formula>
    </cfRule>
  </conditionalFormatting>
  <conditionalFormatting sqref="R137 R139 R141">
    <cfRule type="cellIs" dxfId="15808" priority="976" operator="greaterThan">
      <formula>1</formula>
    </cfRule>
    <cfRule type="cellIs" dxfId="15807" priority="977" operator="lessThan">
      <formula>0.8</formula>
    </cfRule>
  </conditionalFormatting>
  <conditionalFormatting sqref="P137 P139 P141">
    <cfRule type="cellIs" dxfId="15806" priority="975" operator="greaterThan">
      <formula>0</formula>
    </cfRule>
  </conditionalFormatting>
  <conditionalFormatting sqref="P138 P140 P142:P143">
    <cfRule type="cellIs" dxfId="15805" priority="969" operator="greaterThan">
      <formula>0</formula>
    </cfRule>
  </conditionalFormatting>
  <conditionalFormatting sqref="Q138 Q140 Q142:Q143">
    <cfRule type="cellIs" dxfId="15804" priority="974" operator="lessThan">
      <formula>0</formula>
    </cfRule>
  </conditionalFormatting>
  <conditionalFormatting sqref="R138 R140 R142:R143">
    <cfRule type="cellIs" dxfId="15803" priority="972" operator="lessThan">
      <formula>0.8</formula>
    </cfRule>
    <cfRule type="cellIs" dxfId="15802" priority="973" operator="greaterThan">
      <formula>1</formula>
    </cfRule>
  </conditionalFormatting>
  <conditionalFormatting sqref="R138 R140 R142:R143">
    <cfRule type="cellIs" dxfId="15801" priority="970" operator="greaterThan">
      <formula>1</formula>
    </cfRule>
    <cfRule type="cellIs" dxfId="15800" priority="971" operator="lessThan">
      <formula>0.8</formula>
    </cfRule>
  </conditionalFormatting>
  <conditionalFormatting sqref="Q138 Q140 Q142:Q143">
    <cfRule type="cellIs" dxfId="15799" priority="968" operator="lessThan">
      <formula>0</formula>
    </cfRule>
  </conditionalFormatting>
  <conditionalFormatting sqref="R138 R140 R142:R143">
    <cfRule type="cellIs" dxfId="15798" priority="966" operator="lessThan">
      <formula>0.8</formula>
    </cfRule>
    <cfRule type="cellIs" dxfId="15797" priority="967" operator="greaterThan">
      <formula>1</formula>
    </cfRule>
  </conditionalFormatting>
  <conditionalFormatting sqref="R138 R140 R142:R143">
    <cfRule type="cellIs" dxfId="15796" priority="964" operator="greaterThan">
      <formula>1</formula>
    </cfRule>
    <cfRule type="cellIs" dxfId="15795" priority="965" operator="lessThan">
      <formula>0.8</formula>
    </cfRule>
  </conditionalFormatting>
  <conditionalFormatting sqref="P138 P140 P142:P143">
    <cfRule type="cellIs" dxfId="15794" priority="963" operator="greaterThan">
      <formula>0</formula>
    </cfRule>
  </conditionalFormatting>
  <conditionalFormatting sqref="Q138 Q140 Q142:Q143">
    <cfRule type="cellIs" dxfId="15793" priority="962" operator="lessThan">
      <formula>0</formula>
    </cfRule>
  </conditionalFormatting>
  <conditionalFormatting sqref="R138 R140 R142:R143">
    <cfRule type="cellIs" dxfId="15792" priority="960" operator="lessThan">
      <formula>0.8</formula>
    </cfRule>
    <cfRule type="cellIs" dxfId="15791" priority="961" operator="greaterThan">
      <formula>1</formula>
    </cfRule>
  </conditionalFormatting>
  <conditionalFormatting sqref="R138 R140 R142:R143">
    <cfRule type="cellIs" dxfId="15790" priority="958" operator="greaterThan">
      <formula>1</formula>
    </cfRule>
    <cfRule type="cellIs" dxfId="15789" priority="959" operator="lessThan">
      <formula>0.8</formula>
    </cfRule>
  </conditionalFormatting>
  <conditionalFormatting sqref="P138 P140 P142:P143">
    <cfRule type="cellIs" dxfId="15788" priority="957" operator="greaterThan">
      <formula>0</formula>
    </cfRule>
  </conditionalFormatting>
  <conditionalFormatting sqref="Q138 Q140 Q142:Q143">
    <cfRule type="cellIs" dxfId="15787" priority="956" operator="lessThan">
      <formula>0</formula>
    </cfRule>
  </conditionalFormatting>
  <conditionalFormatting sqref="R138 R140 R142:R143">
    <cfRule type="cellIs" dxfId="15786" priority="954" operator="lessThan">
      <formula>0.8</formula>
    </cfRule>
    <cfRule type="cellIs" dxfId="15785" priority="955" operator="greaterThan">
      <formula>1</formula>
    </cfRule>
  </conditionalFormatting>
  <conditionalFormatting sqref="R138 R140 R142:R143">
    <cfRule type="cellIs" dxfId="15784" priority="952" operator="greaterThan">
      <formula>1</formula>
    </cfRule>
    <cfRule type="cellIs" dxfId="15783" priority="953" operator="lessThan">
      <formula>0.8</formula>
    </cfRule>
  </conditionalFormatting>
  <conditionalFormatting sqref="P138 P140 P142:P143">
    <cfRule type="cellIs" dxfId="15782" priority="951" operator="greaterThan">
      <formula>0</formula>
    </cfRule>
  </conditionalFormatting>
  <conditionalFormatting sqref="Q138 Q140 Q142:Q143">
    <cfRule type="cellIs" dxfId="15781" priority="950" operator="lessThan">
      <formula>0</formula>
    </cfRule>
  </conditionalFormatting>
  <conditionalFormatting sqref="R138 R140 R142:R143">
    <cfRule type="cellIs" dxfId="15780" priority="948" operator="lessThan">
      <formula>0.8</formula>
    </cfRule>
    <cfRule type="cellIs" dxfId="15779" priority="949" operator="greaterThan">
      <formula>1</formula>
    </cfRule>
  </conditionalFormatting>
  <conditionalFormatting sqref="R138 R140 R142:R143">
    <cfRule type="cellIs" dxfId="15778" priority="946" operator="greaterThan">
      <formula>1</formula>
    </cfRule>
    <cfRule type="cellIs" dxfId="15777" priority="947" operator="lessThan">
      <formula>0.8</formula>
    </cfRule>
  </conditionalFormatting>
  <conditionalFormatting sqref="Q138 Q140 Q142:Q143">
    <cfRule type="cellIs" dxfId="15776" priority="945" operator="lessThan">
      <formula>0</formula>
    </cfRule>
  </conditionalFormatting>
  <conditionalFormatting sqref="R138 R140 R142:R143">
    <cfRule type="cellIs" dxfId="15775" priority="943" operator="lessThan">
      <formula>0.8</formula>
    </cfRule>
    <cfRule type="cellIs" dxfId="15774" priority="944" operator="greaterThan">
      <formula>1</formula>
    </cfRule>
  </conditionalFormatting>
  <conditionalFormatting sqref="R138 R140 R142:R143">
    <cfRule type="cellIs" dxfId="15773" priority="941" operator="greaterThan">
      <formula>1</formula>
    </cfRule>
    <cfRule type="cellIs" dxfId="15772" priority="942" operator="lessThan">
      <formula>0.8</formula>
    </cfRule>
  </conditionalFormatting>
  <conditionalFormatting sqref="P138 P140 P142:P143">
    <cfRule type="cellIs" dxfId="15771" priority="940" operator="greaterThan">
      <formula>0</formula>
    </cfRule>
  </conditionalFormatting>
  <conditionalFormatting sqref="P138 P140 P142:P143">
    <cfRule type="cellIs" dxfId="15770" priority="934" operator="greaterThan">
      <formula>0</formula>
    </cfRule>
  </conditionalFormatting>
  <conditionalFormatting sqref="Q138 Q140 Q142:Q143">
    <cfRule type="cellIs" dxfId="15769" priority="939" operator="lessThan">
      <formula>0</formula>
    </cfRule>
  </conditionalFormatting>
  <conditionalFormatting sqref="R138 R140 R142:R143">
    <cfRule type="cellIs" dxfId="15768" priority="937" operator="lessThan">
      <formula>0.8</formula>
    </cfRule>
    <cfRule type="cellIs" dxfId="15767" priority="938" operator="greaterThan">
      <formula>1</formula>
    </cfRule>
  </conditionalFormatting>
  <conditionalFormatting sqref="R138 R140 R142:R143">
    <cfRule type="cellIs" dxfId="15766" priority="935" operator="greaterThan">
      <formula>1</formula>
    </cfRule>
    <cfRule type="cellIs" dxfId="15765" priority="936" operator="lessThan">
      <formula>0.8</formula>
    </cfRule>
  </conditionalFormatting>
  <conditionalFormatting sqref="Q138 Q140 Q142:Q143">
    <cfRule type="cellIs" dxfId="15764" priority="933" operator="lessThan">
      <formula>0</formula>
    </cfRule>
  </conditionalFormatting>
  <conditionalFormatting sqref="R138 R140 R142:R143">
    <cfRule type="cellIs" dxfId="15763" priority="931" operator="lessThan">
      <formula>0.8</formula>
    </cfRule>
    <cfRule type="cellIs" dxfId="15762" priority="932" operator="greaterThan">
      <formula>1</formula>
    </cfRule>
  </conditionalFormatting>
  <conditionalFormatting sqref="R138 R140 R142:R143">
    <cfRule type="cellIs" dxfId="15761" priority="929" operator="greaterThan">
      <formula>1</formula>
    </cfRule>
    <cfRule type="cellIs" dxfId="15760" priority="930" operator="lessThan">
      <formula>0.8</formula>
    </cfRule>
  </conditionalFormatting>
  <conditionalFormatting sqref="P138 P140 P142:P143">
    <cfRule type="cellIs" dxfId="15759" priority="928" operator="greaterThan">
      <formula>0</formula>
    </cfRule>
  </conditionalFormatting>
  <conditionalFormatting sqref="Q148:Q153">
    <cfRule type="cellIs" dxfId="15758" priority="927" operator="lessThan">
      <formula>0</formula>
    </cfRule>
  </conditionalFormatting>
  <conditionalFormatting sqref="R148:R153">
    <cfRule type="cellIs" dxfId="15757" priority="925" operator="lessThan">
      <formula>0.8</formula>
    </cfRule>
    <cfRule type="cellIs" dxfId="15756" priority="926" operator="greaterThan">
      <formula>1</formula>
    </cfRule>
  </conditionalFormatting>
  <conditionalFormatting sqref="R148:R153">
    <cfRule type="cellIs" dxfId="15755" priority="923" operator="greaterThan">
      <formula>1</formula>
    </cfRule>
    <cfRule type="cellIs" dxfId="15754" priority="924" operator="lessThan">
      <formula>0.8</formula>
    </cfRule>
  </conditionalFormatting>
  <conditionalFormatting sqref="P148:P153">
    <cfRule type="cellIs" dxfId="15753" priority="922" operator="greaterThan">
      <formula>0</formula>
    </cfRule>
  </conditionalFormatting>
  <conditionalFormatting sqref="P148:P153">
    <cfRule type="cellIs" dxfId="15752" priority="916" operator="greaterThan">
      <formula>0</formula>
    </cfRule>
  </conditionalFormatting>
  <conditionalFormatting sqref="Q148:Q153">
    <cfRule type="cellIs" dxfId="15751" priority="921" operator="lessThan">
      <formula>0</formula>
    </cfRule>
  </conditionalFormatting>
  <conditionalFormatting sqref="R148:R153">
    <cfRule type="cellIs" dxfId="15750" priority="919" operator="lessThan">
      <formula>0.8</formula>
    </cfRule>
    <cfRule type="cellIs" dxfId="15749" priority="920" operator="greaterThan">
      <formula>1</formula>
    </cfRule>
  </conditionalFormatting>
  <conditionalFormatting sqref="R148:R153">
    <cfRule type="cellIs" dxfId="15748" priority="917" operator="greaterThan">
      <formula>1</formula>
    </cfRule>
    <cfRule type="cellIs" dxfId="15747" priority="918" operator="lessThan">
      <formula>0.8</formula>
    </cfRule>
  </conditionalFormatting>
  <conditionalFormatting sqref="Q148:Q153">
    <cfRule type="cellIs" dxfId="15746" priority="915" operator="lessThan">
      <formula>0</formula>
    </cfRule>
  </conditionalFormatting>
  <conditionalFormatting sqref="R148:R153">
    <cfRule type="cellIs" dxfId="15745" priority="913" operator="lessThan">
      <formula>0.8</formula>
    </cfRule>
    <cfRule type="cellIs" dxfId="15744" priority="914" operator="greaterThan">
      <formula>1</formula>
    </cfRule>
  </conditionalFormatting>
  <conditionalFormatting sqref="R148:R153">
    <cfRule type="cellIs" dxfId="15743" priority="911" operator="greaterThan">
      <formula>1</formula>
    </cfRule>
    <cfRule type="cellIs" dxfId="15742" priority="912" operator="lessThan">
      <formula>0.8</formula>
    </cfRule>
  </conditionalFormatting>
  <conditionalFormatting sqref="P148:P153">
    <cfRule type="cellIs" dxfId="15741" priority="910" operator="greaterThan">
      <formula>0</formula>
    </cfRule>
  </conditionalFormatting>
  <conditionalFormatting sqref="Q148:Q153">
    <cfRule type="cellIs" dxfId="15740" priority="909" operator="lessThan">
      <formula>0</formula>
    </cfRule>
  </conditionalFormatting>
  <conditionalFormatting sqref="R148:R153">
    <cfRule type="cellIs" dxfId="15739" priority="907" operator="lessThan">
      <formula>0.8</formula>
    </cfRule>
    <cfRule type="cellIs" dxfId="15738" priority="908" operator="greaterThan">
      <formula>1</formula>
    </cfRule>
  </conditionalFormatting>
  <conditionalFormatting sqref="R148:R153">
    <cfRule type="cellIs" dxfId="15737" priority="905" operator="greaterThan">
      <formula>1</formula>
    </cfRule>
    <cfRule type="cellIs" dxfId="15736" priority="906" operator="lessThan">
      <formula>0.8</formula>
    </cfRule>
  </conditionalFormatting>
  <conditionalFormatting sqref="P148:P153">
    <cfRule type="cellIs" dxfId="15735" priority="904" operator="greaterThan">
      <formula>0</formula>
    </cfRule>
  </conditionalFormatting>
  <conditionalFormatting sqref="P148:P153">
    <cfRule type="cellIs" dxfId="15734" priority="898" operator="greaterThan">
      <formula>0</formula>
    </cfRule>
  </conditionalFormatting>
  <conditionalFormatting sqref="Q148:Q153">
    <cfRule type="cellIs" dxfId="15733" priority="903" operator="lessThan">
      <formula>0</formula>
    </cfRule>
  </conditionalFormatting>
  <conditionalFormatting sqref="R148:R153">
    <cfRule type="cellIs" dxfId="15732" priority="901" operator="lessThan">
      <formula>0.8</formula>
    </cfRule>
    <cfRule type="cellIs" dxfId="15731" priority="902" operator="greaterThan">
      <formula>1</formula>
    </cfRule>
  </conditionalFormatting>
  <conditionalFormatting sqref="R148:R153">
    <cfRule type="cellIs" dxfId="15730" priority="899" operator="greaterThan">
      <formula>1</formula>
    </cfRule>
    <cfRule type="cellIs" dxfId="15729" priority="900" operator="lessThan">
      <formula>0.8</formula>
    </cfRule>
  </conditionalFormatting>
  <conditionalFormatting sqref="Q148:Q153">
    <cfRule type="cellIs" dxfId="15728" priority="897" operator="lessThan">
      <formula>0</formula>
    </cfRule>
  </conditionalFormatting>
  <conditionalFormatting sqref="R148:R153">
    <cfRule type="cellIs" dxfId="15727" priority="895" operator="lessThan">
      <formula>0.8</formula>
    </cfRule>
    <cfRule type="cellIs" dxfId="15726" priority="896" operator="greaterThan">
      <formula>1</formula>
    </cfRule>
  </conditionalFormatting>
  <conditionalFormatting sqref="R148:R153">
    <cfRule type="cellIs" dxfId="15725" priority="893" operator="greaterThan">
      <formula>1</formula>
    </cfRule>
    <cfRule type="cellIs" dxfId="15724" priority="894" operator="lessThan">
      <formula>0.8</formula>
    </cfRule>
  </conditionalFormatting>
  <conditionalFormatting sqref="P148:P153">
    <cfRule type="cellIs" dxfId="15723" priority="892" operator="greaterThan">
      <formula>0</formula>
    </cfRule>
  </conditionalFormatting>
  <conditionalFormatting sqref="Q148:Q153">
    <cfRule type="cellIs" dxfId="15722" priority="886" operator="lessThan">
      <formula>0</formula>
    </cfRule>
  </conditionalFormatting>
  <conditionalFormatting sqref="P148:P153">
    <cfRule type="cellIs" dxfId="15721" priority="887" operator="greaterThan">
      <formula>0</formula>
    </cfRule>
  </conditionalFormatting>
  <conditionalFormatting sqref="R148:R153">
    <cfRule type="cellIs" dxfId="15720" priority="890" operator="lessThan">
      <formula>0.8</formula>
    </cfRule>
    <cfRule type="cellIs" dxfId="15719" priority="891" operator="greaterThan">
      <formula>1</formula>
    </cfRule>
  </conditionalFormatting>
  <conditionalFormatting sqref="R148:R153">
    <cfRule type="cellIs" dxfId="15718" priority="888" operator="greaterThan">
      <formula>1</formula>
    </cfRule>
    <cfRule type="cellIs" dxfId="15717" priority="889" operator="lessThan">
      <formula>0.8</formula>
    </cfRule>
  </conditionalFormatting>
  <conditionalFormatting sqref="Q148:Q153">
    <cfRule type="cellIs" dxfId="15716" priority="880" operator="lessThan">
      <formula>0</formula>
    </cfRule>
  </conditionalFormatting>
  <conditionalFormatting sqref="R148:R153">
    <cfRule type="cellIs" dxfId="15715" priority="884" operator="lessThan">
      <formula>0.8</formula>
    </cfRule>
    <cfRule type="cellIs" dxfId="15714" priority="885" operator="greaterThan">
      <formula>1</formula>
    </cfRule>
  </conditionalFormatting>
  <conditionalFormatting sqref="R148:R153">
    <cfRule type="cellIs" dxfId="15713" priority="882" operator="greaterThan">
      <formula>1</formula>
    </cfRule>
    <cfRule type="cellIs" dxfId="15712" priority="883" operator="lessThan">
      <formula>0.8</formula>
    </cfRule>
  </conditionalFormatting>
  <conditionalFormatting sqref="P148:P153">
    <cfRule type="cellIs" dxfId="15711" priority="881" operator="greaterThan">
      <formula>0</formula>
    </cfRule>
  </conditionalFormatting>
  <conditionalFormatting sqref="Q148:Q153">
    <cfRule type="cellIs" dxfId="15710" priority="879" operator="lessThan">
      <formula>0</formula>
    </cfRule>
  </conditionalFormatting>
  <conditionalFormatting sqref="R148:R153">
    <cfRule type="cellIs" dxfId="15709" priority="877" operator="lessThan">
      <formula>0.8</formula>
    </cfRule>
    <cfRule type="cellIs" dxfId="15708" priority="878" operator="greaterThan">
      <formula>1</formula>
    </cfRule>
  </conditionalFormatting>
  <conditionalFormatting sqref="R148:R153">
    <cfRule type="cellIs" dxfId="15707" priority="875" operator="greaterThan">
      <formula>1</formula>
    </cfRule>
    <cfRule type="cellIs" dxfId="15706" priority="876" operator="lessThan">
      <formula>0.8</formula>
    </cfRule>
  </conditionalFormatting>
  <conditionalFormatting sqref="P148:P153">
    <cfRule type="cellIs" dxfId="15705" priority="874" operator="greaterThan">
      <formula>0</formula>
    </cfRule>
  </conditionalFormatting>
  <conditionalFormatting sqref="Q148:Q153">
    <cfRule type="cellIs" dxfId="15704" priority="873" operator="lessThan">
      <formula>0</formula>
    </cfRule>
  </conditionalFormatting>
  <conditionalFormatting sqref="R148:R153">
    <cfRule type="cellIs" dxfId="15703" priority="871" operator="lessThan">
      <formula>0.8</formula>
    </cfRule>
    <cfRule type="cellIs" dxfId="15702" priority="872" operator="greaterThan">
      <formula>1</formula>
    </cfRule>
  </conditionalFormatting>
  <conditionalFormatting sqref="R148:R153">
    <cfRule type="cellIs" dxfId="15701" priority="869" operator="greaterThan">
      <formula>1</formula>
    </cfRule>
    <cfRule type="cellIs" dxfId="15700" priority="870" operator="lessThan">
      <formula>0.8</formula>
    </cfRule>
  </conditionalFormatting>
  <conditionalFormatting sqref="P148:P153">
    <cfRule type="cellIs" dxfId="15699" priority="868" operator="greaterThan">
      <formula>0</formula>
    </cfRule>
  </conditionalFormatting>
  <conditionalFormatting sqref="Q148:Q153">
    <cfRule type="cellIs" dxfId="15698" priority="867" operator="lessThan">
      <formula>0</formula>
    </cfRule>
  </conditionalFormatting>
  <conditionalFormatting sqref="R148:R153">
    <cfRule type="cellIs" dxfId="15697" priority="865" operator="lessThan">
      <formula>0.8</formula>
    </cfRule>
    <cfRule type="cellIs" dxfId="15696" priority="866" operator="greaterThan">
      <formula>1</formula>
    </cfRule>
  </conditionalFormatting>
  <conditionalFormatting sqref="R148:R153">
    <cfRule type="cellIs" dxfId="15695" priority="863" operator="greaterThan">
      <formula>1</formula>
    </cfRule>
    <cfRule type="cellIs" dxfId="15694" priority="864" operator="lessThan">
      <formula>0.8</formula>
    </cfRule>
  </conditionalFormatting>
  <conditionalFormatting sqref="P148:P153">
    <cfRule type="cellIs" dxfId="15693" priority="862" operator="greaterThan">
      <formula>0</formula>
    </cfRule>
  </conditionalFormatting>
  <conditionalFormatting sqref="Q148:Q153">
    <cfRule type="cellIs" dxfId="15692" priority="861" operator="lessThan">
      <formula>0</formula>
    </cfRule>
  </conditionalFormatting>
  <conditionalFormatting sqref="R148:R153">
    <cfRule type="cellIs" dxfId="15691" priority="859" operator="lessThan">
      <formula>0.8</formula>
    </cfRule>
    <cfRule type="cellIs" dxfId="15690" priority="860" operator="greaterThan">
      <formula>1</formula>
    </cfRule>
  </conditionalFormatting>
  <conditionalFormatting sqref="R148:R153">
    <cfRule type="cellIs" dxfId="15689" priority="857" operator="greaterThan">
      <formula>1</formula>
    </cfRule>
    <cfRule type="cellIs" dxfId="15688" priority="858" operator="lessThan">
      <formula>0.8</formula>
    </cfRule>
  </conditionalFormatting>
  <conditionalFormatting sqref="P148:P153">
    <cfRule type="cellIs" dxfId="15687" priority="856" operator="greaterThan">
      <formula>0</formula>
    </cfRule>
  </conditionalFormatting>
  <conditionalFormatting sqref="Q148:Q153">
    <cfRule type="cellIs" dxfId="15686" priority="855" operator="lessThan">
      <formula>0</formula>
    </cfRule>
  </conditionalFormatting>
  <conditionalFormatting sqref="R148:R153">
    <cfRule type="cellIs" dxfId="15685" priority="853" operator="lessThan">
      <formula>0.8</formula>
    </cfRule>
    <cfRule type="cellIs" dxfId="15684" priority="854" operator="greaterThan">
      <formula>1</formula>
    </cfRule>
  </conditionalFormatting>
  <conditionalFormatting sqref="R148:R153">
    <cfRule type="cellIs" dxfId="15683" priority="851" operator="greaterThan">
      <formula>1</formula>
    </cfRule>
    <cfRule type="cellIs" dxfId="15682" priority="852" operator="lessThan">
      <formula>0.8</formula>
    </cfRule>
  </conditionalFormatting>
  <conditionalFormatting sqref="P148:P153">
    <cfRule type="cellIs" dxfId="15681" priority="850" operator="greaterThan">
      <formula>0</formula>
    </cfRule>
  </conditionalFormatting>
  <conditionalFormatting sqref="Q148:Q153">
    <cfRule type="cellIs" dxfId="15680" priority="849" operator="lessThan">
      <formula>0</formula>
    </cfRule>
  </conditionalFormatting>
  <conditionalFormatting sqref="R148:R153">
    <cfRule type="cellIs" dxfId="15679" priority="847" operator="lessThan">
      <formula>0.8</formula>
    </cfRule>
    <cfRule type="cellIs" dxfId="15678" priority="848" operator="greaterThan">
      <formula>1</formula>
    </cfRule>
  </conditionalFormatting>
  <conditionalFormatting sqref="R148:R153">
    <cfRule type="cellIs" dxfId="15677" priority="845" operator="greaterThan">
      <formula>1</formula>
    </cfRule>
    <cfRule type="cellIs" dxfId="15676" priority="846" operator="lessThan">
      <formula>0.8</formula>
    </cfRule>
  </conditionalFormatting>
  <conditionalFormatting sqref="P148:P153">
    <cfRule type="cellIs" dxfId="15675" priority="844" operator="greaterThan">
      <formula>0</formula>
    </cfRule>
  </conditionalFormatting>
  <conditionalFormatting sqref="Q148:Q153">
    <cfRule type="cellIs" dxfId="15674" priority="843" operator="lessThan">
      <formula>0</formula>
    </cfRule>
  </conditionalFormatting>
  <conditionalFormatting sqref="R148:R153">
    <cfRule type="cellIs" dxfId="15673" priority="841" operator="lessThan">
      <formula>0.8</formula>
    </cfRule>
    <cfRule type="cellIs" dxfId="15672" priority="842" operator="greaterThan">
      <formula>1</formula>
    </cfRule>
  </conditionalFormatting>
  <conditionalFormatting sqref="R148:R153">
    <cfRule type="cellIs" dxfId="15671" priority="839" operator="greaterThan">
      <formula>1</formula>
    </cfRule>
    <cfRule type="cellIs" dxfId="15670" priority="840" operator="lessThan">
      <formula>0.8</formula>
    </cfRule>
  </conditionalFormatting>
  <conditionalFormatting sqref="P148:P153">
    <cfRule type="cellIs" dxfId="15669" priority="838" operator="greaterThan">
      <formula>0</formula>
    </cfRule>
  </conditionalFormatting>
  <conditionalFormatting sqref="P148:P153">
    <cfRule type="cellIs" dxfId="15668" priority="832" operator="greaterThan">
      <formula>0</formula>
    </cfRule>
  </conditionalFormatting>
  <conditionalFormatting sqref="Q148:Q153">
    <cfRule type="cellIs" dxfId="15667" priority="837" operator="lessThan">
      <formula>0</formula>
    </cfRule>
  </conditionalFormatting>
  <conditionalFormatting sqref="R148:R153">
    <cfRule type="cellIs" dxfId="15666" priority="835" operator="lessThan">
      <formula>0.8</formula>
    </cfRule>
    <cfRule type="cellIs" dxfId="15665" priority="836" operator="greaterThan">
      <formula>1</formula>
    </cfRule>
  </conditionalFormatting>
  <conditionalFormatting sqref="R148:R153">
    <cfRule type="cellIs" dxfId="15664" priority="833" operator="greaterThan">
      <formula>1</formula>
    </cfRule>
    <cfRule type="cellIs" dxfId="15663" priority="834" operator="lessThan">
      <formula>0.8</formula>
    </cfRule>
  </conditionalFormatting>
  <conditionalFormatting sqref="P148:P153">
    <cfRule type="cellIs" dxfId="15662" priority="826" operator="greaterThan">
      <formula>0</formula>
    </cfRule>
  </conditionalFormatting>
  <conditionalFormatting sqref="Q148:Q153">
    <cfRule type="cellIs" dxfId="15661" priority="831" operator="lessThan">
      <formula>0</formula>
    </cfRule>
  </conditionalFormatting>
  <conditionalFormatting sqref="R148:R153">
    <cfRule type="cellIs" dxfId="15660" priority="829" operator="lessThan">
      <formula>0.8</formula>
    </cfRule>
    <cfRule type="cellIs" dxfId="15659" priority="830" operator="greaterThan">
      <formula>1</formula>
    </cfRule>
  </conditionalFormatting>
  <conditionalFormatting sqref="R148:R153">
    <cfRule type="cellIs" dxfId="15658" priority="827" operator="greaterThan">
      <formula>1</formula>
    </cfRule>
    <cfRule type="cellIs" dxfId="15657" priority="828" operator="lessThan">
      <formula>0.8</formula>
    </cfRule>
  </conditionalFormatting>
  <conditionalFormatting sqref="R148:R153">
    <cfRule type="cellIs" dxfId="15656" priority="823" operator="lessThan">
      <formula>0.8</formula>
    </cfRule>
    <cfRule type="cellIs" dxfId="15655" priority="824" operator="greaterThan">
      <formula>1</formula>
    </cfRule>
  </conditionalFormatting>
  <conditionalFormatting sqref="R148:R153">
    <cfRule type="cellIs" dxfId="15654" priority="821" operator="greaterThan">
      <formula>1</formula>
    </cfRule>
    <cfRule type="cellIs" dxfId="15653" priority="822" operator="lessThan">
      <formula>0.8</formula>
    </cfRule>
  </conditionalFormatting>
  <conditionalFormatting sqref="P148:P153">
    <cfRule type="cellIs" dxfId="15652" priority="820" operator="greaterThan">
      <formula>0</formula>
    </cfRule>
  </conditionalFormatting>
  <conditionalFormatting sqref="Q148:Q153">
    <cfRule type="cellIs" dxfId="15651" priority="825" operator="lessThan">
      <formula>0</formula>
    </cfRule>
  </conditionalFormatting>
  <conditionalFormatting sqref="Q148:Q153">
    <cfRule type="cellIs" dxfId="15650" priority="819" operator="lessThan">
      <formula>0</formula>
    </cfRule>
  </conditionalFormatting>
  <conditionalFormatting sqref="R148:R153">
    <cfRule type="cellIs" dxfId="15649" priority="817" operator="lessThan">
      <formula>0.8</formula>
    </cfRule>
    <cfRule type="cellIs" dxfId="15648" priority="818" operator="greaterThan">
      <formula>1</formula>
    </cfRule>
  </conditionalFormatting>
  <conditionalFormatting sqref="R148:R153">
    <cfRule type="cellIs" dxfId="15647" priority="815" operator="greaterThan">
      <formula>1</formula>
    </cfRule>
    <cfRule type="cellIs" dxfId="15646" priority="816" operator="lessThan">
      <formula>0.8</formula>
    </cfRule>
  </conditionalFormatting>
  <conditionalFormatting sqref="P148:P153">
    <cfRule type="cellIs" dxfId="15645" priority="814" operator="greaterThan">
      <formula>0</formula>
    </cfRule>
  </conditionalFormatting>
  <conditionalFormatting sqref="P148:P153">
    <cfRule type="cellIs" dxfId="15644" priority="808" operator="greaterThan">
      <formula>0</formula>
    </cfRule>
  </conditionalFormatting>
  <conditionalFormatting sqref="Q148:Q153">
    <cfRule type="cellIs" dxfId="15643" priority="813" operator="lessThan">
      <formula>0</formula>
    </cfRule>
  </conditionalFormatting>
  <conditionalFormatting sqref="R148:R153">
    <cfRule type="cellIs" dxfId="15642" priority="811" operator="lessThan">
      <formula>0.8</formula>
    </cfRule>
    <cfRule type="cellIs" dxfId="15641" priority="812" operator="greaterThan">
      <formula>1</formula>
    </cfRule>
  </conditionalFormatting>
  <conditionalFormatting sqref="R148:R153">
    <cfRule type="cellIs" dxfId="15640" priority="809" operator="greaterThan">
      <formula>1</formula>
    </cfRule>
    <cfRule type="cellIs" dxfId="15639" priority="810" operator="lessThan">
      <formula>0.8</formula>
    </cfRule>
  </conditionalFormatting>
  <conditionalFormatting sqref="P148:P153">
    <cfRule type="cellIs" dxfId="15638" priority="802" operator="greaterThan">
      <formula>0</formula>
    </cfRule>
  </conditionalFormatting>
  <conditionalFormatting sqref="Q148:Q153">
    <cfRule type="cellIs" dxfId="15637" priority="807" operator="lessThan">
      <formula>0</formula>
    </cfRule>
  </conditionalFormatting>
  <conditionalFormatting sqref="R148:R153">
    <cfRule type="cellIs" dxfId="15636" priority="805" operator="lessThan">
      <formula>0.8</formula>
    </cfRule>
    <cfRule type="cellIs" dxfId="15635" priority="806" operator="greaterThan">
      <formula>1</formula>
    </cfRule>
  </conditionalFormatting>
  <conditionalFormatting sqref="R148:R153">
    <cfRule type="cellIs" dxfId="15634" priority="803" operator="greaterThan">
      <formula>1</formula>
    </cfRule>
    <cfRule type="cellIs" dxfId="15633" priority="804" operator="lessThan">
      <formula>0.8</formula>
    </cfRule>
  </conditionalFormatting>
  <conditionalFormatting sqref="R148:R153">
    <cfRule type="cellIs" dxfId="15632" priority="799" operator="lessThan">
      <formula>0.8</formula>
    </cfRule>
    <cfRule type="cellIs" dxfId="15631" priority="800" operator="greaterThan">
      <formula>1</formula>
    </cfRule>
  </conditionalFormatting>
  <conditionalFormatting sqref="R148:R153">
    <cfRule type="cellIs" dxfId="15630" priority="797" operator="greaterThan">
      <formula>1</formula>
    </cfRule>
    <cfRule type="cellIs" dxfId="15629" priority="798" operator="lessThan">
      <formula>0.8</formula>
    </cfRule>
  </conditionalFormatting>
  <conditionalFormatting sqref="P148:P153">
    <cfRule type="cellIs" dxfId="15628" priority="796" operator="greaterThan">
      <formula>0</formula>
    </cfRule>
  </conditionalFormatting>
  <conditionalFormatting sqref="Q148:Q153">
    <cfRule type="cellIs" dxfId="15627" priority="801" operator="lessThan">
      <formula>0</formula>
    </cfRule>
  </conditionalFormatting>
  <conditionalFormatting sqref="P148:P153">
    <cfRule type="cellIs" dxfId="15626" priority="790" operator="greaterThan">
      <formula>0</formula>
    </cfRule>
  </conditionalFormatting>
  <conditionalFormatting sqref="Q148:Q153">
    <cfRule type="cellIs" dxfId="15625" priority="795" operator="lessThan">
      <formula>0</formula>
    </cfRule>
  </conditionalFormatting>
  <conditionalFormatting sqref="R148:R153">
    <cfRule type="cellIs" dxfId="15624" priority="793" operator="lessThan">
      <formula>0.8</formula>
    </cfRule>
    <cfRule type="cellIs" dxfId="15623" priority="794" operator="greaterThan">
      <formula>1</formula>
    </cfRule>
  </conditionalFormatting>
  <conditionalFormatting sqref="R148:R153">
    <cfRule type="cellIs" dxfId="15622" priority="791" operator="greaterThan">
      <formula>1</formula>
    </cfRule>
    <cfRule type="cellIs" dxfId="15621" priority="792" operator="lessThan">
      <formula>0.8</formula>
    </cfRule>
  </conditionalFormatting>
  <conditionalFormatting sqref="R148:R153">
    <cfRule type="cellIs" dxfId="15620" priority="787" operator="lessThan">
      <formula>0.8</formula>
    </cfRule>
    <cfRule type="cellIs" dxfId="15619" priority="788" operator="greaterThan">
      <formula>1</formula>
    </cfRule>
  </conditionalFormatting>
  <conditionalFormatting sqref="R148:R153">
    <cfRule type="cellIs" dxfId="15618" priority="785" operator="greaterThan">
      <formula>1</formula>
    </cfRule>
    <cfRule type="cellIs" dxfId="15617" priority="786" operator="lessThan">
      <formula>0.8</formula>
    </cfRule>
  </conditionalFormatting>
  <conditionalFormatting sqref="P148:P153">
    <cfRule type="cellIs" dxfId="15616" priority="784" operator="greaterThan">
      <formula>0</formula>
    </cfRule>
  </conditionalFormatting>
  <conditionalFormatting sqref="Q148:Q153">
    <cfRule type="cellIs" dxfId="15615" priority="789" operator="lessThan">
      <formula>0</formula>
    </cfRule>
  </conditionalFormatting>
  <conditionalFormatting sqref="R148:R153">
    <cfRule type="cellIs" dxfId="15614" priority="781" operator="lessThan">
      <formula>0.8</formula>
    </cfRule>
    <cfRule type="cellIs" dxfId="15613" priority="782" operator="greaterThan">
      <formula>1</formula>
    </cfRule>
  </conditionalFormatting>
  <conditionalFormatting sqref="R148:R153">
    <cfRule type="cellIs" dxfId="15612" priority="779" operator="greaterThan">
      <formula>1</formula>
    </cfRule>
    <cfRule type="cellIs" dxfId="15611" priority="780" operator="lessThan">
      <formula>0.8</formula>
    </cfRule>
  </conditionalFormatting>
  <conditionalFormatting sqref="P148:P153">
    <cfRule type="cellIs" dxfId="15610" priority="778" operator="greaterThan">
      <formula>0</formula>
    </cfRule>
  </conditionalFormatting>
  <conditionalFormatting sqref="Q148:Q153">
    <cfRule type="cellIs" dxfId="15609" priority="783" operator="lessThan">
      <formula>0</formula>
    </cfRule>
  </conditionalFormatting>
  <conditionalFormatting sqref="Q148:Q153">
    <cfRule type="cellIs" dxfId="15608" priority="777" operator="lessThan">
      <formula>0</formula>
    </cfRule>
  </conditionalFormatting>
  <conditionalFormatting sqref="R148:R153">
    <cfRule type="cellIs" dxfId="15607" priority="775" operator="lessThan">
      <formula>0.8</formula>
    </cfRule>
    <cfRule type="cellIs" dxfId="15606" priority="776" operator="greaterThan">
      <formula>1</formula>
    </cfRule>
  </conditionalFormatting>
  <conditionalFormatting sqref="R148:R153">
    <cfRule type="cellIs" dxfId="15605" priority="773" operator="greaterThan">
      <formula>1</formula>
    </cfRule>
    <cfRule type="cellIs" dxfId="15604" priority="774" operator="lessThan">
      <formula>0.8</formula>
    </cfRule>
  </conditionalFormatting>
  <conditionalFormatting sqref="P148:P153">
    <cfRule type="cellIs" dxfId="15603" priority="772" operator="greaterThan">
      <formula>0</formula>
    </cfRule>
  </conditionalFormatting>
  <conditionalFormatting sqref="Q148:Q153">
    <cfRule type="cellIs" dxfId="15602" priority="766" operator="lessThan">
      <formula>0</formula>
    </cfRule>
  </conditionalFormatting>
  <conditionalFormatting sqref="R148:R153">
    <cfRule type="cellIs" dxfId="15601" priority="770" operator="lessThan">
      <formula>0.8</formula>
    </cfRule>
    <cfRule type="cellIs" dxfId="15600" priority="771" operator="greaterThan">
      <formula>1</formula>
    </cfRule>
  </conditionalFormatting>
  <conditionalFormatting sqref="R148:R153">
    <cfRule type="cellIs" dxfId="15599" priority="768" operator="greaterThan">
      <formula>1</formula>
    </cfRule>
    <cfRule type="cellIs" dxfId="15598" priority="769" operator="lessThan">
      <formula>0.8</formula>
    </cfRule>
  </conditionalFormatting>
  <conditionalFormatting sqref="P148:P153">
    <cfRule type="cellIs" dxfId="15597" priority="767" operator="greaterThan">
      <formula>0</formula>
    </cfRule>
  </conditionalFormatting>
  <conditionalFormatting sqref="Q148:Q153">
    <cfRule type="cellIs" dxfId="15596" priority="765" operator="lessThan">
      <formula>0</formula>
    </cfRule>
  </conditionalFormatting>
  <conditionalFormatting sqref="R148:R153">
    <cfRule type="cellIs" dxfId="15595" priority="763" operator="lessThan">
      <formula>0.8</formula>
    </cfRule>
    <cfRule type="cellIs" dxfId="15594" priority="764" operator="greaterThan">
      <formula>1</formula>
    </cfRule>
  </conditionalFormatting>
  <conditionalFormatting sqref="R148:R153">
    <cfRule type="cellIs" dxfId="15593" priority="761" operator="greaterThan">
      <formula>1</formula>
    </cfRule>
    <cfRule type="cellIs" dxfId="15592" priority="762" operator="lessThan">
      <formula>0.8</formula>
    </cfRule>
  </conditionalFormatting>
  <conditionalFormatting sqref="P148:P153">
    <cfRule type="cellIs" dxfId="15591" priority="760" operator="greaterThan">
      <formula>0</formula>
    </cfRule>
  </conditionalFormatting>
  <conditionalFormatting sqref="Q148:Q153">
    <cfRule type="cellIs" dxfId="15590" priority="759" operator="lessThan">
      <formula>0</formula>
    </cfRule>
  </conditionalFormatting>
  <conditionalFormatting sqref="R148:R153">
    <cfRule type="cellIs" dxfId="15589" priority="757" operator="lessThan">
      <formula>0.8</formula>
    </cfRule>
    <cfRule type="cellIs" dxfId="15588" priority="758" operator="greaterThan">
      <formula>1</formula>
    </cfRule>
  </conditionalFormatting>
  <conditionalFormatting sqref="R148:R153">
    <cfRule type="cellIs" dxfId="15587" priority="755" operator="greaterThan">
      <formula>1</formula>
    </cfRule>
    <cfRule type="cellIs" dxfId="15586" priority="756" operator="lessThan">
      <formula>0.8</formula>
    </cfRule>
  </conditionalFormatting>
  <conditionalFormatting sqref="P148:P153">
    <cfRule type="cellIs" dxfId="15585" priority="754" operator="greaterThan">
      <formula>0</formula>
    </cfRule>
  </conditionalFormatting>
  <conditionalFormatting sqref="Q148:Q153">
    <cfRule type="cellIs" dxfId="15584" priority="753" operator="lessThan">
      <formula>0</formula>
    </cfRule>
  </conditionalFormatting>
  <conditionalFormatting sqref="R148:R153">
    <cfRule type="cellIs" dxfId="15583" priority="751" operator="lessThan">
      <formula>0.8</formula>
    </cfRule>
    <cfRule type="cellIs" dxfId="15582" priority="752" operator="greaterThan">
      <formula>1</formula>
    </cfRule>
  </conditionalFormatting>
  <conditionalFormatting sqref="R148:R153">
    <cfRule type="cellIs" dxfId="15581" priority="749" operator="greaterThan">
      <formula>1</formula>
    </cfRule>
    <cfRule type="cellIs" dxfId="15580" priority="750" operator="lessThan">
      <formula>0.8</formula>
    </cfRule>
  </conditionalFormatting>
  <conditionalFormatting sqref="P148:P153">
    <cfRule type="cellIs" dxfId="15579" priority="748" operator="greaterThan">
      <formula>0</formula>
    </cfRule>
  </conditionalFormatting>
  <conditionalFormatting sqref="Q148:Q153">
    <cfRule type="cellIs" dxfId="15578" priority="747" operator="lessThan">
      <formula>0</formula>
    </cfRule>
  </conditionalFormatting>
  <conditionalFormatting sqref="R148:R153">
    <cfRule type="cellIs" dxfId="15577" priority="745" operator="lessThan">
      <formula>0.8</formula>
    </cfRule>
    <cfRule type="cellIs" dxfId="15576" priority="746" operator="greaterThan">
      <formula>1</formula>
    </cfRule>
  </conditionalFormatting>
  <conditionalFormatting sqref="R148:R153">
    <cfRule type="cellIs" dxfId="15575" priority="743" operator="greaterThan">
      <formula>1</formula>
    </cfRule>
    <cfRule type="cellIs" dxfId="15574" priority="744" operator="lessThan">
      <formula>0.8</formula>
    </cfRule>
  </conditionalFormatting>
  <conditionalFormatting sqref="P148:P153">
    <cfRule type="cellIs" dxfId="15573" priority="742" operator="greaterThan">
      <formula>0</formula>
    </cfRule>
  </conditionalFormatting>
  <conditionalFormatting sqref="Q148:Q153">
    <cfRule type="cellIs" dxfId="15572" priority="741" operator="lessThan">
      <formula>0</formula>
    </cfRule>
  </conditionalFormatting>
  <conditionalFormatting sqref="R148:R153">
    <cfRule type="cellIs" dxfId="15571" priority="739" operator="lessThan">
      <formula>0.8</formula>
    </cfRule>
    <cfRule type="cellIs" dxfId="15570" priority="740" operator="greaterThan">
      <formula>1</formula>
    </cfRule>
  </conditionalFormatting>
  <conditionalFormatting sqref="R148:R153">
    <cfRule type="cellIs" dxfId="15569" priority="737" operator="greaterThan">
      <formula>1</formula>
    </cfRule>
    <cfRule type="cellIs" dxfId="15568" priority="738" operator="lessThan">
      <formula>0.8</formula>
    </cfRule>
  </conditionalFormatting>
  <conditionalFormatting sqref="P148:P153">
    <cfRule type="cellIs" dxfId="15567" priority="736" operator="greaterThan">
      <formula>0</formula>
    </cfRule>
  </conditionalFormatting>
  <conditionalFormatting sqref="P148:P153">
    <cfRule type="cellIs" dxfId="15566" priority="730" operator="greaterThan">
      <formula>0</formula>
    </cfRule>
  </conditionalFormatting>
  <conditionalFormatting sqref="Q148:Q153">
    <cfRule type="cellIs" dxfId="15565" priority="735" operator="lessThan">
      <formula>0</formula>
    </cfRule>
  </conditionalFormatting>
  <conditionalFormatting sqref="R148:R153">
    <cfRule type="cellIs" dxfId="15564" priority="733" operator="lessThan">
      <formula>0.8</formula>
    </cfRule>
    <cfRule type="cellIs" dxfId="15563" priority="734" operator="greaterThan">
      <formula>1</formula>
    </cfRule>
  </conditionalFormatting>
  <conditionalFormatting sqref="R148:R153">
    <cfRule type="cellIs" dxfId="15562" priority="731" operator="greaterThan">
      <formula>1</formula>
    </cfRule>
    <cfRule type="cellIs" dxfId="15561" priority="732" operator="lessThan">
      <formula>0.8</formula>
    </cfRule>
  </conditionalFormatting>
  <conditionalFormatting sqref="P148:P153">
    <cfRule type="cellIs" dxfId="15560" priority="724" operator="greaterThan">
      <formula>0</formula>
    </cfRule>
  </conditionalFormatting>
  <conditionalFormatting sqref="Q148:Q153">
    <cfRule type="cellIs" dxfId="15559" priority="729" operator="lessThan">
      <formula>0</formula>
    </cfRule>
  </conditionalFormatting>
  <conditionalFormatting sqref="R148:R153">
    <cfRule type="cellIs" dxfId="15558" priority="727" operator="lessThan">
      <formula>0.8</formula>
    </cfRule>
    <cfRule type="cellIs" dxfId="15557" priority="728" operator="greaterThan">
      <formula>1</formula>
    </cfRule>
  </conditionalFormatting>
  <conditionalFormatting sqref="R148:R153">
    <cfRule type="cellIs" dxfId="15556" priority="725" operator="greaterThan">
      <formula>1</formula>
    </cfRule>
    <cfRule type="cellIs" dxfId="15555" priority="726" operator="lessThan">
      <formula>0.8</formula>
    </cfRule>
  </conditionalFormatting>
  <conditionalFormatting sqref="R148:R153">
    <cfRule type="cellIs" dxfId="15554" priority="721" operator="lessThan">
      <formula>0.8</formula>
    </cfRule>
    <cfRule type="cellIs" dxfId="15553" priority="722" operator="greaterThan">
      <formula>1</formula>
    </cfRule>
  </conditionalFormatting>
  <conditionalFormatting sqref="R148:R153">
    <cfRule type="cellIs" dxfId="15552" priority="719" operator="greaterThan">
      <formula>1</formula>
    </cfRule>
    <cfRule type="cellIs" dxfId="15551" priority="720" operator="lessThan">
      <formula>0.8</formula>
    </cfRule>
  </conditionalFormatting>
  <conditionalFormatting sqref="P148:P153">
    <cfRule type="cellIs" dxfId="15550" priority="718" operator="greaterThan">
      <formula>0</formula>
    </cfRule>
  </conditionalFormatting>
  <conditionalFormatting sqref="Q148:Q153">
    <cfRule type="cellIs" dxfId="15549" priority="723" operator="lessThan">
      <formula>0</formula>
    </cfRule>
  </conditionalFormatting>
  <conditionalFormatting sqref="P44:P51">
    <cfRule type="cellIs" dxfId="15548" priority="712" operator="greaterThan">
      <formula>0</formula>
    </cfRule>
  </conditionalFormatting>
  <conditionalFormatting sqref="Q44:Q51">
    <cfRule type="cellIs" dxfId="15547" priority="717" operator="lessThan">
      <formula>0</formula>
    </cfRule>
  </conditionalFormatting>
  <conditionalFormatting sqref="R44:R51">
    <cfRule type="cellIs" dxfId="15546" priority="715" operator="lessThan">
      <formula>0.8</formula>
    </cfRule>
    <cfRule type="cellIs" dxfId="15545" priority="716" operator="greaterThan">
      <formula>1</formula>
    </cfRule>
  </conditionalFormatting>
  <conditionalFormatting sqref="R44:R51">
    <cfRule type="cellIs" dxfId="15544" priority="713" operator="greaterThan">
      <formula>1</formula>
    </cfRule>
    <cfRule type="cellIs" dxfId="15543" priority="714" operator="lessThan">
      <formula>0.8</formula>
    </cfRule>
  </conditionalFormatting>
  <conditionalFormatting sqref="Q84:Q91">
    <cfRule type="cellIs" dxfId="15542" priority="711" operator="lessThan">
      <formula>0</formula>
    </cfRule>
  </conditionalFormatting>
  <conditionalFormatting sqref="R84:R91">
    <cfRule type="cellIs" dxfId="15541" priority="709" operator="lessThan">
      <formula>0.8</formula>
    </cfRule>
    <cfRule type="cellIs" dxfId="15540" priority="710" operator="greaterThan">
      <formula>1</formula>
    </cfRule>
  </conditionalFormatting>
  <conditionalFormatting sqref="R84:R91">
    <cfRule type="cellIs" dxfId="15539" priority="707" operator="greaterThan">
      <formula>1</formula>
    </cfRule>
    <cfRule type="cellIs" dxfId="15538" priority="708" operator="lessThan">
      <formula>0.8</formula>
    </cfRule>
  </conditionalFormatting>
  <conditionalFormatting sqref="P84:P91">
    <cfRule type="cellIs" dxfId="15537" priority="706" operator="greaterThan">
      <formula>0</formula>
    </cfRule>
  </conditionalFormatting>
  <conditionalFormatting sqref="Q84:Q91">
    <cfRule type="cellIs" dxfId="15536" priority="705" operator="lessThan">
      <formula>0</formula>
    </cfRule>
  </conditionalFormatting>
  <conditionalFormatting sqref="R84:R91">
    <cfRule type="cellIs" dxfId="15535" priority="703" operator="lessThan">
      <formula>0.8</formula>
    </cfRule>
    <cfRule type="cellIs" dxfId="15534" priority="704" operator="greaterThan">
      <formula>1</formula>
    </cfRule>
  </conditionalFormatting>
  <conditionalFormatting sqref="R84:R91">
    <cfRule type="cellIs" dxfId="15533" priority="701" operator="greaterThan">
      <formula>1</formula>
    </cfRule>
    <cfRule type="cellIs" dxfId="15532" priority="702" operator="lessThan">
      <formula>0.8</formula>
    </cfRule>
  </conditionalFormatting>
  <conditionalFormatting sqref="P84:P91">
    <cfRule type="cellIs" dxfId="15531" priority="700" operator="greaterThan">
      <formula>0</formula>
    </cfRule>
  </conditionalFormatting>
  <conditionalFormatting sqref="Q84:Q91">
    <cfRule type="cellIs" dxfId="15530" priority="699" operator="lessThan">
      <formula>0</formula>
    </cfRule>
  </conditionalFormatting>
  <conditionalFormatting sqref="R84:R91">
    <cfRule type="cellIs" dxfId="15529" priority="697" operator="lessThan">
      <formula>0.8</formula>
    </cfRule>
    <cfRule type="cellIs" dxfId="15528" priority="698" operator="greaterThan">
      <formula>1</formula>
    </cfRule>
  </conditionalFormatting>
  <conditionalFormatting sqref="R84:R91">
    <cfRule type="cellIs" dxfId="15527" priority="695" operator="greaterThan">
      <formula>1</formula>
    </cfRule>
    <cfRule type="cellIs" dxfId="15526" priority="696" operator="lessThan">
      <formula>0.8</formula>
    </cfRule>
  </conditionalFormatting>
  <conditionalFormatting sqref="P84:P91">
    <cfRule type="cellIs" dxfId="15525" priority="694" operator="greaterThan">
      <formula>0</formula>
    </cfRule>
  </conditionalFormatting>
  <conditionalFormatting sqref="Q84:Q91">
    <cfRule type="cellIs" dxfId="15524" priority="693" operator="lessThan">
      <formula>0</formula>
    </cfRule>
  </conditionalFormatting>
  <conditionalFormatting sqref="R84:R91">
    <cfRule type="cellIs" dxfId="15523" priority="691" operator="lessThan">
      <formula>0.8</formula>
    </cfRule>
    <cfRule type="cellIs" dxfId="15522" priority="692" operator="greaterThan">
      <formula>1</formula>
    </cfRule>
  </conditionalFormatting>
  <conditionalFormatting sqref="R84:R91">
    <cfRule type="cellIs" dxfId="15521" priority="689" operator="greaterThan">
      <formula>1</formula>
    </cfRule>
    <cfRule type="cellIs" dxfId="15520" priority="690" operator="lessThan">
      <formula>0.8</formula>
    </cfRule>
  </conditionalFormatting>
  <conditionalFormatting sqref="P84:P91">
    <cfRule type="cellIs" dxfId="15519" priority="688" operator="greaterThan">
      <formula>0</formula>
    </cfRule>
  </conditionalFormatting>
  <conditionalFormatting sqref="P84:P91">
    <cfRule type="cellIs" dxfId="15518" priority="682" operator="greaterThan">
      <formula>0</formula>
    </cfRule>
  </conditionalFormatting>
  <conditionalFormatting sqref="Q84:Q91">
    <cfRule type="cellIs" dxfId="15517" priority="687" operator="lessThan">
      <formula>0</formula>
    </cfRule>
  </conditionalFormatting>
  <conditionalFormatting sqref="R84:R91">
    <cfRule type="cellIs" dxfId="15516" priority="685" operator="lessThan">
      <formula>0.8</formula>
    </cfRule>
    <cfRule type="cellIs" dxfId="15515" priority="686" operator="greaterThan">
      <formula>1</formula>
    </cfRule>
  </conditionalFormatting>
  <conditionalFormatting sqref="R84:R91">
    <cfRule type="cellIs" dxfId="15514" priority="683" operator="greaterThan">
      <formula>1</formula>
    </cfRule>
    <cfRule type="cellIs" dxfId="15513" priority="684" operator="lessThan">
      <formula>0.8</formula>
    </cfRule>
  </conditionalFormatting>
  <conditionalFormatting sqref="P84:P91">
    <cfRule type="cellIs" dxfId="15512" priority="676" operator="greaterThan">
      <formula>0</formula>
    </cfRule>
  </conditionalFormatting>
  <conditionalFormatting sqref="Q84:Q91">
    <cfRule type="cellIs" dxfId="15511" priority="681" operator="lessThan">
      <formula>0</formula>
    </cfRule>
  </conditionalFormatting>
  <conditionalFormatting sqref="R84:R91">
    <cfRule type="cellIs" dxfId="15510" priority="679" operator="lessThan">
      <formula>0.8</formula>
    </cfRule>
    <cfRule type="cellIs" dxfId="15509" priority="680" operator="greaterThan">
      <formula>1</formula>
    </cfRule>
  </conditionalFormatting>
  <conditionalFormatting sqref="R84:R91">
    <cfRule type="cellIs" dxfId="15508" priority="677" operator="greaterThan">
      <formula>1</formula>
    </cfRule>
    <cfRule type="cellIs" dxfId="15507" priority="678" operator="lessThan">
      <formula>0.8</formula>
    </cfRule>
  </conditionalFormatting>
  <conditionalFormatting sqref="R84:R91">
    <cfRule type="cellIs" dxfId="15506" priority="673" operator="lessThan">
      <formula>0.8</formula>
    </cfRule>
    <cfRule type="cellIs" dxfId="15505" priority="674" operator="greaterThan">
      <formula>1</formula>
    </cfRule>
  </conditionalFormatting>
  <conditionalFormatting sqref="R84:R91">
    <cfRule type="cellIs" dxfId="15504" priority="671" operator="greaterThan">
      <formula>1</formula>
    </cfRule>
    <cfRule type="cellIs" dxfId="15503" priority="672" operator="lessThan">
      <formula>0.8</formula>
    </cfRule>
  </conditionalFormatting>
  <conditionalFormatting sqref="P84:P91">
    <cfRule type="cellIs" dxfId="15502" priority="670" operator="greaterThan">
      <formula>0</formula>
    </cfRule>
  </conditionalFormatting>
  <conditionalFormatting sqref="Q84:Q91">
    <cfRule type="cellIs" dxfId="15501" priority="675" operator="lessThan">
      <formula>0</formula>
    </cfRule>
  </conditionalFormatting>
  <conditionalFormatting sqref="Q84:Q91">
    <cfRule type="cellIs" dxfId="15500" priority="669" operator="lessThan">
      <formula>0</formula>
    </cfRule>
  </conditionalFormatting>
  <conditionalFormatting sqref="R84:R91">
    <cfRule type="cellIs" dxfId="15499" priority="667" operator="lessThan">
      <formula>0.8</formula>
    </cfRule>
    <cfRule type="cellIs" dxfId="15498" priority="668" operator="greaterThan">
      <formula>1</formula>
    </cfRule>
  </conditionalFormatting>
  <conditionalFormatting sqref="R84:R91">
    <cfRule type="cellIs" dxfId="15497" priority="665" operator="greaterThan">
      <formula>1</formula>
    </cfRule>
    <cfRule type="cellIs" dxfId="15496" priority="666" operator="lessThan">
      <formula>0.8</formula>
    </cfRule>
  </conditionalFormatting>
  <conditionalFormatting sqref="P84:P91">
    <cfRule type="cellIs" dxfId="15495" priority="664" operator="greaterThan">
      <formula>0</formula>
    </cfRule>
  </conditionalFormatting>
  <conditionalFormatting sqref="P84:P91">
    <cfRule type="cellIs" dxfId="15494" priority="658" operator="greaterThan">
      <formula>0</formula>
    </cfRule>
  </conditionalFormatting>
  <conditionalFormatting sqref="Q84:Q91">
    <cfRule type="cellIs" dxfId="15493" priority="663" operator="lessThan">
      <formula>0</formula>
    </cfRule>
  </conditionalFormatting>
  <conditionalFormatting sqref="R84:R91">
    <cfRule type="cellIs" dxfId="15492" priority="661" operator="lessThan">
      <formula>0.8</formula>
    </cfRule>
    <cfRule type="cellIs" dxfId="15491" priority="662" operator="greaterThan">
      <formula>1</formula>
    </cfRule>
  </conditionalFormatting>
  <conditionalFormatting sqref="R84:R91">
    <cfRule type="cellIs" dxfId="15490" priority="659" operator="greaterThan">
      <formula>1</formula>
    </cfRule>
    <cfRule type="cellIs" dxfId="15489" priority="660" operator="lessThan">
      <formula>0.8</formula>
    </cfRule>
  </conditionalFormatting>
  <conditionalFormatting sqref="P84:P91">
    <cfRule type="cellIs" dxfId="15488" priority="652" operator="greaterThan">
      <formula>0</formula>
    </cfRule>
  </conditionalFormatting>
  <conditionalFormatting sqref="Q84:Q91">
    <cfRule type="cellIs" dxfId="15487" priority="657" operator="lessThan">
      <formula>0</formula>
    </cfRule>
  </conditionalFormatting>
  <conditionalFormatting sqref="R84:R91">
    <cfRule type="cellIs" dxfId="15486" priority="655" operator="lessThan">
      <formula>0.8</formula>
    </cfRule>
    <cfRule type="cellIs" dxfId="15485" priority="656" operator="greaterThan">
      <formula>1</formula>
    </cfRule>
  </conditionalFormatting>
  <conditionalFormatting sqref="R84:R91">
    <cfRule type="cellIs" dxfId="15484" priority="653" operator="greaterThan">
      <formula>1</formula>
    </cfRule>
    <cfRule type="cellIs" dxfId="15483" priority="654" operator="lessThan">
      <formula>0.8</formula>
    </cfRule>
  </conditionalFormatting>
  <conditionalFormatting sqref="R84:R91">
    <cfRule type="cellIs" dxfId="15482" priority="649" operator="lessThan">
      <formula>0.8</formula>
    </cfRule>
    <cfRule type="cellIs" dxfId="15481" priority="650" operator="greaterThan">
      <formula>1</formula>
    </cfRule>
  </conditionalFormatting>
  <conditionalFormatting sqref="R84:R91">
    <cfRule type="cellIs" dxfId="15480" priority="647" operator="greaterThan">
      <formula>1</formula>
    </cfRule>
    <cfRule type="cellIs" dxfId="15479" priority="648" operator="lessThan">
      <formula>0.8</formula>
    </cfRule>
  </conditionalFormatting>
  <conditionalFormatting sqref="P84:P91">
    <cfRule type="cellIs" dxfId="15478" priority="646" operator="greaterThan">
      <formula>0</formula>
    </cfRule>
  </conditionalFormatting>
  <conditionalFormatting sqref="Q84:Q91">
    <cfRule type="cellIs" dxfId="15477" priority="651" operator="lessThan">
      <formula>0</formula>
    </cfRule>
  </conditionalFormatting>
  <conditionalFormatting sqref="P84:P91">
    <cfRule type="cellIs" dxfId="15476" priority="640" operator="greaterThan">
      <formula>0</formula>
    </cfRule>
  </conditionalFormatting>
  <conditionalFormatting sqref="Q84:Q91">
    <cfRule type="cellIs" dxfId="15475" priority="645" operator="lessThan">
      <formula>0</formula>
    </cfRule>
  </conditionalFormatting>
  <conditionalFormatting sqref="R84:R91">
    <cfRule type="cellIs" dxfId="15474" priority="643" operator="lessThan">
      <formula>0.8</formula>
    </cfRule>
    <cfRule type="cellIs" dxfId="15473" priority="644" operator="greaterThan">
      <formula>1</formula>
    </cfRule>
  </conditionalFormatting>
  <conditionalFormatting sqref="R84:R91">
    <cfRule type="cellIs" dxfId="15472" priority="641" operator="greaterThan">
      <formula>1</formula>
    </cfRule>
    <cfRule type="cellIs" dxfId="15471" priority="642" operator="lessThan">
      <formula>0.8</formula>
    </cfRule>
  </conditionalFormatting>
  <conditionalFormatting sqref="R84:R91">
    <cfRule type="cellIs" dxfId="15470" priority="637" operator="lessThan">
      <formula>0.8</formula>
    </cfRule>
    <cfRule type="cellIs" dxfId="15469" priority="638" operator="greaterThan">
      <formula>1</formula>
    </cfRule>
  </conditionalFormatting>
  <conditionalFormatting sqref="R84:R91">
    <cfRule type="cellIs" dxfId="15468" priority="635" operator="greaterThan">
      <formula>1</formula>
    </cfRule>
    <cfRule type="cellIs" dxfId="15467" priority="636" operator="lessThan">
      <formula>0.8</formula>
    </cfRule>
  </conditionalFormatting>
  <conditionalFormatting sqref="P84:P91">
    <cfRule type="cellIs" dxfId="15466" priority="634" operator="greaterThan">
      <formula>0</formula>
    </cfRule>
  </conditionalFormatting>
  <conditionalFormatting sqref="Q84:Q91">
    <cfRule type="cellIs" dxfId="15465" priority="639" operator="lessThan">
      <formula>0</formula>
    </cfRule>
  </conditionalFormatting>
  <conditionalFormatting sqref="R84:R91">
    <cfRule type="cellIs" dxfId="15464" priority="631" operator="lessThan">
      <formula>0.8</formula>
    </cfRule>
    <cfRule type="cellIs" dxfId="15463" priority="632" operator="greaterThan">
      <formula>1</formula>
    </cfRule>
  </conditionalFormatting>
  <conditionalFormatting sqref="R84:R91">
    <cfRule type="cellIs" dxfId="15462" priority="629" operator="greaterThan">
      <formula>1</formula>
    </cfRule>
    <cfRule type="cellIs" dxfId="15461" priority="630" operator="lessThan">
      <formula>0.8</formula>
    </cfRule>
  </conditionalFormatting>
  <conditionalFormatting sqref="P84:P91">
    <cfRule type="cellIs" dxfId="15460" priority="628" operator="greaterThan">
      <formula>0</formula>
    </cfRule>
  </conditionalFormatting>
  <conditionalFormatting sqref="Q84:Q91">
    <cfRule type="cellIs" dxfId="15459" priority="633" operator="lessThan">
      <formula>0</formula>
    </cfRule>
  </conditionalFormatting>
  <conditionalFormatting sqref="Q84:Q91">
    <cfRule type="cellIs" dxfId="15458" priority="627" operator="lessThan">
      <formula>0</formula>
    </cfRule>
  </conditionalFormatting>
  <conditionalFormatting sqref="R84:R91">
    <cfRule type="cellIs" dxfId="15457" priority="625" operator="lessThan">
      <formula>0.8</formula>
    </cfRule>
    <cfRule type="cellIs" dxfId="15456" priority="626" operator="greaterThan">
      <formula>1</formula>
    </cfRule>
  </conditionalFormatting>
  <conditionalFormatting sqref="R84:R91">
    <cfRule type="cellIs" dxfId="15455" priority="623" operator="greaterThan">
      <formula>1</formula>
    </cfRule>
    <cfRule type="cellIs" dxfId="15454" priority="624" operator="lessThan">
      <formula>0.8</formula>
    </cfRule>
  </conditionalFormatting>
  <conditionalFormatting sqref="P84:P91">
    <cfRule type="cellIs" dxfId="15453" priority="622" operator="greaterThan">
      <formula>0</formula>
    </cfRule>
  </conditionalFormatting>
  <conditionalFormatting sqref="Q84:Q91">
    <cfRule type="cellIs" dxfId="15452" priority="616" operator="lessThan">
      <formula>0</formula>
    </cfRule>
  </conditionalFormatting>
  <conditionalFormatting sqref="R84:R91">
    <cfRule type="cellIs" dxfId="15451" priority="620" operator="lessThan">
      <formula>0.8</formula>
    </cfRule>
    <cfRule type="cellIs" dxfId="15450" priority="621" operator="greaterThan">
      <formula>1</formula>
    </cfRule>
  </conditionalFormatting>
  <conditionalFormatting sqref="R84:R91">
    <cfRule type="cellIs" dxfId="15449" priority="618" operator="greaterThan">
      <formula>1</formula>
    </cfRule>
    <cfRule type="cellIs" dxfId="15448" priority="619" operator="lessThan">
      <formula>0.8</formula>
    </cfRule>
  </conditionalFormatting>
  <conditionalFormatting sqref="P84:P91">
    <cfRule type="cellIs" dxfId="15447" priority="617" operator="greaterThan">
      <formula>0</formula>
    </cfRule>
  </conditionalFormatting>
  <conditionalFormatting sqref="Q84:Q91">
    <cfRule type="cellIs" dxfId="15446" priority="615" operator="lessThan">
      <formula>0</formula>
    </cfRule>
  </conditionalFormatting>
  <conditionalFormatting sqref="R84:R91">
    <cfRule type="cellIs" dxfId="15445" priority="613" operator="lessThan">
      <formula>0.8</formula>
    </cfRule>
    <cfRule type="cellIs" dxfId="15444" priority="614" operator="greaterThan">
      <formula>1</formula>
    </cfRule>
  </conditionalFormatting>
  <conditionalFormatting sqref="R84:R91">
    <cfRule type="cellIs" dxfId="15443" priority="611" operator="greaterThan">
      <formula>1</formula>
    </cfRule>
    <cfRule type="cellIs" dxfId="15442" priority="612" operator="lessThan">
      <formula>0.8</formula>
    </cfRule>
  </conditionalFormatting>
  <conditionalFormatting sqref="P84:P91">
    <cfRule type="cellIs" dxfId="15441" priority="610" operator="greaterThan">
      <formula>0</formula>
    </cfRule>
  </conditionalFormatting>
  <conditionalFormatting sqref="Q84:Q91">
    <cfRule type="cellIs" dxfId="15440" priority="609" operator="lessThan">
      <formula>0</formula>
    </cfRule>
  </conditionalFormatting>
  <conditionalFormatting sqref="R84:R91">
    <cfRule type="cellIs" dxfId="15439" priority="607" operator="lessThan">
      <formula>0.8</formula>
    </cfRule>
    <cfRule type="cellIs" dxfId="15438" priority="608" operator="greaterThan">
      <formula>1</formula>
    </cfRule>
  </conditionalFormatting>
  <conditionalFormatting sqref="R84:R91">
    <cfRule type="cellIs" dxfId="15437" priority="605" operator="greaterThan">
      <formula>1</formula>
    </cfRule>
    <cfRule type="cellIs" dxfId="15436" priority="606" operator="lessThan">
      <formula>0.8</formula>
    </cfRule>
  </conditionalFormatting>
  <conditionalFormatting sqref="P84:P91">
    <cfRule type="cellIs" dxfId="15435" priority="604" operator="greaterThan">
      <formula>0</formula>
    </cfRule>
  </conditionalFormatting>
  <conditionalFormatting sqref="Q84:Q91">
    <cfRule type="cellIs" dxfId="15434" priority="603" operator="lessThan">
      <formula>0</formula>
    </cfRule>
  </conditionalFormatting>
  <conditionalFormatting sqref="R84:R91">
    <cfRule type="cellIs" dxfId="15433" priority="601" operator="lessThan">
      <formula>0.8</formula>
    </cfRule>
    <cfRule type="cellIs" dxfId="15432" priority="602" operator="greaterThan">
      <formula>1</formula>
    </cfRule>
  </conditionalFormatting>
  <conditionalFormatting sqref="R84:R91">
    <cfRule type="cellIs" dxfId="15431" priority="599" operator="greaterThan">
      <formula>1</formula>
    </cfRule>
    <cfRule type="cellIs" dxfId="15430" priority="600" operator="lessThan">
      <formula>0.8</formula>
    </cfRule>
  </conditionalFormatting>
  <conditionalFormatting sqref="P84:P91">
    <cfRule type="cellIs" dxfId="15429" priority="598" operator="greaterThan">
      <formula>0</formula>
    </cfRule>
  </conditionalFormatting>
  <conditionalFormatting sqref="Q84:Q91">
    <cfRule type="cellIs" dxfId="15428" priority="597" operator="lessThan">
      <formula>0</formula>
    </cfRule>
  </conditionalFormatting>
  <conditionalFormatting sqref="R84:R91">
    <cfRule type="cellIs" dxfId="15427" priority="595" operator="lessThan">
      <formula>0.8</formula>
    </cfRule>
    <cfRule type="cellIs" dxfId="15426" priority="596" operator="greaterThan">
      <formula>1</formula>
    </cfRule>
  </conditionalFormatting>
  <conditionalFormatting sqref="R84:R91">
    <cfRule type="cellIs" dxfId="15425" priority="593" operator="greaterThan">
      <formula>1</formula>
    </cfRule>
    <cfRule type="cellIs" dxfId="15424" priority="594" operator="lessThan">
      <formula>0.8</formula>
    </cfRule>
  </conditionalFormatting>
  <conditionalFormatting sqref="P84:P91">
    <cfRule type="cellIs" dxfId="15423" priority="592" operator="greaterThan">
      <formula>0</formula>
    </cfRule>
  </conditionalFormatting>
  <conditionalFormatting sqref="Q84:Q91">
    <cfRule type="cellIs" dxfId="15422" priority="591" operator="lessThan">
      <formula>0</formula>
    </cfRule>
  </conditionalFormatting>
  <conditionalFormatting sqref="R84:R91">
    <cfRule type="cellIs" dxfId="15421" priority="589" operator="lessThan">
      <formula>0.8</formula>
    </cfRule>
    <cfRule type="cellIs" dxfId="15420" priority="590" operator="greaterThan">
      <formula>1</formula>
    </cfRule>
  </conditionalFormatting>
  <conditionalFormatting sqref="R84:R91">
    <cfRule type="cellIs" dxfId="15419" priority="587" operator="greaterThan">
      <formula>1</formula>
    </cfRule>
    <cfRule type="cellIs" dxfId="15418" priority="588" operator="lessThan">
      <formula>0.8</formula>
    </cfRule>
  </conditionalFormatting>
  <conditionalFormatting sqref="P84:P91">
    <cfRule type="cellIs" dxfId="15417" priority="586" operator="greaterThan">
      <formula>0</formula>
    </cfRule>
  </conditionalFormatting>
  <conditionalFormatting sqref="P84:P91">
    <cfRule type="cellIs" dxfId="15416" priority="580" operator="greaterThan">
      <formula>0</formula>
    </cfRule>
  </conditionalFormatting>
  <conditionalFormatting sqref="Q84:Q91">
    <cfRule type="cellIs" dxfId="15415" priority="585" operator="lessThan">
      <formula>0</formula>
    </cfRule>
  </conditionalFormatting>
  <conditionalFormatting sqref="R84:R91">
    <cfRule type="cellIs" dxfId="15414" priority="583" operator="lessThan">
      <formula>0.8</formula>
    </cfRule>
    <cfRule type="cellIs" dxfId="15413" priority="584" operator="greaterThan">
      <formula>1</formula>
    </cfRule>
  </conditionalFormatting>
  <conditionalFormatting sqref="R84:R91">
    <cfRule type="cellIs" dxfId="15412" priority="581" operator="greaterThan">
      <formula>1</formula>
    </cfRule>
    <cfRule type="cellIs" dxfId="15411" priority="582" operator="lessThan">
      <formula>0.8</formula>
    </cfRule>
  </conditionalFormatting>
  <conditionalFormatting sqref="P84:P91">
    <cfRule type="cellIs" dxfId="15410" priority="574" operator="greaterThan">
      <formula>0</formula>
    </cfRule>
  </conditionalFormatting>
  <conditionalFormatting sqref="Q84:Q91">
    <cfRule type="cellIs" dxfId="15409" priority="579" operator="lessThan">
      <formula>0</formula>
    </cfRule>
  </conditionalFormatting>
  <conditionalFormatting sqref="R84:R91">
    <cfRule type="cellIs" dxfId="15408" priority="577" operator="lessThan">
      <formula>0.8</formula>
    </cfRule>
    <cfRule type="cellIs" dxfId="15407" priority="578" operator="greaterThan">
      <formula>1</formula>
    </cfRule>
  </conditionalFormatting>
  <conditionalFormatting sqref="R84:R91">
    <cfRule type="cellIs" dxfId="15406" priority="575" operator="greaterThan">
      <formula>1</formula>
    </cfRule>
    <cfRule type="cellIs" dxfId="15405" priority="576" operator="lessThan">
      <formula>0.8</formula>
    </cfRule>
  </conditionalFormatting>
  <conditionalFormatting sqref="R84:R91">
    <cfRule type="cellIs" dxfId="15404" priority="571" operator="lessThan">
      <formula>0.8</formula>
    </cfRule>
    <cfRule type="cellIs" dxfId="15403" priority="572" operator="greaterThan">
      <formula>1</formula>
    </cfRule>
  </conditionalFormatting>
  <conditionalFormatting sqref="R84:R91">
    <cfRule type="cellIs" dxfId="15402" priority="569" operator="greaterThan">
      <formula>1</formula>
    </cfRule>
    <cfRule type="cellIs" dxfId="15401" priority="570" operator="lessThan">
      <formula>0.8</formula>
    </cfRule>
  </conditionalFormatting>
  <conditionalFormatting sqref="P84:P91">
    <cfRule type="cellIs" dxfId="15400" priority="568" operator="greaterThan">
      <formula>0</formula>
    </cfRule>
  </conditionalFormatting>
  <conditionalFormatting sqref="Q84:Q91">
    <cfRule type="cellIs" dxfId="15399" priority="573" operator="lessThan">
      <formula>0</formula>
    </cfRule>
  </conditionalFormatting>
  <conditionalFormatting sqref="Q84:Q91">
    <cfRule type="cellIs" dxfId="15398" priority="567" operator="lessThan">
      <formula>0</formula>
    </cfRule>
  </conditionalFormatting>
  <conditionalFormatting sqref="R84:R91">
    <cfRule type="cellIs" dxfId="15397" priority="565" operator="lessThan">
      <formula>0.8</formula>
    </cfRule>
    <cfRule type="cellIs" dxfId="15396" priority="566" operator="greaterThan">
      <formula>1</formula>
    </cfRule>
  </conditionalFormatting>
  <conditionalFormatting sqref="R84:R91">
    <cfRule type="cellIs" dxfId="15395" priority="563" operator="greaterThan">
      <formula>1</formula>
    </cfRule>
    <cfRule type="cellIs" dxfId="15394" priority="564" operator="lessThan">
      <formula>0.8</formula>
    </cfRule>
  </conditionalFormatting>
  <conditionalFormatting sqref="P84:P91">
    <cfRule type="cellIs" dxfId="15393" priority="562" operator="greaterThan">
      <formula>0</formula>
    </cfRule>
  </conditionalFormatting>
  <conditionalFormatting sqref="Q84:Q91">
    <cfRule type="cellIs" dxfId="15392" priority="561" operator="lessThan">
      <formula>0</formula>
    </cfRule>
  </conditionalFormatting>
  <conditionalFormatting sqref="R84:R91">
    <cfRule type="cellIs" dxfId="15391" priority="559" operator="lessThan">
      <formula>0.8</formula>
    </cfRule>
    <cfRule type="cellIs" dxfId="15390" priority="560" operator="greaterThan">
      <formula>1</formula>
    </cfRule>
  </conditionalFormatting>
  <conditionalFormatting sqref="R84:R91">
    <cfRule type="cellIs" dxfId="15389" priority="557" operator="greaterThan">
      <formula>1</formula>
    </cfRule>
    <cfRule type="cellIs" dxfId="15388" priority="558" operator="lessThan">
      <formula>0.8</formula>
    </cfRule>
  </conditionalFormatting>
  <conditionalFormatting sqref="P84:P91">
    <cfRule type="cellIs" dxfId="15387" priority="556" operator="greaterThan">
      <formula>0</formula>
    </cfRule>
  </conditionalFormatting>
  <conditionalFormatting sqref="Q84:Q91">
    <cfRule type="cellIs" dxfId="15386" priority="555" operator="lessThan">
      <formula>0</formula>
    </cfRule>
  </conditionalFormatting>
  <conditionalFormatting sqref="R84:R91">
    <cfRule type="cellIs" dxfId="15385" priority="553" operator="lessThan">
      <formula>0.8</formula>
    </cfRule>
    <cfRule type="cellIs" dxfId="15384" priority="554" operator="greaterThan">
      <formula>1</formula>
    </cfRule>
  </conditionalFormatting>
  <conditionalFormatting sqref="R84:R91">
    <cfRule type="cellIs" dxfId="15383" priority="551" operator="greaterThan">
      <formula>1</formula>
    </cfRule>
    <cfRule type="cellIs" dxfId="15382" priority="552" operator="lessThan">
      <formula>0.8</formula>
    </cfRule>
  </conditionalFormatting>
  <conditionalFormatting sqref="P84:P91">
    <cfRule type="cellIs" dxfId="15381" priority="550" operator="greaterThan">
      <formula>0</formula>
    </cfRule>
  </conditionalFormatting>
  <conditionalFormatting sqref="Q84:Q91">
    <cfRule type="cellIs" dxfId="15380" priority="549" operator="lessThan">
      <formula>0</formula>
    </cfRule>
  </conditionalFormatting>
  <conditionalFormatting sqref="R84:R91">
    <cfRule type="cellIs" dxfId="15379" priority="547" operator="lessThan">
      <formula>0.8</formula>
    </cfRule>
    <cfRule type="cellIs" dxfId="15378" priority="548" operator="greaterThan">
      <formula>1</formula>
    </cfRule>
  </conditionalFormatting>
  <conditionalFormatting sqref="R84:R91">
    <cfRule type="cellIs" dxfId="15377" priority="545" operator="greaterThan">
      <formula>1</formula>
    </cfRule>
    <cfRule type="cellIs" dxfId="15376" priority="546" operator="lessThan">
      <formula>0.8</formula>
    </cfRule>
  </conditionalFormatting>
  <conditionalFormatting sqref="P84:P91">
    <cfRule type="cellIs" dxfId="15375" priority="544" operator="greaterThan">
      <formula>0</formula>
    </cfRule>
  </conditionalFormatting>
  <conditionalFormatting sqref="P84:P91">
    <cfRule type="cellIs" dxfId="15374" priority="538" operator="greaterThan">
      <formula>0</formula>
    </cfRule>
  </conditionalFormatting>
  <conditionalFormatting sqref="Q84:Q91">
    <cfRule type="cellIs" dxfId="15373" priority="543" operator="lessThan">
      <formula>0</formula>
    </cfRule>
  </conditionalFormatting>
  <conditionalFormatting sqref="R84:R91">
    <cfRule type="cellIs" dxfId="15372" priority="541" operator="lessThan">
      <formula>0.8</formula>
    </cfRule>
    <cfRule type="cellIs" dxfId="15371" priority="542" operator="greaterThan">
      <formula>1</formula>
    </cfRule>
  </conditionalFormatting>
  <conditionalFormatting sqref="R84:R91">
    <cfRule type="cellIs" dxfId="15370" priority="539" operator="greaterThan">
      <formula>1</formula>
    </cfRule>
    <cfRule type="cellIs" dxfId="15369" priority="540" operator="lessThan">
      <formula>0.8</formula>
    </cfRule>
  </conditionalFormatting>
  <conditionalFormatting sqref="P84:P91">
    <cfRule type="cellIs" dxfId="15368" priority="532" operator="greaterThan">
      <formula>0</formula>
    </cfRule>
  </conditionalFormatting>
  <conditionalFormatting sqref="Q84:Q91">
    <cfRule type="cellIs" dxfId="15367" priority="537" operator="lessThan">
      <formula>0</formula>
    </cfRule>
  </conditionalFormatting>
  <conditionalFormatting sqref="R84:R91">
    <cfRule type="cellIs" dxfId="15366" priority="535" operator="lessThan">
      <formula>0.8</formula>
    </cfRule>
    <cfRule type="cellIs" dxfId="15365" priority="536" operator="greaterThan">
      <formula>1</formula>
    </cfRule>
  </conditionalFormatting>
  <conditionalFormatting sqref="R84:R91">
    <cfRule type="cellIs" dxfId="15364" priority="533" operator="greaterThan">
      <formula>1</formula>
    </cfRule>
    <cfRule type="cellIs" dxfId="15363" priority="534" operator="lessThan">
      <formula>0.8</formula>
    </cfRule>
  </conditionalFormatting>
  <conditionalFormatting sqref="R84:R91">
    <cfRule type="cellIs" dxfId="15362" priority="529" operator="lessThan">
      <formula>0.8</formula>
    </cfRule>
    <cfRule type="cellIs" dxfId="15361" priority="530" operator="greaterThan">
      <formula>1</formula>
    </cfRule>
  </conditionalFormatting>
  <conditionalFormatting sqref="R84:R91">
    <cfRule type="cellIs" dxfId="15360" priority="527" operator="greaterThan">
      <formula>1</formula>
    </cfRule>
    <cfRule type="cellIs" dxfId="15359" priority="528" operator="lessThan">
      <formula>0.8</formula>
    </cfRule>
  </conditionalFormatting>
  <conditionalFormatting sqref="P84:P91">
    <cfRule type="cellIs" dxfId="15358" priority="526" operator="greaterThan">
      <formula>0</formula>
    </cfRule>
  </conditionalFormatting>
  <conditionalFormatting sqref="Q84:Q91">
    <cfRule type="cellIs" dxfId="15357" priority="531" operator="lessThan">
      <formula>0</formula>
    </cfRule>
  </conditionalFormatting>
  <conditionalFormatting sqref="Q84:Q91">
    <cfRule type="cellIs" dxfId="15356" priority="525" operator="lessThan">
      <formula>0</formula>
    </cfRule>
  </conditionalFormatting>
  <conditionalFormatting sqref="R84:R91">
    <cfRule type="cellIs" dxfId="15355" priority="523" operator="lessThan">
      <formula>0.8</formula>
    </cfRule>
    <cfRule type="cellIs" dxfId="15354" priority="524" operator="greaterThan">
      <formula>1</formula>
    </cfRule>
  </conditionalFormatting>
  <conditionalFormatting sqref="R84:R91">
    <cfRule type="cellIs" dxfId="15353" priority="521" operator="greaterThan">
      <formula>1</formula>
    </cfRule>
    <cfRule type="cellIs" dxfId="15352" priority="522" operator="lessThan">
      <formula>0.8</formula>
    </cfRule>
  </conditionalFormatting>
  <conditionalFormatting sqref="P84:P91">
    <cfRule type="cellIs" dxfId="15351" priority="520" operator="greaterThan">
      <formula>0</formula>
    </cfRule>
  </conditionalFormatting>
  <conditionalFormatting sqref="P84:P91">
    <cfRule type="cellIs" dxfId="15350" priority="514" operator="greaterThan">
      <formula>0</formula>
    </cfRule>
  </conditionalFormatting>
  <conditionalFormatting sqref="Q84:Q91">
    <cfRule type="cellIs" dxfId="15349" priority="519" operator="lessThan">
      <formula>0</formula>
    </cfRule>
  </conditionalFormatting>
  <conditionalFormatting sqref="R84:R91">
    <cfRule type="cellIs" dxfId="15348" priority="517" operator="lessThan">
      <formula>0.8</formula>
    </cfRule>
    <cfRule type="cellIs" dxfId="15347" priority="518" operator="greaterThan">
      <formula>1</formula>
    </cfRule>
  </conditionalFormatting>
  <conditionalFormatting sqref="R84:R91">
    <cfRule type="cellIs" dxfId="15346" priority="515" operator="greaterThan">
      <formula>1</formula>
    </cfRule>
    <cfRule type="cellIs" dxfId="15345" priority="516" operator="lessThan">
      <formula>0.8</formula>
    </cfRule>
  </conditionalFormatting>
  <conditionalFormatting sqref="P84:P91">
    <cfRule type="cellIs" dxfId="15344" priority="508" operator="greaterThan">
      <formula>0</formula>
    </cfRule>
  </conditionalFormatting>
  <conditionalFormatting sqref="Q84:Q91">
    <cfRule type="cellIs" dxfId="15343" priority="513" operator="lessThan">
      <formula>0</formula>
    </cfRule>
  </conditionalFormatting>
  <conditionalFormatting sqref="R84:R91">
    <cfRule type="cellIs" dxfId="15342" priority="511" operator="lessThan">
      <formula>0.8</formula>
    </cfRule>
    <cfRule type="cellIs" dxfId="15341" priority="512" operator="greaterThan">
      <formula>1</formula>
    </cfRule>
  </conditionalFormatting>
  <conditionalFormatting sqref="R84:R91">
    <cfRule type="cellIs" dxfId="15340" priority="509" operator="greaterThan">
      <formula>1</formula>
    </cfRule>
    <cfRule type="cellIs" dxfId="15339" priority="510" operator="lessThan">
      <formula>0.8</formula>
    </cfRule>
  </conditionalFormatting>
  <conditionalFormatting sqref="R84:R91">
    <cfRule type="cellIs" dxfId="15338" priority="505" operator="lessThan">
      <formula>0.8</formula>
    </cfRule>
    <cfRule type="cellIs" dxfId="15337" priority="506" operator="greaterThan">
      <formula>1</formula>
    </cfRule>
  </conditionalFormatting>
  <conditionalFormatting sqref="R84:R91">
    <cfRule type="cellIs" dxfId="15336" priority="503" operator="greaterThan">
      <formula>1</formula>
    </cfRule>
    <cfRule type="cellIs" dxfId="15335" priority="504" operator="lessThan">
      <formula>0.8</formula>
    </cfRule>
  </conditionalFormatting>
  <conditionalFormatting sqref="P84:P91">
    <cfRule type="cellIs" dxfId="15334" priority="502" operator="greaterThan">
      <formula>0</formula>
    </cfRule>
  </conditionalFormatting>
  <conditionalFormatting sqref="Q84:Q91">
    <cfRule type="cellIs" dxfId="15333" priority="507" operator="lessThan">
      <formula>0</formula>
    </cfRule>
  </conditionalFormatting>
  <conditionalFormatting sqref="P84:P91">
    <cfRule type="cellIs" dxfId="15332" priority="496" operator="greaterThan">
      <formula>0</formula>
    </cfRule>
  </conditionalFormatting>
  <conditionalFormatting sqref="Q84:Q91">
    <cfRule type="cellIs" dxfId="15331" priority="501" operator="lessThan">
      <formula>0</formula>
    </cfRule>
  </conditionalFormatting>
  <conditionalFormatting sqref="R84:R91">
    <cfRule type="cellIs" dxfId="15330" priority="499" operator="lessThan">
      <formula>0.8</formula>
    </cfRule>
    <cfRule type="cellIs" dxfId="15329" priority="500" operator="greaterThan">
      <formula>1</formula>
    </cfRule>
  </conditionalFormatting>
  <conditionalFormatting sqref="R84:R91">
    <cfRule type="cellIs" dxfId="15328" priority="497" operator="greaterThan">
      <formula>1</formula>
    </cfRule>
    <cfRule type="cellIs" dxfId="15327" priority="498" operator="lessThan">
      <formula>0.8</formula>
    </cfRule>
  </conditionalFormatting>
  <conditionalFormatting sqref="R84:R91">
    <cfRule type="cellIs" dxfId="15326" priority="493" operator="lessThan">
      <formula>0.8</formula>
    </cfRule>
    <cfRule type="cellIs" dxfId="15325" priority="494" operator="greaterThan">
      <formula>1</formula>
    </cfRule>
  </conditionalFormatting>
  <conditionalFormatting sqref="R84:R91">
    <cfRule type="cellIs" dxfId="15324" priority="491" operator="greaterThan">
      <formula>1</formula>
    </cfRule>
    <cfRule type="cellIs" dxfId="15323" priority="492" operator="lessThan">
      <formula>0.8</formula>
    </cfRule>
  </conditionalFormatting>
  <conditionalFormatting sqref="P84:P91">
    <cfRule type="cellIs" dxfId="15322" priority="490" operator="greaterThan">
      <formula>0</formula>
    </cfRule>
  </conditionalFormatting>
  <conditionalFormatting sqref="Q84:Q91">
    <cfRule type="cellIs" dxfId="15321" priority="495" operator="lessThan">
      <formula>0</formula>
    </cfRule>
  </conditionalFormatting>
  <conditionalFormatting sqref="R84:R91">
    <cfRule type="cellIs" dxfId="15320" priority="487" operator="lessThan">
      <formula>0.8</formula>
    </cfRule>
    <cfRule type="cellIs" dxfId="15319" priority="488" operator="greaterThan">
      <formula>1</formula>
    </cfRule>
  </conditionalFormatting>
  <conditionalFormatting sqref="R84:R91">
    <cfRule type="cellIs" dxfId="15318" priority="485" operator="greaterThan">
      <formula>1</formula>
    </cfRule>
    <cfRule type="cellIs" dxfId="15317" priority="486" operator="lessThan">
      <formula>0.8</formula>
    </cfRule>
  </conditionalFormatting>
  <conditionalFormatting sqref="P84:P91">
    <cfRule type="cellIs" dxfId="15316" priority="484" operator="greaterThan">
      <formula>0</formula>
    </cfRule>
  </conditionalFormatting>
  <conditionalFormatting sqref="Q84:Q91">
    <cfRule type="cellIs" dxfId="15315" priority="489" operator="lessThan">
      <formula>0</formula>
    </cfRule>
  </conditionalFormatting>
  <conditionalFormatting sqref="Q84:Q91">
    <cfRule type="cellIs" dxfId="15314" priority="483" operator="lessThan">
      <formula>0</formula>
    </cfRule>
  </conditionalFormatting>
  <conditionalFormatting sqref="R84:R91">
    <cfRule type="cellIs" dxfId="15313" priority="481" operator="lessThan">
      <formula>0.8</formula>
    </cfRule>
    <cfRule type="cellIs" dxfId="15312" priority="482" operator="greaterThan">
      <formula>1</formula>
    </cfRule>
  </conditionalFormatting>
  <conditionalFormatting sqref="R84:R91">
    <cfRule type="cellIs" dxfId="15311" priority="479" operator="greaterThan">
      <formula>1</formula>
    </cfRule>
    <cfRule type="cellIs" dxfId="15310" priority="480" operator="lessThan">
      <formula>0.8</formula>
    </cfRule>
  </conditionalFormatting>
  <conditionalFormatting sqref="P84:P91">
    <cfRule type="cellIs" dxfId="15309" priority="478" operator="greaterThan">
      <formula>0</formula>
    </cfRule>
  </conditionalFormatting>
  <conditionalFormatting sqref="Q84:Q91">
    <cfRule type="cellIs" dxfId="15308" priority="472" operator="lessThan">
      <formula>0</formula>
    </cfRule>
  </conditionalFormatting>
  <conditionalFormatting sqref="R84:R91">
    <cfRule type="cellIs" dxfId="15307" priority="476" operator="lessThan">
      <formula>0.8</formula>
    </cfRule>
    <cfRule type="cellIs" dxfId="15306" priority="477" operator="greaterThan">
      <formula>1</formula>
    </cfRule>
  </conditionalFormatting>
  <conditionalFormatting sqref="R84:R91">
    <cfRule type="cellIs" dxfId="15305" priority="474" operator="greaterThan">
      <formula>1</formula>
    </cfRule>
    <cfRule type="cellIs" dxfId="15304" priority="475" operator="lessThan">
      <formula>0.8</formula>
    </cfRule>
  </conditionalFormatting>
  <conditionalFormatting sqref="P84:P91">
    <cfRule type="cellIs" dxfId="15303" priority="473" operator="greaterThan">
      <formula>0</formula>
    </cfRule>
  </conditionalFormatting>
  <conditionalFormatting sqref="Q84:Q91">
    <cfRule type="cellIs" dxfId="15302" priority="471" operator="lessThan">
      <formula>0</formula>
    </cfRule>
  </conditionalFormatting>
  <conditionalFormatting sqref="R84:R91">
    <cfRule type="cellIs" dxfId="15301" priority="469" operator="lessThan">
      <formula>0.8</formula>
    </cfRule>
    <cfRule type="cellIs" dxfId="15300" priority="470" operator="greaterThan">
      <formula>1</formula>
    </cfRule>
  </conditionalFormatting>
  <conditionalFormatting sqref="R84:R91">
    <cfRule type="cellIs" dxfId="15299" priority="467" operator="greaterThan">
      <formula>1</formula>
    </cfRule>
    <cfRule type="cellIs" dxfId="15298" priority="468" operator="lessThan">
      <formula>0.8</formula>
    </cfRule>
  </conditionalFormatting>
  <conditionalFormatting sqref="P84:P91">
    <cfRule type="cellIs" dxfId="15297" priority="466" operator="greaterThan">
      <formula>0</formula>
    </cfRule>
  </conditionalFormatting>
  <conditionalFormatting sqref="Q84:Q91">
    <cfRule type="cellIs" dxfId="15296" priority="465" operator="lessThan">
      <formula>0</formula>
    </cfRule>
  </conditionalFormatting>
  <conditionalFormatting sqref="R84:R91">
    <cfRule type="cellIs" dxfId="15295" priority="463" operator="lessThan">
      <formula>0.8</formula>
    </cfRule>
    <cfRule type="cellIs" dxfId="15294" priority="464" operator="greaterThan">
      <formula>1</formula>
    </cfRule>
  </conditionalFormatting>
  <conditionalFormatting sqref="R84:R91">
    <cfRule type="cellIs" dxfId="15293" priority="461" operator="greaterThan">
      <formula>1</formula>
    </cfRule>
    <cfRule type="cellIs" dxfId="15292" priority="462" operator="lessThan">
      <formula>0.8</formula>
    </cfRule>
  </conditionalFormatting>
  <conditionalFormatting sqref="P84:P91">
    <cfRule type="cellIs" dxfId="15291" priority="460" operator="greaterThan">
      <formula>0</formula>
    </cfRule>
  </conditionalFormatting>
  <conditionalFormatting sqref="Q84:Q91">
    <cfRule type="cellIs" dxfId="15290" priority="459" operator="lessThan">
      <formula>0</formula>
    </cfRule>
  </conditionalFormatting>
  <conditionalFormatting sqref="R84:R91">
    <cfRule type="cellIs" dxfId="15289" priority="457" operator="lessThan">
      <formula>0.8</formula>
    </cfRule>
    <cfRule type="cellIs" dxfId="15288" priority="458" operator="greaterThan">
      <formula>1</formula>
    </cfRule>
  </conditionalFormatting>
  <conditionalFormatting sqref="R84:R91">
    <cfRule type="cellIs" dxfId="15287" priority="455" operator="greaterThan">
      <formula>1</formula>
    </cfRule>
    <cfRule type="cellIs" dxfId="15286" priority="456" operator="lessThan">
      <formula>0.8</formula>
    </cfRule>
  </conditionalFormatting>
  <conditionalFormatting sqref="P84:P91">
    <cfRule type="cellIs" dxfId="15285" priority="454" operator="greaterThan">
      <formula>0</formula>
    </cfRule>
  </conditionalFormatting>
  <conditionalFormatting sqref="Q84:Q91">
    <cfRule type="cellIs" dxfId="15284" priority="453" operator="lessThan">
      <formula>0</formula>
    </cfRule>
  </conditionalFormatting>
  <conditionalFormatting sqref="R84:R91">
    <cfRule type="cellIs" dxfId="15283" priority="451" operator="lessThan">
      <formula>0.8</formula>
    </cfRule>
    <cfRule type="cellIs" dxfId="15282" priority="452" operator="greaterThan">
      <formula>1</formula>
    </cfRule>
  </conditionalFormatting>
  <conditionalFormatting sqref="R84:R91">
    <cfRule type="cellIs" dxfId="15281" priority="449" operator="greaterThan">
      <formula>1</formula>
    </cfRule>
    <cfRule type="cellIs" dxfId="15280" priority="450" operator="lessThan">
      <formula>0.8</formula>
    </cfRule>
  </conditionalFormatting>
  <conditionalFormatting sqref="P84:P91">
    <cfRule type="cellIs" dxfId="15279" priority="448" operator="greaterThan">
      <formula>0</formula>
    </cfRule>
  </conditionalFormatting>
  <conditionalFormatting sqref="Q84:Q91">
    <cfRule type="cellIs" dxfId="15278" priority="447" operator="lessThan">
      <formula>0</formula>
    </cfRule>
  </conditionalFormatting>
  <conditionalFormatting sqref="R84:R91">
    <cfRule type="cellIs" dxfId="15277" priority="445" operator="lessThan">
      <formula>0.8</formula>
    </cfRule>
    <cfRule type="cellIs" dxfId="15276" priority="446" operator="greaterThan">
      <formula>1</formula>
    </cfRule>
  </conditionalFormatting>
  <conditionalFormatting sqref="R84:R91">
    <cfRule type="cellIs" dxfId="15275" priority="443" operator="greaterThan">
      <formula>1</formula>
    </cfRule>
    <cfRule type="cellIs" dxfId="15274" priority="444" operator="lessThan">
      <formula>0.8</formula>
    </cfRule>
  </conditionalFormatting>
  <conditionalFormatting sqref="P84:P91">
    <cfRule type="cellIs" dxfId="15273" priority="442" operator="greaterThan">
      <formula>0</formula>
    </cfRule>
  </conditionalFormatting>
  <conditionalFormatting sqref="P84:P91">
    <cfRule type="cellIs" dxfId="15272" priority="436" operator="greaterThan">
      <formula>0</formula>
    </cfRule>
  </conditionalFormatting>
  <conditionalFormatting sqref="Q84:Q91">
    <cfRule type="cellIs" dxfId="15271" priority="441" operator="lessThan">
      <formula>0</formula>
    </cfRule>
  </conditionalFormatting>
  <conditionalFormatting sqref="R84:R91">
    <cfRule type="cellIs" dxfId="15270" priority="439" operator="lessThan">
      <formula>0.8</formula>
    </cfRule>
    <cfRule type="cellIs" dxfId="15269" priority="440" operator="greaterThan">
      <formula>1</formula>
    </cfRule>
  </conditionalFormatting>
  <conditionalFormatting sqref="R84:R91">
    <cfRule type="cellIs" dxfId="15268" priority="437" operator="greaterThan">
      <formula>1</formula>
    </cfRule>
    <cfRule type="cellIs" dxfId="15267" priority="438" operator="lessThan">
      <formula>0.8</formula>
    </cfRule>
  </conditionalFormatting>
  <conditionalFormatting sqref="P84:P91">
    <cfRule type="cellIs" dxfId="15266" priority="430" operator="greaterThan">
      <formula>0</formula>
    </cfRule>
  </conditionalFormatting>
  <conditionalFormatting sqref="Q84:Q91">
    <cfRule type="cellIs" dxfId="15265" priority="435" operator="lessThan">
      <formula>0</formula>
    </cfRule>
  </conditionalFormatting>
  <conditionalFormatting sqref="R84:R91">
    <cfRule type="cellIs" dxfId="15264" priority="433" operator="lessThan">
      <formula>0.8</formula>
    </cfRule>
    <cfRule type="cellIs" dxfId="15263" priority="434" operator="greaterThan">
      <formula>1</formula>
    </cfRule>
  </conditionalFormatting>
  <conditionalFormatting sqref="R84:R91">
    <cfRule type="cellIs" dxfId="15262" priority="431" operator="greaterThan">
      <formula>1</formula>
    </cfRule>
    <cfRule type="cellIs" dxfId="15261" priority="432" operator="lessThan">
      <formula>0.8</formula>
    </cfRule>
  </conditionalFormatting>
  <conditionalFormatting sqref="R84:R91">
    <cfRule type="cellIs" dxfId="15260" priority="427" operator="lessThan">
      <formula>0.8</formula>
    </cfRule>
    <cfRule type="cellIs" dxfId="15259" priority="428" operator="greaterThan">
      <formula>1</formula>
    </cfRule>
  </conditionalFormatting>
  <conditionalFormatting sqref="R84:R91">
    <cfRule type="cellIs" dxfId="15258" priority="425" operator="greaterThan">
      <formula>1</formula>
    </cfRule>
    <cfRule type="cellIs" dxfId="15257" priority="426" operator="lessThan">
      <formula>0.8</formula>
    </cfRule>
  </conditionalFormatting>
  <conditionalFormatting sqref="P84:P91">
    <cfRule type="cellIs" dxfId="15256" priority="424" operator="greaterThan">
      <formula>0</formula>
    </cfRule>
  </conditionalFormatting>
  <conditionalFormatting sqref="Q84:Q91">
    <cfRule type="cellIs" dxfId="15255" priority="429" operator="lessThan">
      <formula>0</formula>
    </cfRule>
  </conditionalFormatting>
  <conditionalFormatting sqref="Q84:Q91">
    <cfRule type="cellIs" dxfId="15254" priority="418" operator="lessThan">
      <formula>0</formula>
    </cfRule>
  </conditionalFormatting>
  <conditionalFormatting sqref="P84:P91">
    <cfRule type="cellIs" dxfId="15253" priority="419" operator="greaterThan">
      <formula>0</formula>
    </cfRule>
  </conditionalFormatting>
  <conditionalFormatting sqref="R84:R91">
    <cfRule type="cellIs" dxfId="15252" priority="422" operator="lessThan">
      <formula>0.8</formula>
    </cfRule>
    <cfRule type="cellIs" dxfId="15251" priority="423" operator="greaterThan">
      <formula>1</formula>
    </cfRule>
  </conditionalFormatting>
  <conditionalFormatting sqref="R84:R91">
    <cfRule type="cellIs" dxfId="15250" priority="420" operator="greaterThan">
      <formula>1</formula>
    </cfRule>
    <cfRule type="cellIs" dxfId="15249" priority="421" operator="lessThan">
      <formula>0.8</formula>
    </cfRule>
  </conditionalFormatting>
  <conditionalFormatting sqref="Q84:Q91">
    <cfRule type="cellIs" dxfId="15248" priority="412" operator="lessThan">
      <formula>0</formula>
    </cfRule>
  </conditionalFormatting>
  <conditionalFormatting sqref="R84:R91">
    <cfRule type="cellIs" dxfId="15247" priority="416" operator="lessThan">
      <formula>0.8</formula>
    </cfRule>
    <cfRule type="cellIs" dxfId="15246" priority="417" operator="greaterThan">
      <formula>1</formula>
    </cfRule>
  </conditionalFormatting>
  <conditionalFormatting sqref="R84:R91">
    <cfRule type="cellIs" dxfId="15245" priority="414" operator="greaterThan">
      <formula>1</formula>
    </cfRule>
    <cfRule type="cellIs" dxfId="15244" priority="415" operator="lessThan">
      <formula>0.8</formula>
    </cfRule>
  </conditionalFormatting>
  <conditionalFormatting sqref="P84:P91">
    <cfRule type="cellIs" dxfId="15243" priority="413" operator="greaterThan">
      <formula>0</formula>
    </cfRule>
  </conditionalFormatting>
  <conditionalFormatting sqref="Q84:Q91">
    <cfRule type="cellIs" dxfId="15242" priority="411" operator="lessThan">
      <formula>0</formula>
    </cfRule>
  </conditionalFormatting>
  <conditionalFormatting sqref="R84:R91">
    <cfRule type="cellIs" dxfId="15241" priority="409" operator="lessThan">
      <formula>0.8</formula>
    </cfRule>
    <cfRule type="cellIs" dxfId="15240" priority="410" operator="greaterThan">
      <formula>1</formula>
    </cfRule>
  </conditionalFormatting>
  <conditionalFormatting sqref="R84:R91">
    <cfRule type="cellIs" dxfId="15239" priority="407" operator="greaterThan">
      <formula>1</formula>
    </cfRule>
    <cfRule type="cellIs" dxfId="15238" priority="408" operator="lessThan">
      <formula>0.8</formula>
    </cfRule>
  </conditionalFormatting>
  <conditionalFormatting sqref="P84:P91">
    <cfRule type="cellIs" dxfId="15237" priority="406" operator="greaterThan">
      <formula>0</formula>
    </cfRule>
  </conditionalFormatting>
  <conditionalFormatting sqref="Q84:Q91">
    <cfRule type="cellIs" dxfId="15236" priority="405" operator="lessThan">
      <formula>0</formula>
    </cfRule>
  </conditionalFormatting>
  <conditionalFormatting sqref="R84:R91">
    <cfRule type="cellIs" dxfId="15235" priority="403" operator="lessThan">
      <formula>0.8</formula>
    </cfRule>
    <cfRule type="cellIs" dxfId="15234" priority="404" operator="greaterThan">
      <formula>1</formula>
    </cfRule>
  </conditionalFormatting>
  <conditionalFormatting sqref="R84:R91">
    <cfRule type="cellIs" dxfId="15233" priority="401" operator="greaterThan">
      <formula>1</formula>
    </cfRule>
    <cfRule type="cellIs" dxfId="15232" priority="402" operator="lessThan">
      <formula>0.8</formula>
    </cfRule>
  </conditionalFormatting>
  <conditionalFormatting sqref="P84:P91">
    <cfRule type="cellIs" dxfId="15231" priority="400" operator="greaterThan">
      <formula>0</formula>
    </cfRule>
  </conditionalFormatting>
  <conditionalFormatting sqref="Q84:Q91">
    <cfRule type="cellIs" dxfId="15230" priority="399" operator="lessThan">
      <formula>0</formula>
    </cfRule>
  </conditionalFormatting>
  <conditionalFormatting sqref="R84:R91">
    <cfRule type="cellIs" dxfId="15229" priority="397" operator="lessThan">
      <formula>0.8</formula>
    </cfRule>
    <cfRule type="cellIs" dxfId="15228" priority="398" operator="greaterThan">
      <formula>1</formula>
    </cfRule>
  </conditionalFormatting>
  <conditionalFormatting sqref="R84:R91">
    <cfRule type="cellIs" dxfId="15227" priority="395" operator="greaterThan">
      <formula>1</formula>
    </cfRule>
    <cfRule type="cellIs" dxfId="15226" priority="396" operator="lessThan">
      <formula>0.8</formula>
    </cfRule>
  </conditionalFormatting>
  <conditionalFormatting sqref="P84:P91">
    <cfRule type="cellIs" dxfId="15225" priority="394" operator="greaterThan">
      <formula>0</formula>
    </cfRule>
  </conditionalFormatting>
  <conditionalFormatting sqref="Q84:Q91">
    <cfRule type="cellIs" dxfId="15224" priority="393" operator="lessThan">
      <formula>0</formula>
    </cfRule>
  </conditionalFormatting>
  <conditionalFormatting sqref="R84:R91">
    <cfRule type="cellIs" dxfId="15223" priority="391" operator="lessThan">
      <formula>0.8</formula>
    </cfRule>
    <cfRule type="cellIs" dxfId="15222" priority="392" operator="greaterThan">
      <formula>1</formula>
    </cfRule>
  </conditionalFormatting>
  <conditionalFormatting sqref="R84:R91">
    <cfRule type="cellIs" dxfId="15221" priority="389" operator="greaterThan">
      <formula>1</formula>
    </cfRule>
    <cfRule type="cellIs" dxfId="15220" priority="390" operator="lessThan">
      <formula>0.8</formula>
    </cfRule>
  </conditionalFormatting>
  <conditionalFormatting sqref="P84:P91">
    <cfRule type="cellIs" dxfId="15219" priority="388" operator="greaterThan">
      <formula>0</formula>
    </cfRule>
  </conditionalFormatting>
  <conditionalFormatting sqref="Q84:Q91">
    <cfRule type="cellIs" dxfId="15218" priority="387" operator="lessThan">
      <formula>0</formula>
    </cfRule>
  </conditionalFormatting>
  <conditionalFormatting sqref="R84:R91">
    <cfRule type="cellIs" dxfId="15217" priority="385" operator="lessThan">
      <formula>0.8</formula>
    </cfRule>
    <cfRule type="cellIs" dxfId="15216" priority="386" operator="greaterThan">
      <formula>1</formula>
    </cfRule>
  </conditionalFormatting>
  <conditionalFormatting sqref="R84:R91">
    <cfRule type="cellIs" dxfId="15215" priority="383" operator="greaterThan">
      <formula>1</formula>
    </cfRule>
    <cfRule type="cellIs" dxfId="15214" priority="384" operator="lessThan">
      <formula>0.8</formula>
    </cfRule>
  </conditionalFormatting>
  <conditionalFormatting sqref="P84:P91">
    <cfRule type="cellIs" dxfId="15213" priority="382" operator="greaterThan">
      <formula>0</formula>
    </cfRule>
  </conditionalFormatting>
  <conditionalFormatting sqref="Q84:Q91">
    <cfRule type="cellIs" dxfId="15212" priority="381" operator="lessThan">
      <formula>0</formula>
    </cfRule>
  </conditionalFormatting>
  <conditionalFormatting sqref="R84:R91">
    <cfRule type="cellIs" dxfId="15211" priority="379" operator="lessThan">
      <formula>0.8</formula>
    </cfRule>
    <cfRule type="cellIs" dxfId="15210" priority="380" operator="greaterThan">
      <formula>1</formula>
    </cfRule>
  </conditionalFormatting>
  <conditionalFormatting sqref="R84:R91">
    <cfRule type="cellIs" dxfId="15209" priority="377" operator="greaterThan">
      <formula>1</formula>
    </cfRule>
    <cfRule type="cellIs" dxfId="15208" priority="378" operator="lessThan">
      <formula>0.8</formula>
    </cfRule>
  </conditionalFormatting>
  <conditionalFormatting sqref="P84:P91">
    <cfRule type="cellIs" dxfId="15207" priority="376" operator="greaterThan">
      <formula>0</formula>
    </cfRule>
  </conditionalFormatting>
  <conditionalFormatting sqref="Q84:Q91">
    <cfRule type="cellIs" dxfId="15206" priority="375" operator="lessThan">
      <formula>0</formula>
    </cfRule>
  </conditionalFormatting>
  <conditionalFormatting sqref="R84:R91">
    <cfRule type="cellIs" dxfId="15205" priority="373" operator="lessThan">
      <formula>0.8</formula>
    </cfRule>
    <cfRule type="cellIs" dxfId="15204" priority="374" operator="greaterThan">
      <formula>1</formula>
    </cfRule>
  </conditionalFormatting>
  <conditionalFormatting sqref="R84:R91">
    <cfRule type="cellIs" dxfId="15203" priority="371" operator="greaterThan">
      <formula>1</formula>
    </cfRule>
    <cfRule type="cellIs" dxfId="15202" priority="372" operator="lessThan">
      <formula>0.8</formula>
    </cfRule>
  </conditionalFormatting>
  <conditionalFormatting sqref="P84:P91">
    <cfRule type="cellIs" dxfId="15201" priority="370" operator="greaterThan">
      <formula>0</formula>
    </cfRule>
  </conditionalFormatting>
  <conditionalFormatting sqref="P84:P91">
    <cfRule type="cellIs" dxfId="15200" priority="364" operator="greaterThan">
      <formula>0</formula>
    </cfRule>
  </conditionalFormatting>
  <conditionalFormatting sqref="Q84:Q91">
    <cfRule type="cellIs" dxfId="15199" priority="369" operator="lessThan">
      <formula>0</formula>
    </cfRule>
  </conditionalFormatting>
  <conditionalFormatting sqref="R84:R91">
    <cfRule type="cellIs" dxfId="15198" priority="367" operator="lessThan">
      <formula>0.8</formula>
    </cfRule>
    <cfRule type="cellIs" dxfId="15197" priority="368" operator="greaterThan">
      <formula>1</formula>
    </cfRule>
  </conditionalFormatting>
  <conditionalFormatting sqref="R84:R91">
    <cfRule type="cellIs" dxfId="15196" priority="365" operator="greaterThan">
      <formula>1</formula>
    </cfRule>
    <cfRule type="cellIs" dxfId="15195" priority="366" operator="lessThan">
      <formula>0.8</formula>
    </cfRule>
  </conditionalFormatting>
  <conditionalFormatting sqref="P84:P91">
    <cfRule type="cellIs" dxfId="15194" priority="358" operator="greaterThan">
      <formula>0</formula>
    </cfRule>
  </conditionalFormatting>
  <conditionalFormatting sqref="Q84:Q91">
    <cfRule type="cellIs" dxfId="15193" priority="363" operator="lessThan">
      <formula>0</formula>
    </cfRule>
  </conditionalFormatting>
  <conditionalFormatting sqref="R84:R91">
    <cfRule type="cellIs" dxfId="15192" priority="361" operator="lessThan">
      <formula>0.8</formula>
    </cfRule>
    <cfRule type="cellIs" dxfId="15191" priority="362" operator="greaterThan">
      <formula>1</formula>
    </cfRule>
  </conditionalFormatting>
  <conditionalFormatting sqref="R84:R91">
    <cfRule type="cellIs" dxfId="15190" priority="359" operator="greaterThan">
      <formula>1</formula>
    </cfRule>
    <cfRule type="cellIs" dxfId="15189" priority="360" operator="lessThan">
      <formula>0.8</formula>
    </cfRule>
  </conditionalFormatting>
  <conditionalFormatting sqref="R84:R91">
    <cfRule type="cellIs" dxfId="15188" priority="355" operator="lessThan">
      <formula>0.8</formula>
    </cfRule>
    <cfRule type="cellIs" dxfId="15187" priority="356" operator="greaterThan">
      <formula>1</formula>
    </cfRule>
  </conditionalFormatting>
  <conditionalFormatting sqref="R84:R91">
    <cfRule type="cellIs" dxfId="15186" priority="353" operator="greaterThan">
      <formula>1</formula>
    </cfRule>
    <cfRule type="cellIs" dxfId="15185" priority="354" operator="lessThan">
      <formula>0.8</formula>
    </cfRule>
  </conditionalFormatting>
  <conditionalFormatting sqref="P84:P91">
    <cfRule type="cellIs" dxfId="15184" priority="352" operator="greaterThan">
      <formula>0</formula>
    </cfRule>
  </conditionalFormatting>
  <conditionalFormatting sqref="Q84:Q91">
    <cfRule type="cellIs" dxfId="15183" priority="357" operator="lessThan">
      <formula>0</formula>
    </cfRule>
  </conditionalFormatting>
  <conditionalFormatting sqref="Q84:Q91">
    <cfRule type="cellIs" dxfId="15182" priority="351" operator="lessThan">
      <formula>0</formula>
    </cfRule>
  </conditionalFormatting>
  <conditionalFormatting sqref="R84:R91">
    <cfRule type="cellIs" dxfId="15181" priority="349" operator="lessThan">
      <formula>0.8</formula>
    </cfRule>
    <cfRule type="cellIs" dxfId="15180" priority="350" operator="greaterThan">
      <formula>1</formula>
    </cfRule>
  </conditionalFormatting>
  <conditionalFormatting sqref="R84:R91">
    <cfRule type="cellIs" dxfId="15179" priority="347" operator="greaterThan">
      <formula>1</formula>
    </cfRule>
    <cfRule type="cellIs" dxfId="15178" priority="348" operator="lessThan">
      <formula>0.8</formula>
    </cfRule>
  </conditionalFormatting>
  <conditionalFormatting sqref="P84:P91">
    <cfRule type="cellIs" dxfId="15177" priority="346" operator="greaterThan">
      <formula>0</formula>
    </cfRule>
  </conditionalFormatting>
  <conditionalFormatting sqref="P84:P91">
    <cfRule type="cellIs" dxfId="15176" priority="340" operator="greaterThan">
      <formula>0</formula>
    </cfRule>
  </conditionalFormatting>
  <conditionalFormatting sqref="Q84:Q91">
    <cfRule type="cellIs" dxfId="15175" priority="345" operator="lessThan">
      <formula>0</formula>
    </cfRule>
  </conditionalFormatting>
  <conditionalFormatting sqref="R84:R91">
    <cfRule type="cellIs" dxfId="15174" priority="343" operator="lessThan">
      <formula>0.8</formula>
    </cfRule>
    <cfRule type="cellIs" dxfId="15173" priority="344" operator="greaterThan">
      <formula>1</formula>
    </cfRule>
  </conditionalFormatting>
  <conditionalFormatting sqref="R84:R91">
    <cfRule type="cellIs" dxfId="15172" priority="341" operator="greaterThan">
      <formula>1</formula>
    </cfRule>
    <cfRule type="cellIs" dxfId="15171" priority="342" operator="lessThan">
      <formula>0.8</formula>
    </cfRule>
  </conditionalFormatting>
  <conditionalFormatting sqref="P84:P91">
    <cfRule type="cellIs" dxfId="15170" priority="334" operator="greaterThan">
      <formula>0</formula>
    </cfRule>
  </conditionalFormatting>
  <conditionalFormatting sqref="Q84:Q91">
    <cfRule type="cellIs" dxfId="15169" priority="339" operator="lessThan">
      <formula>0</formula>
    </cfRule>
  </conditionalFormatting>
  <conditionalFormatting sqref="R84:R91">
    <cfRule type="cellIs" dxfId="15168" priority="337" operator="lessThan">
      <formula>0.8</formula>
    </cfRule>
    <cfRule type="cellIs" dxfId="15167" priority="338" operator="greaterThan">
      <formula>1</formula>
    </cfRule>
  </conditionalFormatting>
  <conditionalFormatting sqref="R84:R91">
    <cfRule type="cellIs" dxfId="15166" priority="335" operator="greaterThan">
      <formula>1</formula>
    </cfRule>
    <cfRule type="cellIs" dxfId="15165" priority="336" operator="lessThan">
      <formula>0.8</formula>
    </cfRule>
  </conditionalFormatting>
  <conditionalFormatting sqref="R84:R91">
    <cfRule type="cellIs" dxfId="15164" priority="331" operator="lessThan">
      <formula>0.8</formula>
    </cfRule>
    <cfRule type="cellIs" dxfId="15163" priority="332" operator="greaterThan">
      <formula>1</formula>
    </cfRule>
  </conditionalFormatting>
  <conditionalFormatting sqref="R84:R91">
    <cfRule type="cellIs" dxfId="15162" priority="329" operator="greaterThan">
      <formula>1</formula>
    </cfRule>
    <cfRule type="cellIs" dxfId="15161" priority="330" operator="lessThan">
      <formula>0.8</formula>
    </cfRule>
  </conditionalFormatting>
  <conditionalFormatting sqref="P84:P91">
    <cfRule type="cellIs" dxfId="15160" priority="328" operator="greaterThan">
      <formula>0</formula>
    </cfRule>
  </conditionalFormatting>
  <conditionalFormatting sqref="Q84:Q91">
    <cfRule type="cellIs" dxfId="15159" priority="333" operator="lessThan">
      <formula>0</formula>
    </cfRule>
  </conditionalFormatting>
  <conditionalFormatting sqref="P84:P91">
    <cfRule type="cellIs" dxfId="15158" priority="322" operator="greaterThan">
      <formula>0</formula>
    </cfRule>
  </conditionalFormatting>
  <conditionalFormatting sqref="Q84:Q91">
    <cfRule type="cellIs" dxfId="15157" priority="327" operator="lessThan">
      <formula>0</formula>
    </cfRule>
  </conditionalFormatting>
  <conditionalFormatting sqref="R84:R91">
    <cfRule type="cellIs" dxfId="15156" priority="325" operator="lessThan">
      <formula>0.8</formula>
    </cfRule>
    <cfRule type="cellIs" dxfId="15155" priority="326" operator="greaterThan">
      <formula>1</formula>
    </cfRule>
  </conditionalFormatting>
  <conditionalFormatting sqref="R84:R91">
    <cfRule type="cellIs" dxfId="15154" priority="323" operator="greaterThan">
      <formula>1</formula>
    </cfRule>
    <cfRule type="cellIs" dxfId="15153" priority="324" operator="lessThan">
      <formula>0.8</formula>
    </cfRule>
  </conditionalFormatting>
  <conditionalFormatting sqref="R84:R91">
    <cfRule type="cellIs" dxfId="15152" priority="319" operator="lessThan">
      <formula>0.8</formula>
    </cfRule>
    <cfRule type="cellIs" dxfId="15151" priority="320" operator="greaterThan">
      <formula>1</formula>
    </cfRule>
  </conditionalFormatting>
  <conditionalFormatting sqref="R84:R91">
    <cfRule type="cellIs" dxfId="15150" priority="317" operator="greaterThan">
      <formula>1</formula>
    </cfRule>
    <cfRule type="cellIs" dxfId="15149" priority="318" operator="lessThan">
      <formula>0.8</formula>
    </cfRule>
  </conditionalFormatting>
  <conditionalFormatting sqref="P84:P91">
    <cfRule type="cellIs" dxfId="15148" priority="316" operator="greaterThan">
      <formula>0</formula>
    </cfRule>
  </conditionalFormatting>
  <conditionalFormatting sqref="Q84:Q91">
    <cfRule type="cellIs" dxfId="15147" priority="321" operator="lessThan">
      <formula>0</formula>
    </cfRule>
  </conditionalFormatting>
  <conditionalFormatting sqref="R84:R91">
    <cfRule type="cellIs" dxfId="15146" priority="313" operator="lessThan">
      <formula>0.8</formula>
    </cfRule>
    <cfRule type="cellIs" dxfId="15145" priority="314" operator="greaterThan">
      <formula>1</formula>
    </cfRule>
  </conditionalFormatting>
  <conditionalFormatting sqref="R84:R91">
    <cfRule type="cellIs" dxfId="15144" priority="311" operator="greaterThan">
      <formula>1</formula>
    </cfRule>
    <cfRule type="cellIs" dxfId="15143" priority="312" operator="lessThan">
      <formula>0.8</formula>
    </cfRule>
  </conditionalFormatting>
  <conditionalFormatting sqref="P84:P91">
    <cfRule type="cellIs" dxfId="15142" priority="310" operator="greaterThan">
      <formula>0</formula>
    </cfRule>
  </conditionalFormatting>
  <conditionalFormatting sqref="Q84:Q91">
    <cfRule type="cellIs" dxfId="15141" priority="315" operator="lessThan">
      <formula>0</formula>
    </cfRule>
  </conditionalFormatting>
  <conditionalFormatting sqref="Q84:Q91">
    <cfRule type="cellIs" dxfId="15140" priority="309" operator="lessThan">
      <formula>0</formula>
    </cfRule>
  </conditionalFormatting>
  <conditionalFormatting sqref="R84:R91">
    <cfRule type="cellIs" dxfId="15139" priority="307" operator="lessThan">
      <formula>0.8</formula>
    </cfRule>
    <cfRule type="cellIs" dxfId="15138" priority="308" operator="greaterThan">
      <formula>1</formula>
    </cfRule>
  </conditionalFormatting>
  <conditionalFormatting sqref="R84:R91">
    <cfRule type="cellIs" dxfId="15137" priority="305" operator="greaterThan">
      <formula>1</formula>
    </cfRule>
    <cfRule type="cellIs" dxfId="15136" priority="306" operator="lessThan">
      <formula>0.8</formula>
    </cfRule>
  </conditionalFormatting>
  <conditionalFormatting sqref="P84:P91">
    <cfRule type="cellIs" dxfId="15135" priority="304" operator="greaterThan">
      <formula>0</formula>
    </cfRule>
  </conditionalFormatting>
  <conditionalFormatting sqref="Q84:Q91">
    <cfRule type="cellIs" dxfId="15134" priority="298" operator="lessThan">
      <formula>0</formula>
    </cfRule>
  </conditionalFormatting>
  <conditionalFormatting sqref="R84:R91">
    <cfRule type="cellIs" dxfId="15133" priority="302" operator="lessThan">
      <formula>0.8</formula>
    </cfRule>
    <cfRule type="cellIs" dxfId="15132" priority="303" operator="greaterThan">
      <formula>1</formula>
    </cfRule>
  </conditionalFormatting>
  <conditionalFormatting sqref="R84:R91">
    <cfRule type="cellIs" dxfId="15131" priority="300" operator="greaterThan">
      <formula>1</formula>
    </cfRule>
    <cfRule type="cellIs" dxfId="15130" priority="301" operator="lessThan">
      <formula>0.8</formula>
    </cfRule>
  </conditionalFormatting>
  <conditionalFormatting sqref="P84:P91">
    <cfRule type="cellIs" dxfId="15129" priority="299" operator="greaterThan">
      <formula>0</formula>
    </cfRule>
  </conditionalFormatting>
  <conditionalFormatting sqref="Q84:Q91">
    <cfRule type="cellIs" dxfId="15128" priority="297" operator="lessThan">
      <formula>0</formula>
    </cfRule>
  </conditionalFormatting>
  <conditionalFormatting sqref="R84:R91">
    <cfRule type="cellIs" dxfId="15127" priority="295" operator="lessThan">
      <formula>0.8</formula>
    </cfRule>
    <cfRule type="cellIs" dxfId="15126" priority="296" operator="greaterThan">
      <formula>1</formula>
    </cfRule>
  </conditionalFormatting>
  <conditionalFormatting sqref="R84:R91">
    <cfRule type="cellIs" dxfId="15125" priority="293" operator="greaterThan">
      <formula>1</formula>
    </cfRule>
    <cfRule type="cellIs" dxfId="15124" priority="294" operator="lessThan">
      <formula>0.8</formula>
    </cfRule>
  </conditionalFormatting>
  <conditionalFormatting sqref="P84:P91">
    <cfRule type="cellIs" dxfId="15123" priority="292" operator="greaterThan">
      <formula>0</formula>
    </cfRule>
  </conditionalFormatting>
  <conditionalFormatting sqref="Q84:Q91">
    <cfRule type="cellIs" dxfId="15122" priority="291" operator="lessThan">
      <formula>0</formula>
    </cfRule>
  </conditionalFormatting>
  <conditionalFormatting sqref="R84:R91">
    <cfRule type="cellIs" dxfId="15121" priority="289" operator="lessThan">
      <formula>0.8</formula>
    </cfRule>
    <cfRule type="cellIs" dxfId="15120" priority="290" operator="greaterThan">
      <formula>1</formula>
    </cfRule>
  </conditionalFormatting>
  <conditionalFormatting sqref="R84:R91">
    <cfRule type="cellIs" dxfId="15119" priority="287" operator="greaterThan">
      <formula>1</formula>
    </cfRule>
    <cfRule type="cellIs" dxfId="15118" priority="288" operator="lessThan">
      <formula>0.8</formula>
    </cfRule>
  </conditionalFormatting>
  <conditionalFormatting sqref="P84:P91">
    <cfRule type="cellIs" dxfId="15117" priority="286" operator="greaterThan">
      <formula>0</formula>
    </cfRule>
  </conditionalFormatting>
  <conditionalFormatting sqref="Q84:Q91">
    <cfRule type="cellIs" dxfId="15116" priority="285" operator="lessThan">
      <formula>0</formula>
    </cfRule>
  </conditionalFormatting>
  <conditionalFormatting sqref="R84:R91">
    <cfRule type="cellIs" dxfId="15115" priority="283" operator="lessThan">
      <formula>0.8</formula>
    </cfRule>
    <cfRule type="cellIs" dxfId="15114" priority="284" operator="greaterThan">
      <formula>1</formula>
    </cfRule>
  </conditionalFormatting>
  <conditionalFormatting sqref="R84:R91">
    <cfRule type="cellIs" dxfId="15113" priority="281" operator="greaterThan">
      <formula>1</formula>
    </cfRule>
    <cfRule type="cellIs" dxfId="15112" priority="282" operator="lessThan">
      <formula>0.8</formula>
    </cfRule>
  </conditionalFormatting>
  <conditionalFormatting sqref="P84:P91">
    <cfRule type="cellIs" dxfId="15111" priority="280" operator="greaterThan">
      <formula>0</formula>
    </cfRule>
  </conditionalFormatting>
  <conditionalFormatting sqref="Q84:Q91">
    <cfRule type="cellIs" dxfId="15110" priority="279" operator="lessThan">
      <formula>0</formula>
    </cfRule>
  </conditionalFormatting>
  <conditionalFormatting sqref="R84:R91">
    <cfRule type="cellIs" dxfId="15109" priority="277" operator="lessThan">
      <formula>0.8</formula>
    </cfRule>
    <cfRule type="cellIs" dxfId="15108" priority="278" operator="greaterThan">
      <formula>1</formula>
    </cfRule>
  </conditionalFormatting>
  <conditionalFormatting sqref="R84:R91">
    <cfRule type="cellIs" dxfId="15107" priority="275" operator="greaterThan">
      <formula>1</formula>
    </cfRule>
    <cfRule type="cellIs" dxfId="15106" priority="276" operator="lessThan">
      <formula>0.8</formula>
    </cfRule>
  </conditionalFormatting>
  <conditionalFormatting sqref="P84:P91">
    <cfRule type="cellIs" dxfId="15105" priority="274" operator="greaterThan">
      <formula>0</formula>
    </cfRule>
  </conditionalFormatting>
  <conditionalFormatting sqref="Q84:Q91">
    <cfRule type="cellIs" dxfId="15104" priority="273" operator="lessThan">
      <formula>0</formula>
    </cfRule>
  </conditionalFormatting>
  <conditionalFormatting sqref="R84:R91">
    <cfRule type="cellIs" dxfId="15103" priority="271" operator="lessThan">
      <formula>0.8</formula>
    </cfRule>
    <cfRule type="cellIs" dxfId="15102" priority="272" operator="greaterThan">
      <formula>1</formula>
    </cfRule>
  </conditionalFormatting>
  <conditionalFormatting sqref="R84:R91">
    <cfRule type="cellIs" dxfId="15101" priority="269" operator="greaterThan">
      <formula>1</formula>
    </cfRule>
    <cfRule type="cellIs" dxfId="15100" priority="270" operator="lessThan">
      <formula>0.8</formula>
    </cfRule>
  </conditionalFormatting>
  <conditionalFormatting sqref="P84:P91">
    <cfRule type="cellIs" dxfId="15099" priority="268" operator="greaterThan">
      <formula>0</formula>
    </cfRule>
  </conditionalFormatting>
  <conditionalFormatting sqref="P84:P91">
    <cfRule type="cellIs" dxfId="15098" priority="262" operator="greaterThan">
      <formula>0</formula>
    </cfRule>
  </conditionalFormatting>
  <conditionalFormatting sqref="Q84:Q91">
    <cfRule type="cellIs" dxfId="15097" priority="267" operator="lessThan">
      <formula>0</formula>
    </cfRule>
  </conditionalFormatting>
  <conditionalFormatting sqref="R84:R91">
    <cfRule type="cellIs" dxfId="15096" priority="265" operator="lessThan">
      <formula>0.8</formula>
    </cfRule>
    <cfRule type="cellIs" dxfId="15095" priority="266" operator="greaterThan">
      <formula>1</formula>
    </cfRule>
  </conditionalFormatting>
  <conditionalFormatting sqref="R84:R91">
    <cfRule type="cellIs" dxfId="15094" priority="263" operator="greaterThan">
      <formula>1</formula>
    </cfRule>
    <cfRule type="cellIs" dxfId="15093" priority="264" operator="lessThan">
      <formula>0.8</formula>
    </cfRule>
  </conditionalFormatting>
  <conditionalFormatting sqref="P84:P91">
    <cfRule type="cellIs" dxfId="15092" priority="256" operator="greaterThan">
      <formula>0</formula>
    </cfRule>
  </conditionalFormatting>
  <conditionalFormatting sqref="Q84:Q91">
    <cfRule type="cellIs" dxfId="15091" priority="261" operator="lessThan">
      <formula>0</formula>
    </cfRule>
  </conditionalFormatting>
  <conditionalFormatting sqref="R84:R91">
    <cfRule type="cellIs" dxfId="15090" priority="259" operator="lessThan">
      <formula>0.8</formula>
    </cfRule>
    <cfRule type="cellIs" dxfId="15089" priority="260" operator="greaterThan">
      <formula>1</formula>
    </cfRule>
  </conditionalFormatting>
  <conditionalFormatting sqref="R84:R91">
    <cfRule type="cellIs" dxfId="15088" priority="257" operator="greaterThan">
      <formula>1</formula>
    </cfRule>
    <cfRule type="cellIs" dxfId="15087" priority="258" operator="lessThan">
      <formula>0.8</formula>
    </cfRule>
  </conditionalFormatting>
  <conditionalFormatting sqref="R84:R91">
    <cfRule type="cellIs" dxfId="15086" priority="253" operator="lessThan">
      <formula>0.8</formula>
    </cfRule>
    <cfRule type="cellIs" dxfId="15085" priority="254" operator="greaterThan">
      <formula>1</formula>
    </cfRule>
  </conditionalFormatting>
  <conditionalFormatting sqref="R84:R91">
    <cfRule type="cellIs" dxfId="15084" priority="251" operator="greaterThan">
      <formula>1</formula>
    </cfRule>
    <cfRule type="cellIs" dxfId="15083" priority="252" operator="lessThan">
      <formula>0.8</formula>
    </cfRule>
  </conditionalFormatting>
  <conditionalFormatting sqref="P84:P91">
    <cfRule type="cellIs" dxfId="15082" priority="250" operator="greaterThan">
      <formula>0</formula>
    </cfRule>
  </conditionalFormatting>
  <conditionalFormatting sqref="Q84:Q91">
    <cfRule type="cellIs" dxfId="15081" priority="255" operator="lessThan">
      <formula>0</formula>
    </cfRule>
  </conditionalFormatting>
  <conditionalFormatting sqref="Q84:Q91">
    <cfRule type="cellIs" dxfId="15080" priority="249" operator="lessThan">
      <formula>0</formula>
    </cfRule>
  </conditionalFormatting>
  <conditionalFormatting sqref="R84:R91">
    <cfRule type="cellIs" dxfId="15079" priority="247" operator="lessThan">
      <formula>0.8</formula>
    </cfRule>
    <cfRule type="cellIs" dxfId="15078" priority="248" operator="greaterThan">
      <formula>1</formula>
    </cfRule>
  </conditionalFormatting>
  <conditionalFormatting sqref="R84:R91">
    <cfRule type="cellIs" dxfId="15077" priority="245" operator="greaterThan">
      <formula>1</formula>
    </cfRule>
    <cfRule type="cellIs" dxfId="15076" priority="246" operator="lessThan">
      <formula>0.8</formula>
    </cfRule>
  </conditionalFormatting>
  <conditionalFormatting sqref="P84:P91">
    <cfRule type="cellIs" dxfId="15075" priority="244" operator="greaterThan">
      <formula>0</formula>
    </cfRule>
  </conditionalFormatting>
  <conditionalFormatting sqref="Q84:Q91">
    <cfRule type="cellIs" dxfId="15074" priority="243" operator="lessThan">
      <formula>0</formula>
    </cfRule>
  </conditionalFormatting>
  <conditionalFormatting sqref="R84:R91">
    <cfRule type="cellIs" dxfId="15073" priority="241" operator="lessThan">
      <formula>0.8</formula>
    </cfRule>
    <cfRule type="cellIs" dxfId="15072" priority="242" operator="greaterThan">
      <formula>1</formula>
    </cfRule>
  </conditionalFormatting>
  <conditionalFormatting sqref="R84:R91">
    <cfRule type="cellIs" dxfId="15071" priority="239" operator="greaterThan">
      <formula>1</formula>
    </cfRule>
    <cfRule type="cellIs" dxfId="15070" priority="240" operator="lessThan">
      <formula>0.8</formula>
    </cfRule>
  </conditionalFormatting>
  <conditionalFormatting sqref="P84:P91">
    <cfRule type="cellIs" dxfId="15069" priority="238" operator="greaterThan">
      <formula>0</formula>
    </cfRule>
  </conditionalFormatting>
  <conditionalFormatting sqref="Q84:Q91">
    <cfRule type="cellIs" dxfId="15068" priority="237" operator="lessThan">
      <formula>0</formula>
    </cfRule>
  </conditionalFormatting>
  <conditionalFormatting sqref="R84:R91">
    <cfRule type="cellIs" dxfId="15067" priority="235" operator="lessThan">
      <formula>0.8</formula>
    </cfRule>
    <cfRule type="cellIs" dxfId="15066" priority="236" operator="greaterThan">
      <formula>1</formula>
    </cfRule>
  </conditionalFormatting>
  <conditionalFormatting sqref="R84:R91">
    <cfRule type="cellIs" dxfId="15065" priority="233" operator="greaterThan">
      <formula>1</formula>
    </cfRule>
    <cfRule type="cellIs" dxfId="15064" priority="234" operator="lessThan">
      <formula>0.8</formula>
    </cfRule>
  </conditionalFormatting>
  <conditionalFormatting sqref="P84:P91">
    <cfRule type="cellIs" dxfId="15063" priority="232" operator="greaterThan">
      <formula>0</formula>
    </cfRule>
  </conditionalFormatting>
  <conditionalFormatting sqref="Q84:Q91">
    <cfRule type="cellIs" dxfId="15062" priority="231" operator="lessThan">
      <formula>0</formula>
    </cfRule>
  </conditionalFormatting>
  <conditionalFormatting sqref="R84:R91">
    <cfRule type="cellIs" dxfId="15061" priority="229" operator="lessThan">
      <formula>0.8</formula>
    </cfRule>
    <cfRule type="cellIs" dxfId="15060" priority="230" operator="greaterThan">
      <formula>1</formula>
    </cfRule>
  </conditionalFormatting>
  <conditionalFormatting sqref="R84:R91">
    <cfRule type="cellIs" dxfId="15059" priority="227" operator="greaterThan">
      <formula>1</formula>
    </cfRule>
    <cfRule type="cellIs" dxfId="15058" priority="228" operator="lessThan">
      <formula>0.8</formula>
    </cfRule>
  </conditionalFormatting>
  <conditionalFormatting sqref="P84:P91">
    <cfRule type="cellIs" dxfId="15057" priority="226" operator="greaterThan">
      <formula>0</formula>
    </cfRule>
  </conditionalFormatting>
  <conditionalFormatting sqref="P84:P91">
    <cfRule type="cellIs" dxfId="15056" priority="220" operator="greaterThan">
      <formula>0</formula>
    </cfRule>
  </conditionalFormatting>
  <conditionalFormatting sqref="Q84:Q91">
    <cfRule type="cellIs" dxfId="15055" priority="225" operator="lessThan">
      <formula>0</formula>
    </cfRule>
  </conditionalFormatting>
  <conditionalFormatting sqref="R84:R91">
    <cfRule type="cellIs" dxfId="15054" priority="223" operator="lessThan">
      <formula>0.8</formula>
    </cfRule>
    <cfRule type="cellIs" dxfId="15053" priority="224" operator="greaterThan">
      <formula>1</formula>
    </cfRule>
  </conditionalFormatting>
  <conditionalFormatting sqref="R84:R91">
    <cfRule type="cellIs" dxfId="15052" priority="221" operator="greaterThan">
      <formula>1</formula>
    </cfRule>
    <cfRule type="cellIs" dxfId="15051" priority="222" operator="lessThan">
      <formula>0.8</formula>
    </cfRule>
  </conditionalFormatting>
  <conditionalFormatting sqref="P84:P91">
    <cfRule type="cellIs" dxfId="15050" priority="214" operator="greaterThan">
      <formula>0</formula>
    </cfRule>
  </conditionalFormatting>
  <conditionalFormatting sqref="Q84:Q91">
    <cfRule type="cellIs" dxfId="15049" priority="219" operator="lessThan">
      <formula>0</formula>
    </cfRule>
  </conditionalFormatting>
  <conditionalFormatting sqref="R84:R91">
    <cfRule type="cellIs" dxfId="15048" priority="217" operator="lessThan">
      <formula>0.8</formula>
    </cfRule>
    <cfRule type="cellIs" dxfId="15047" priority="218" operator="greaterThan">
      <formula>1</formula>
    </cfRule>
  </conditionalFormatting>
  <conditionalFormatting sqref="R84:R91">
    <cfRule type="cellIs" dxfId="15046" priority="215" operator="greaterThan">
      <formula>1</formula>
    </cfRule>
    <cfRule type="cellIs" dxfId="15045" priority="216" operator="lessThan">
      <formula>0.8</formula>
    </cfRule>
  </conditionalFormatting>
  <conditionalFormatting sqref="R84:R91">
    <cfRule type="cellIs" dxfId="15044" priority="211" operator="lessThan">
      <formula>0.8</formula>
    </cfRule>
    <cfRule type="cellIs" dxfId="15043" priority="212" operator="greaterThan">
      <formula>1</formula>
    </cfRule>
  </conditionalFormatting>
  <conditionalFormatting sqref="R84:R91">
    <cfRule type="cellIs" dxfId="15042" priority="209" operator="greaterThan">
      <formula>1</formula>
    </cfRule>
    <cfRule type="cellIs" dxfId="15041" priority="210" operator="lessThan">
      <formula>0.8</formula>
    </cfRule>
  </conditionalFormatting>
  <conditionalFormatting sqref="P84:P91">
    <cfRule type="cellIs" dxfId="15040" priority="208" operator="greaterThan">
      <formula>0</formula>
    </cfRule>
  </conditionalFormatting>
  <conditionalFormatting sqref="Q84:Q91">
    <cfRule type="cellIs" dxfId="15039" priority="213" operator="lessThan">
      <formula>0</formula>
    </cfRule>
  </conditionalFormatting>
  <conditionalFormatting sqref="Q84:Q91">
    <cfRule type="cellIs" dxfId="15038" priority="207" operator="lessThan">
      <formula>0</formula>
    </cfRule>
  </conditionalFormatting>
  <conditionalFormatting sqref="R84:R91">
    <cfRule type="cellIs" dxfId="15037" priority="205" operator="lessThan">
      <formula>0.8</formula>
    </cfRule>
    <cfRule type="cellIs" dxfId="15036" priority="206" operator="greaterThan">
      <formula>1</formula>
    </cfRule>
  </conditionalFormatting>
  <conditionalFormatting sqref="R84:R91">
    <cfRule type="cellIs" dxfId="15035" priority="203" operator="greaterThan">
      <formula>1</formula>
    </cfRule>
    <cfRule type="cellIs" dxfId="15034" priority="204" operator="lessThan">
      <formula>0.8</formula>
    </cfRule>
  </conditionalFormatting>
  <conditionalFormatting sqref="P84:P91">
    <cfRule type="cellIs" dxfId="15033" priority="202" operator="greaterThan">
      <formula>0</formula>
    </cfRule>
  </conditionalFormatting>
  <conditionalFormatting sqref="P84:P91">
    <cfRule type="cellIs" dxfId="15032" priority="196" operator="greaterThan">
      <formula>0</formula>
    </cfRule>
  </conditionalFormatting>
  <conditionalFormatting sqref="Q84:Q91">
    <cfRule type="cellIs" dxfId="15031" priority="201" operator="lessThan">
      <formula>0</formula>
    </cfRule>
  </conditionalFormatting>
  <conditionalFormatting sqref="R84:R91">
    <cfRule type="cellIs" dxfId="15030" priority="199" operator="lessThan">
      <formula>0.8</formula>
    </cfRule>
    <cfRule type="cellIs" dxfId="15029" priority="200" operator="greaterThan">
      <formula>1</formula>
    </cfRule>
  </conditionalFormatting>
  <conditionalFormatting sqref="R84:R91">
    <cfRule type="cellIs" dxfId="15028" priority="197" operator="greaterThan">
      <formula>1</formula>
    </cfRule>
    <cfRule type="cellIs" dxfId="15027" priority="198" operator="lessThan">
      <formula>0.8</formula>
    </cfRule>
  </conditionalFormatting>
  <conditionalFormatting sqref="P84:P91">
    <cfRule type="cellIs" dxfId="15026" priority="190" operator="greaterThan">
      <formula>0</formula>
    </cfRule>
  </conditionalFormatting>
  <conditionalFormatting sqref="Q84:Q91">
    <cfRule type="cellIs" dxfId="15025" priority="195" operator="lessThan">
      <formula>0</formula>
    </cfRule>
  </conditionalFormatting>
  <conditionalFormatting sqref="R84:R91">
    <cfRule type="cellIs" dxfId="15024" priority="193" operator="lessThan">
      <formula>0.8</formula>
    </cfRule>
    <cfRule type="cellIs" dxfId="15023" priority="194" operator="greaterThan">
      <formula>1</formula>
    </cfRule>
  </conditionalFormatting>
  <conditionalFormatting sqref="R84:R91">
    <cfRule type="cellIs" dxfId="15022" priority="191" operator="greaterThan">
      <formula>1</formula>
    </cfRule>
    <cfRule type="cellIs" dxfId="15021" priority="192" operator="lessThan">
      <formula>0.8</formula>
    </cfRule>
  </conditionalFormatting>
  <conditionalFormatting sqref="R84:R91">
    <cfRule type="cellIs" dxfId="15020" priority="187" operator="lessThan">
      <formula>0.8</formula>
    </cfRule>
    <cfRule type="cellIs" dxfId="15019" priority="188" operator="greaterThan">
      <formula>1</formula>
    </cfRule>
  </conditionalFormatting>
  <conditionalFormatting sqref="R84:R91">
    <cfRule type="cellIs" dxfId="15018" priority="185" operator="greaterThan">
      <formula>1</formula>
    </cfRule>
    <cfRule type="cellIs" dxfId="15017" priority="186" operator="lessThan">
      <formula>0.8</formula>
    </cfRule>
  </conditionalFormatting>
  <conditionalFormatting sqref="P84:P91">
    <cfRule type="cellIs" dxfId="15016" priority="184" operator="greaterThan">
      <formula>0</formula>
    </cfRule>
  </conditionalFormatting>
  <conditionalFormatting sqref="Q84:Q91">
    <cfRule type="cellIs" dxfId="15015" priority="189" operator="lessThan">
      <formula>0</formula>
    </cfRule>
  </conditionalFormatting>
  <conditionalFormatting sqref="P84:P91">
    <cfRule type="cellIs" dxfId="15014" priority="178" operator="greaterThan">
      <formula>0</formula>
    </cfRule>
  </conditionalFormatting>
  <conditionalFormatting sqref="Q84:Q91">
    <cfRule type="cellIs" dxfId="15013" priority="183" operator="lessThan">
      <formula>0</formula>
    </cfRule>
  </conditionalFormatting>
  <conditionalFormatting sqref="R84:R91">
    <cfRule type="cellIs" dxfId="15012" priority="181" operator="lessThan">
      <formula>0.8</formula>
    </cfRule>
    <cfRule type="cellIs" dxfId="15011" priority="182" operator="greaterThan">
      <formula>1</formula>
    </cfRule>
  </conditionalFormatting>
  <conditionalFormatting sqref="R84:R91">
    <cfRule type="cellIs" dxfId="15010" priority="179" operator="greaterThan">
      <formula>1</formula>
    </cfRule>
    <cfRule type="cellIs" dxfId="15009" priority="180" operator="lessThan">
      <formula>0.8</formula>
    </cfRule>
  </conditionalFormatting>
  <conditionalFormatting sqref="R84:R91">
    <cfRule type="cellIs" dxfId="15008" priority="175" operator="lessThan">
      <formula>0.8</formula>
    </cfRule>
    <cfRule type="cellIs" dxfId="15007" priority="176" operator="greaterThan">
      <formula>1</formula>
    </cfRule>
  </conditionalFormatting>
  <conditionalFormatting sqref="R84:R91">
    <cfRule type="cellIs" dxfId="15006" priority="173" operator="greaterThan">
      <formula>1</formula>
    </cfRule>
    <cfRule type="cellIs" dxfId="15005" priority="174" operator="lessThan">
      <formula>0.8</formula>
    </cfRule>
  </conditionalFormatting>
  <conditionalFormatting sqref="P84:P91">
    <cfRule type="cellIs" dxfId="15004" priority="172" operator="greaterThan">
      <formula>0</formula>
    </cfRule>
  </conditionalFormatting>
  <conditionalFormatting sqref="Q84:Q91">
    <cfRule type="cellIs" dxfId="15003" priority="177" operator="lessThan">
      <formula>0</formula>
    </cfRule>
  </conditionalFormatting>
  <conditionalFormatting sqref="R84:R91">
    <cfRule type="cellIs" dxfId="15002" priority="169" operator="lessThan">
      <formula>0.8</formula>
    </cfRule>
    <cfRule type="cellIs" dxfId="15001" priority="170" operator="greaterThan">
      <formula>1</formula>
    </cfRule>
  </conditionalFormatting>
  <conditionalFormatting sqref="R84:R91">
    <cfRule type="cellIs" dxfId="15000" priority="167" operator="greaterThan">
      <formula>1</formula>
    </cfRule>
    <cfRule type="cellIs" dxfId="14999" priority="168" operator="lessThan">
      <formula>0.8</formula>
    </cfRule>
  </conditionalFormatting>
  <conditionalFormatting sqref="P84:P91">
    <cfRule type="cellIs" dxfId="14998" priority="166" operator="greaterThan">
      <formula>0</formula>
    </cfRule>
  </conditionalFormatting>
  <conditionalFormatting sqref="Q84:Q91">
    <cfRule type="cellIs" dxfId="14997" priority="171" operator="lessThan">
      <formula>0</formula>
    </cfRule>
  </conditionalFormatting>
  <conditionalFormatting sqref="Q84:Q91">
    <cfRule type="cellIs" dxfId="14996" priority="165" operator="lessThan">
      <formula>0</formula>
    </cfRule>
  </conditionalFormatting>
  <conditionalFormatting sqref="R84:R91">
    <cfRule type="cellIs" dxfId="14995" priority="163" operator="lessThan">
      <formula>0.8</formula>
    </cfRule>
    <cfRule type="cellIs" dxfId="14994" priority="164" operator="greaterThan">
      <formula>1</formula>
    </cfRule>
  </conditionalFormatting>
  <conditionalFormatting sqref="R84:R91">
    <cfRule type="cellIs" dxfId="14993" priority="161" operator="greaterThan">
      <formula>1</formula>
    </cfRule>
    <cfRule type="cellIs" dxfId="14992" priority="162" operator="lessThan">
      <formula>0.8</formula>
    </cfRule>
  </conditionalFormatting>
  <conditionalFormatting sqref="P84:P91">
    <cfRule type="cellIs" dxfId="14991" priority="160" operator="greaterThan">
      <formula>0</formula>
    </cfRule>
  </conditionalFormatting>
  <conditionalFormatting sqref="Q84:Q91">
    <cfRule type="cellIs" dxfId="14990" priority="154" operator="lessThan">
      <formula>0</formula>
    </cfRule>
  </conditionalFormatting>
  <conditionalFormatting sqref="R84:R91">
    <cfRule type="cellIs" dxfId="14989" priority="158" operator="lessThan">
      <formula>0.8</formula>
    </cfRule>
    <cfRule type="cellIs" dxfId="14988" priority="159" operator="greaterThan">
      <formula>1</formula>
    </cfRule>
  </conditionalFormatting>
  <conditionalFormatting sqref="R84:R91">
    <cfRule type="cellIs" dxfId="14987" priority="156" operator="greaterThan">
      <formula>1</formula>
    </cfRule>
    <cfRule type="cellIs" dxfId="14986" priority="157" operator="lessThan">
      <formula>0.8</formula>
    </cfRule>
  </conditionalFormatting>
  <conditionalFormatting sqref="P84:P91">
    <cfRule type="cellIs" dxfId="14985" priority="155" operator="greaterThan">
      <formula>0</formula>
    </cfRule>
  </conditionalFormatting>
  <conditionalFormatting sqref="Q84:Q91">
    <cfRule type="cellIs" dxfId="14984" priority="153" operator="lessThan">
      <formula>0</formula>
    </cfRule>
  </conditionalFormatting>
  <conditionalFormatting sqref="R84:R91">
    <cfRule type="cellIs" dxfId="14983" priority="151" operator="lessThan">
      <formula>0.8</formula>
    </cfRule>
    <cfRule type="cellIs" dxfId="14982" priority="152" operator="greaterThan">
      <formula>1</formula>
    </cfRule>
  </conditionalFormatting>
  <conditionalFormatting sqref="R84:R91">
    <cfRule type="cellIs" dxfId="14981" priority="149" operator="greaterThan">
      <formula>1</formula>
    </cfRule>
    <cfRule type="cellIs" dxfId="14980" priority="150" operator="lessThan">
      <formula>0.8</formula>
    </cfRule>
  </conditionalFormatting>
  <conditionalFormatting sqref="P84:P91">
    <cfRule type="cellIs" dxfId="14979" priority="148" operator="greaterThan">
      <formula>0</formula>
    </cfRule>
  </conditionalFormatting>
  <conditionalFormatting sqref="Q84:Q91">
    <cfRule type="cellIs" dxfId="14978" priority="147" operator="lessThan">
      <formula>0</formula>
    </cfRule>
  </conditionalFormatting>
  <conditionalFormatting sqref="R84:R91">
    <cfRule type="cellIs" dxfId="14977" priority="145" operator="lessThan">
      <formula>0.8</formula>
    </cfRule>
    <cfRule type="cellIs" dxfId="14976" priority="146" operator="greaterThan">
      <formula>1</formula>
    </cfRule>
  </conditionalFormatting>
  <conditionalFormatting sqref="R84:R91">
    <cfRule type="cellIs" dxfId="14975" priority="143" operator="greaterThan">
      <formula>1</formula>
    </cfRule>
    <cfRule type="cellIs" dxfId="14974" priority="144" operator="lessThan">
      <formula>0.8</formula>
    </cfRule>
  </conditionalFormatting>
  <conditionalFormatting sqref="P84:P91">
    <cfRule type="cellIs" dxfId="14973" priority="142" operator="greaterThan">
      <formula>0</formula>
    </cfRule>
  </conditionalFormatting>
  <conditionalFormatting sqref="Q84:Q91">
    <cfRule type="cellIs" dxfId="14972" priority="141" operator="lessThan">
      <formula>0</formula>
    </cfRule>
  </conditionalFormatting>
  <conditionalFormatting sqref="R84:R91">
    <cfRule type="cellIs" dxfId="14971" priority="139" operator="lessThan">
      <formula>0.8</formula>
    </cfRule>
    <cfRule type="cellIs" dxfId="14970" priority="140" operator="greaterThan">
      <formula>1</formula>
    </cfRule>
  </conditionalFormatting>
  <conditionalFormatting sqref="R84:R91">
    <cfRule type="cellIs" dxfId="14969" priority="137" operator="greaterThan">
      <formula>1</formula>
    </cfRule>
    <cfRule type="cellIs" dxfId="14968" priority="138" operator="lessThan">
      <formula>0.8</formula>
    </cfRule>
  </conditionalFormatting>
  <conditionalFormatting sqref="P84:P91">
    <cfRule type="cellIs" dxfId="14967" priority="136" operator="greaterThan">
      <formula>0</formula>
    </cfRule>
  </conditionalFormatting>
  <conditionalFormatting sqref="Q84:Q91">
    <cfRule type="cellIs" dxfId="14966" priority="135" operator="lessThan">
      <formula>0</formula>
    </cfRule>
  </conditionalFormatting>
  <conditionalFormatting sqref="R84:R91">
    <cfRule type="cellIs" dxfId="14965" priority="133" operator="lessThan">
      <formula>0.8</formula>
    </cfRule>
    <cfRule type="cellIs" dxfId="14964" priority="134" operator="greaterThan">
      <formula>1</formula>
    </cfRule>
  </conditionalFormatting>
  <conditionalFormatting sqref="R84:R91">
    <cfRule type="cellIs" dxfId="14963" priority="131" operator="greaterThan">
      <formula>1</formula>
    </cfRule>
    <cfRule type="cellIs" dxfId="14962" priority="132" operator="lessThan">
      <formula>0.8</formula>
    </cfRule>
  </conditionalFormatting>
  <conditionalFormatting sqref="P84:P91">
    <cfRule type="cellIs" dxfId="14961" priority="130" operator="greaterThan">
      <formula>0</formula>
    </cfRule>
  </conditionalFormatting>
  <conditionalFormatting sqref="Q84:Q91">
    <cfRule type="cellIs" dxfId="14960" priority="129" operator="lessThan">
      <formula>0</formula>
    </cfRule>
  </conditionalFormatting>
  <conditionalFormatting sqref="R84:R91">
    <cfRule type="cellIs" dxfId="14959" priority="127" operator="lessThan">
      <formula>0.8</formula>
    </cfRule>
    <cfRule type="cellIs" dxfId="14958" priority="128" operator="greaterThan">
      <formula>1</formula>
    </cfRule>
  </conditionalFormatting>
  <conditionalFormatting sqref="R84:R91">
    <cfRule type="cellIs" dxfId="14957" priority="125" operator="greaterThan">
      <formula>1</formula>
    </cfRule>
    <cfRule type="cellIs" dxfId="14956" priority="126" operator="lessThan">
      <formula>0.8</formula>
    </cfRule>
  </conditionalFormatting>
  <conditionalFormatting sqref="P84:P91">
    <cfRule type="cellIs" dxfId="14955" priority="124" operator="greaterThan">
      <formula>0</formula>
    </cfRule>
  </conditionalFormatting>
  <conditionalFormatting sqref="P84:P91">
    <cfRule type="cellIs" dxfId="14954" priority="118" operator="greaterThan">
      <formula>0</formula>
    </cfRule>
  </conditionalFormatting>
  <conditionalFormatting sqref="Q84:Q91">
    <cfRule type="cellIs" dxfId="14953" priority="123" operator="lessThan">
      <formula>0</formula>
    </cfRule>
  </conditionalFormatting>
  <conditionalFormatting sqref="R84:R91">
    <cfRule type="cellIs" dxfId="14952" priority="121" operator="lessThan">
      <formula>0.8</formula>
    </cfRule>
    <cfRule type="cellIs" dxfId="14951" priority="122" operator="greaterThan">
      <formula>1</formula>
    </cfRule>
  </conditionalFormatting>
  <conditionalFormatting sqref="R84:R91">
    <cfRule type="cellIs" dxfId="14950" priority="119" operator="greaterThan">
      <formula>1</formula>
    </cfRule>
    <cfRule type="cellIs" dxfId="14949" priority="120" operator="lessThan">
      <formula>0.8</formula>
    </cfRule>
  </conditionalFormatting>
  <conditionalFormatting sqref="P84:P91">
    <cfRule type="cellIs" dxfId="14948" priority="112" operator="greaterThan">
      <formula>0</formula>
    </cfRule>
  </conditionalFormatting>
  <conditionalFormatting sqref="Q84:Q91">
    <cfRule type="cellIs" dxfId="14947" priority="117" operator="lessThan">
      <formula>0</formula>
    </cfRule>
  </conditionalFormatting>
  <conditionalFormatting sqref="R84:R91">
    <cfRule type="cellIs" dxfId="14946" priority="115" operator="lessThan">
      <formula>0.8</formula>
    </cfRule>
    <cfRule type="cellIs" dxfId="14945" priority="116" operator="greaterThan">
      <formula>1</formula>
    </cfRule>
  </conditionalFormatting>
  <conditionalFormatting sqref="R84:R91">
    <cfRule type="cellIs" dxfId="14944" priority="113" operator="greaterThan">
      <formula>1</formula>
    </cfRule>
    <cfRule type="cellIs" dxfId="14943" priority="114" operator="lessThan">
      <formula>0.8</formula>
    </cfRule>
  </conditionalFormatting>
  <conditionalFormatting sqref="R84:R91">
    <cfRule type="cellIs" dxfId="14942" priority="109" operator="lessThan">
      <formula>0.8</formula>
    </cfRule>
    <cfRule type="cellIs" dxfId="14941" priority="110" operator="greaterThan">
      <formula>1</formula>
    </cfRule>
  </conditionalFormatting>
  <conditionalFormatting sqref="R84:R91">
    <cfRule type="cellIs" dxfId="14940" priority="107" operator="greaterThan">
      <formula>1</formula>
    </cfRule>
    <cfRule type="cellIs" dxfId="14939" priority="108" operator="lessThan">
      <formula>0.8</formula>
    </cfRule>
  </conditionalFormatting>
  <conditionalFormatting sqref="P84:P91">
    <cfRule type="cellIs" dxfId="14938" priority="106" operator="greaterThan">
      <formula>0</formula>
    </cfRule>
  </conditionalFormatting>
  <conditionalFormatting sqref="Q84:Q91">
    <cfRule type="cellIs" dxfId="14937" priority="111" operator="lessThan">
      <formula>0</formula>
    </cfRule>
  </conditionalFormatting>
  <conditionalFormatting sqref="Q84:Q91">
    <cfRule type="cellIs" dxfId="14936" priority="100" operator="lessThan">
      <formula>0</formula>
    </cfRule>
  </conditionalFormatting>
  <conditionalFormatting sqref="P84:P91">
    <cfRule type="cellIs" dxfId="14935" priority="101" operator="greaterThan">
      <formula>0</formula>
    </cfRule>
  </conditionalFormatting>
  <conditionalFormatting sqref="R84:R91">
    <cfRule type="cellIs" dxfId="14934" priority="104" operator="lessThan">
      <formula>0.8</formula>
    </cfRule>
    <cfRule type="cellIs" dxfId="14933" priority="105" operator="greaterThan">
      <formula>1</formula>
    </cfRule>
  </conditionalFormatting>
  <conditionalFormatting sqref="R84:R91">
    <cfRule type="cellIs" dxfId="14932" priority="102" operator="greaterThan">
      <formula>1</formula>
    </cfRule>
    <cfRule type="cellIs" dxfId="14931" priority="103" operator="lessThan">
      <formula>0.8</formula>
    </cfRule>
  </conditionalFormatting>
  <conditionalFormatting sqref="Q84:Q91">
    <cfRule type="cellIs" dxfId="14930" priority="94" operator="lessThan">
      <formula>0</formula>
    </cfRule>
  </conditionalFormatting>
  <conditionalFormatting sqref="R84:R91">
    <cfRule type="cellIs" dxfId="14929" priority="98" operator="lessThan">
      <formula>0.8</formula>
    </cfRule>
    <cfRule type="cellIs" dxfId="14928" priority="99" operator="greaterThan">
      <formula>1</formula>
    </cfRule>
  </conditionalFormatting>
  <conditionalFormatting sqref="R84:R91">
    <cfRule type="cellIs" dxfId="14927" priority="96" operator="greaterThan">
      <formula>1</formula>
    </cfRule>
    <cfRule type="cellIs" dxfId="14926" priority="97" operator="lessThan">
      <formula>0.8</formula>
    </cfRule>
  </conditionalFormatting>
  <conditionalFormatting sqref="P84:P91">
    <cfRule type="cellIs" dxfId="14925" priority="95" operator="greaterThan">
      <formula>0</formula>
    </cfRule>
  </conditionalFormatting>
  <conditionalFormatting sqref="Q84:Q91">
    <cfRule type="cellIs" dxfId="14924" priority="93" operator="lessThan">
      <formula>0</formula>
    </cfRule>
  </conditionalFormatting>
  <conditionalFormatting sqref="R84:R91">
    <cfRule type="cellIs" dxfId="14923" priority="91" operator="lessThan">
      <formula>0.8</formula>
    </cfRule>
    <cfRule type="cellIs" dxfId="14922" priority="92" operator="greaterThan">
      <formula>1</formula>
    </cfRule>
  </conditionalFormatting>
  <conditionalFormatting sqref="R84:R91">
    <cfRule type="cellIs" dxfId="14921" priority="89" operator="greaterThan">
      <formula>1</formula>
    </cfRule>
    <cfRule type="cellIs" dxfId="14920" priority="90" operator="lessThan">
      <formula>0.8</formula>
    </cfRule>
  </conditionalFormatting>
  <conditionalFormatting sqref="P84:P91">
    <cfRule type="cellIs" dxfId="14919" priority="88" operator="greaterThan">
      <formula>0</formula>
    </cfRule>
  </conditionalFormatting>
  <conditionalFormatting sqref="Q84:Q91">
    <cfRule type="cellIs" dxfId="14918" priority="87" operator="lessThan">
      <formula>0</formula>
    </cfRule>
  </conditionalFormatting>
  <conditionalFormatting sqref="R84:R91">
    <cfRule type="cellIs" dxfId="14917" priority="85" operator="lessThan">
      <formula>0.8</formula>
    </cfRule>
    <cfRule type="cellIs" dxfId="14916" priority="86" operator="greaterThan">
      <formula>1</formula>
    </cfRule>
  </conditionalFormatting>
  <conditionalFormatting sqref="R84:R91">
    <cfRule type="cellIs" dxfId="14915" priority="83" operator="greaterThan">
      <formula>1</formula>
    </cfRule>
    <cfRule type="cellIs" dxfId="14914" priority="84" operator="lessThan">
      <formula>0.8</formula>
    </cfRule>
  </conditionalFormatting>
  <conditionalFormatting sqref="P84:P91">
    <cfRule type="cellIs" dxfId="14913" priority="82" operator="greaterThan">
      <formula>0</formula>
    </cfRule>
  </conditionalFormatting>
  <conditionalFormatting sqref="Q84:Q91">
    <cfRule type="cellIs" dxfId="14912" priority="81" operator="lessThan">
      <formula>0</formula>
    </cfRule>
  </conditionalFormatting>
  <conditionalFormatting sqref="R84:R91">
    <cfRule type="cellIs" dxfId="14911" priority="79" operator="lessThan">
      <formula>0.8</formula>
    </cfRule>
    <cfRule type="cellIs" dxfId="14910" priority="80" operator="greaterThan">
      <formula>1</formula>
    </cfRule>
  </conditionalFormatting>
  <conditionalFormatting sqref="R84:R91">
    <cfRule type="cellIs" dxfId="14909" priority="77" operator="greaterThan">
      <formula>1</formula>
    </cfRule>
    <cfRule type="cellIs" dxfId="14908" priority="78" operator="lessThan">
      <formula>0.8</formula>
    </cfRule>
  </conditionalFormatting>
  <conditionalFormatting sqref="P84:P91">
    <cfRule type="cellIs" dxfId="14907" priority="76" operator="greaterThan">
      <formula>0</formula>
    </cfRule>
  </conditionalFormatting>
  <conditionalFormatting sqref="Q162:Q166">
    <cfRule type="cellIs" dxfId="14906" priority="75" operator="lessThan">
      <formula>0</formula>
    </cfRule>
  </conditionalFormatting>
  <conditionalFormatting sqref="R162:R166">
    <cfRule type="cellIs" dxfId="14905" priority="73" operator="lessThan">
      <formula>0.8</formula>
    </cfRule>
    <cfRule type="cellIs" dxfId="14904" priority="74" operator="greaterThan">
      <formula>1</formula>
    </cfRule>
  </conditionalFormatting>
  <conditionalFormatting sqref="R162:R166">
    <cfRule type="cellIs" dxfId="14903" priority="71" operator="greaterThan">
      <formula>1</formula>
    </cfRule>
    <cfRule type="cellIs" dxfId="14902" priority="72" operator="lessThan">
      <formula>0.8</formula>
    </cfRule>
  </conditionalFormatting>
  <conditionalFormatting sqref="P162:P166">
    <cfRule type="cellIs" dxfId="14901" priority="70" operator="greaterThan">
      <formula>0</formula>
    </cfRule>
  </conditionalFormatting>
  <conditionalFormatting sqref="P167:P168">
    <cfRule type="cellIs" dxfId="14900" priority="64" operator="greaterThan">
      <formula>0</formula>
    </cfRule>
  </conditionalFormatting>
  <conditionalFormatting sqref="R167:R168">
    <cfRule type="cellIs" dxfId="14899" priority="67" operator="lessThan">
      <formula>0.8</formula>
    </cfRule>
    <cfRule type="cellIs" dxfId="14898" priority="68" operator="greaterThan">
      <formula>1</formula>
    </cfRule>
  </conditionalFormatting>
  <conditionalFormatting sqref="R167:R168">
    <cfRule type="cellIs" dxfId="14897" priority="65" operator="greaterThan">
      <formula>1</formula>
    </cfRule>
    <cfRule type="cellIs" dxfId="14896" priority="66" operator="lessThan">
      <formula>0.8</formula>
    </cfRule>
  </conditionalFormatting>
  <conditionalFormatting sqref="Q167:Q168">
    <cfRule type="cellIs" dxfId="14895" priority="69" operator="lessThan">
      <formula>0</formula>
    </cfRule>
  </conditionalFormatting>
  <conditionalFormatting sqref="Q161">
    <cfRule type="cellIs" dxfId="14894" priority="63" operator="lessThan">
      <formula>0</formula>
    </cfRule>
  </conditionalFormatting>
  <conditionalFormatting sqref="R161">
    <cfRule type="cellIs" dxfId="14893" priority="61" operator="lessThan">
      <formula>0.8</formula>
    </cfRule>
    <cfRule type="cellIs" dxfId="14892" priority="62" operator="greaterThan">
      <formula>1</formula>
    </cfRule>
  </conditionalFormatting>
  <conditionalFormatting sqref="R161">
    <cfRule type="cellIs" dxfId="14891" priority="59" operator="greaterThan">
      <formula>1</formula>
    </cfRule>
    <cfRule type="cellIs" dxfId="14890" priority="60" operator="lessThan">
      <formula>0.8</formula>
    </cfRule>
  </conditionalFormatting>
  <conditionalFormatting sqref="P161">
    <cfRule type="cellIs" dxfId="14889" priority="58" operator="greaterThan">
      <formula>0</formula>
    </cfRule>
  </conditionalFormatting>
  <conditionalFormatting sqref="Q162:Q166">
    <cfRule type="cellIs" dxfId="14888" priority="57" operator="lessThan">
      <formula>0</formula>
    </cfRule>
  </conditionalFormatting>
  <conditionalFormatting sqref="R162:R166">
    <cfRule type="cellIs" dxfId="14887" priority="55" operator="lessThan">
      <formula>0.8</formula>
    </cfRule>
    <cfRule type="cellIs" dxfId="14886" priority="56" operator="greaterThan">
      <formula>1</formula>
    </cfRule>
  </conditionalFormatting>
  <conditionalFormatting sqref="R162:R166">
    <cfRule type="cellIs" dxfId="14885" priority="53" operator="greaterThan">
      <formula>1</formula>
    </cfRule>
    <cfRule type="cellIs" dxfId="14884" priority="54" operator="lessThan">
      <formula>0.8</formula>
    </cfRule>
  </conditionalFormatting>
  <conditionalFormatting sqref="P162:P166">
    <cfRule type="cellIs" dxfId="14883" priority="52" operator="greaterThan">
      <formula>0</formula>
    </cfRule>
  </conditionalFormatting>
  <conditionalFormatting sqref="Q162:Q166">
    <cfRule type="cellIs" dxfId="14882" priority="51" operator="lessThan">
      <formula>0</formula>
    </cfRule>
  </conditionalFormatting>
  <conditionalFormatting sqref="R162:R166">
    <cfRule type="cellIs" dxfId="14881" priority="49" operator="lessThan">
      <formula>0.8</formula>
    </cfRule>
    <cfRule type="cellIs" dxfId="14880" priority="50" operator="greaterThan">
      <formula>1</formula>
    </cfRule>
  </conditionalFormatting>
  <conditionalFormatting sqref="R162:R166">
    <cfRule type="cellIs" dxfId="14879" priority="47" operator="greaterThan">
      <formula>1</formula>
    </cfRule>
    <cfRule type="cellIs" dxfId="14878" priority="48" operator="lessThan">
      <formula>0.8</formula>
    </cfRule>
  </conditionalFormatting>
  <conditionalFormatting sqref="P162:P166">
    <cfRule type="cellIs" dxfId="14877" priority="46" operator="greaterThan">
      <formula>0</formula>
    </cfRule>
  </conditionalFormatting>
  <conditionalFormatting sqref="Q167:Q168">
    <cfRule type="cellIs" dxfId="14876" priority="45" operator="lessThan">
      <formula>0</formula>
    </cfRule>
  </conditionalFormatting>
  <conditionalFormatting sqref="R167:R168">
    <cfRule type="cellIs" dxfId="14875" priority="43" operator="lessThan">
      <formula>0.8</formula>
    </cfRule>
    <cfRule type="cellIs" dxfId="14874" priority="44" operator="greaterThan">
      <formula>1</formula>
    </cfRule>
  </conditionalFormatting>
  <conditionalFormatting sqref="R167:R168">
    <cfRule type="cellIs" dxfId="14873" priority="41" operator="greaterThan">
      <formula>1</formula>
    </cfRule>
    <cfRule type="cellIs" dxfId="14872" priority="42" operator="lessThan">
      <formula>0.8</formula>
    </cfRule>
  </conditionalFormatting>
  <conditionalFormatting sqref="P167:P168">
    <cfRule type="cellIs" dxfId="14871" priority="40" operator="greaterThan">
      <formula>0</formula>
    </cfRule>
  </conditionalFormatting>
  <conditionalFormatting sqref="Q161">
    <cfRule type="cellIs" dxfId="14870" priority="39" operator="lessThan">
      <formula>0</formula>
    </cfRule>
  </conditionalFormatting>
  <conditionalFormatting sqref="R161">
    <cfRule type="cellIs" dxfId="14869" priority="37" operator="lessThan">
      <formula>0.8</formula>
    </cfRule>
    <cfRule type="cellIs" dxfId="14868" priority="38" operator="greaterThan">
      <formula>1</formula>
    </cfRule>
  </conditionalFormatting>
  <conditionalFormatting sqref="R161">
    <cfRule type="cellIs" dxfId="14867" priority="35" operator="greaterThan">
      <formula>1</formula>
    </cfRule>
    <cfRule type="cellIs" dxfId="14866" priority="36" operator="lessThan">
      <formula>0.8</formula>
    </cfRule>
  </conditionalFormatting>
  <conditionalFormatting sqref="P161">
    <cfRule type="cellIs" dxfId="14865" priority="34" operator="greaterThan">
      <formula>0</formula>
    </cfRule>
  </conditionalFormatting>
  <conditionalFormatting sqref="Q162:Q166">
    <cfRule type="cellIs" dxfId="14864" priority="33" operator="lessThan">
      <formula>0</formula>
    </cfRule>
  </conditionalFormatting>
  <conditionalFormatting sqref="R162:R166">
    <cfRule type="cellIs" dxfId="14863" priority="31" operator="lessThan">
      <formula>0.8</formula>
    </cfRule>
    <cfRule type="cellIs" dxfId="14862" priority="32" operator="greaterThan">
      <formula>1</formula>
    </cfRule>
  </conditionalFormatting>
  <conditionalFormatting sqref="R162:R166">
    <cfRule type="cellIs" dxfId="14861" priority="29" operator="greaterThan">
      <formula>1</formula>
    </cfRule>
    <cfRule type="cellIs" dxfId="14860" priority="30" operator="lessThan">
      <formula>0.8</formula>
    </cfRule>
  </conditionalFormatting>
  <conditionalFormatting sqref="P162:P166">
    <cfRule type="cellIs" dxfId="14859" priority="28" operator="greaterThan">
      <formula>0</formula>
    </cfRule>
  </conditionalFormatting>
  <conditionalFormatting sqref="Q161">
    <cfRule type="cellIs" dxfId="14858" priority="27" operator="lessThan">
      <formula>0</formula>
    </cfRule>
  </conditionalFormatting>
  <conditionalFormatting sqref="R161">
    <cfRule type="cellIs" dxfId="14857" priority="25" operator="lessThan">
      <formula>0.8</formula>
    </cfRule>
    <cfRule type="cellIs" dxfId="14856" priority="26" operator="greaterThan">
      <formula>1</formula>
    </cfRule>
  </conditionalFormatting>
  <conditionalFormatting sqref="R161">
    <cfRule type="cellIs" dxfId="14855" priority="23" operator="greaterThan">
      <formula>1</formula>
    </cfRule>
    <cfRule type="cellIs" dxfId="14854" priority="24" operator="lessThan">
      <formula>0.8</formula>
    </cfRule>
  </conditionalFormatting>
  <conditionalFormatting sqref="P161">
    <cfRule type="cellIs" dxfId="14853" priority="22" operator="greaterThan">
      <formula>0</formula>
    </cfRule>
  </conditionalFormatting>
  <conditionalFormatting sqref="Q162:Q166">
    <cfRule type="cellIs" dxfId="14852" priority="21" operator="lessThan">
      <formula>0</formula>
    </cfRule>
  </conditionalFormatting>
  <conditionalFormatting sqref="R162:R166">
    <cfRule type="cellIs" dxfId="14851" priority="19" operator="lessThan">
      <formula>0.8</formula>
    </cfRule>
    <cfRule type="cellIs" dxfId="14850" priority="20" operator="greaterThan">
      <formula>1</formula>
    </cfRule>
  </conditionalFormatting>
  <conditionalFormatting sqref="R162:R166">
    <cfRule type="cellIs" dxfId="14849" priority="17" operator="greaterThan">
      <formula>1</formula>
    </cfRule>
    <cfRule type="cellIs" dxfId="14848" priority="18" operator="lessThan">
      <formula>0.8</formula>
    </cfRule>
  </conditionalFormatting>
  <conditionalFormatting sqref="P162:P166">
    <cfRule type="cellIs" dxfId="14847" priority="16" operator="greaterThan">
      <formula>0</formula>
    </cfRule>
  </conditionalFormatting>
  <conditionalFormatting sqref="Q161">
    <cfRule type="cellIs" dxfId="14846" priority="15" operator="lessThan">
      <formula>0</formula>
    </cfRule>
  </conditionalFormatting>
  <conditionalFormatting sqref="R161">
    <cfRule type="cellIs" dxfId="14845" priority="13" operator="lessThan">
      <formula>0.8</formula>
    </cfRule>
    <cfRule type="cellIs" dxfId="14844" priority="14" operator="greaterThan">
      <formula>1</formula>
    </cfRule>
  </conditionalFormatting>
  <conditionalFormatting sqref="R161">
    <cfRule type="cellIs" dxfId="14843" priority="11" operator="greaterThan">
      <formula>1</formula>
    </cfRule>
    <cfRule type="cellIs" dxfId="14842" priority="12" operator="lessThan">
      <formula>0.8</formula>
    </cfRule>
  </conditionalFormatting>
  <conditionalFormatting sqref="P161">
    <cfRule type="cellIs" dxfId="14841" priority="10" operator="greaterThan">
      <formula>0</formula>
    </cfRule>
  </conditionalFormatting>
  <conditionalFormatting sqref="P167:P168">
    <cfRule type="cellIs" dxfId="14840" priority="4" operator="greaterThan">
      <formula>0</formula>
    </cfRule>
  </conditionalFormatting>
  <conditionalFormatting sqref="R167:R168">
    <cfRule type="cellIs" dxfId="14839" priority="7" operator="lessThan">
      <formula>0.8</formula>
    </cfRule>
    <cfRule type="cellIs" dxfId="14838" priority="8" operator="greaterThan">
      <formula>1</formula>
    </cfRule>
  </conditionalFormatting>
  <conditionalFormatting sqref="R167:R168">
    <cfRule type="cellIs" dxfId="14837" priority="5" operator="greaterThan">
      <formula>1</formula>
    </cfRule>
    <cfRule type="cellIs" dxfId="14836" priority="6" operator="lessThan">
      <formula>0.8</formula>
    </cfRule>
  </conditionalFormatting>
  <conditionalFormatting sqref="Q167:Q168">
    <cfRule type="cellIs" dxfId="14835" priority="9" operator="lessThan">
      <formula>0</formula>
    </cfRule>
  </conditionalFormatting>
  <conditionalFormatting sqref="AF30">
    <cfRule type="cellIs" dxfId="14834" priority="3" operator="lessThan">
      <formula>0</formula>
    </cfRule>
  </conditionalFormatting>
  <conditionalFormatting sqref="AG30">
    <cfRule type="cellIs" dxfId="14833" priority="1" operator="greaterThan">
      <formula>1</formula>
    </cfRule>
    <cfRule type="cellIs" dxfId="14832" priority="2" operator="lessThan">
      <formula>0.8</formula>
    </cfRule>
  </conditionalFormatting>
  <dataValidations count="4">
    <dataValidation type="list" allowBlank="1" showInputMessage="1" showErrorMessage="1" sqref="AB151:AC159 AB113:AC120">
      <formula1>$AJ$177:$AJ$189</formula1>
    </dataValidation>
    <dataValidation type="list" allowBlank="1" showInputMessage="1" showErrorMessage="1" sqref="AB121:AC149 AC12 AB5:AC10 AB160:AC173 AB12:AB112 AC17:AC112">
      <formula1>$AJ$174:$AJ$186</formula1>
    </dataValidation>
    <dataValidation type="list" allowBlank="1" showInputMessage="1" showErrorMessage="1" sqref="AB150:AC150">
      <formula1>$AJ$165:$AJ$177</formula1>
    </dataValidation>
    <dataValidation type="list" allowBlank="1" showInputMessage="1" showErrorMessage="1" sqref="AB11:AC11">
      <formula1>$AJ$174:$AJ$185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4" zoomScale="40" zoomScaleNormal="40" workbookViewId="0">
      <selection activeCell="P31" sqref="P31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31" customWidth="1"/>
    <col min="4" max="17" width="14.1796875" style="2" customWidth="1"/>
    <col min="18" max="21" width="9.6328125" style="2" customWidth="1"/>
    <col min="22" max="22" width="11.1796875" style="2" customWidth="1"/>
    <col min="23" max="23" width="11.453125" style="2" customWidth="1"/>
    <col min="24" max="16384" width="8.08984375" style="2"/>
  </cols>
  <sheetData>
    <row r="1" spans="2:17" ht="27.75" customHeight="1">
      <c r="B1" s="556" t="s">
        <v>68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  <c r="N1" s="1"/>
      <c r="O1" s="1"/>
    </row>
    <row r="2" spans="2:17" ht="27.75" customHeight="1"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8"/>
      <c r="N2" s="1"/>
      <c r="O2" s="1"/>
    </row>
    <row r="3" spans="2:17" ht="46.5" customHeight="1">
      <c r="B3" s="548" t="s">
        <v>0</v>
      </c>
      <c r="C3" s="549"/>
      <c r="D3" s="559" t="s">
        <v>78</v>
      </c>
      <c r="E3" s="560"/>
      <c r="F3" s="548" t="s">
        <v>1</v>
      </c>
      <c r="G3" s="549"/>
      <c r="H3" s="561">
        <v>184446.6</v>
      </c>
      <c r="I3" s="562"/>
      <c r="J3" s="548" t="s">
        <v>2</v>
      </c>
      <c r="K3" s="549"/>
      <c r="L3" s="563">
        <v>5924726.1145681581</v>
      </c>
      <c r="M3" s="564"/>
      <c r="N3" s="3"/>
    </row>
    <row r="4" spans="2:17" ht="24" customHeight="1">
      <c r="B4" s="548" t="s">
        <v>69</v>
      </c>
      <c r="C4" s="549"/>
      <c r="D4" s="540" t="s">
        <v>70</v>
      </c>
      <c r="E4" s="541"/>
      <c r="F4" s="554" t="s">
        <v>71</v>
      </c>
      <c r="G4" s="555"/>
      <c r="H4" s="554" t="s">
        <v>72</v>
      </c>
      <c r="I4" s="555"/>
      <c r="J4" s="554" t="s">
        <v>73</v>
      </c>
      <c r="K4" s="555"/>
      <c r="L4" s="554" t="s">
        <v>74</v>
      </c>
      <c r="M4" s="555"/>
      <c r="N4" s="487" t="s">
        <v>54</v>
      </c>
      <c r="O4" s="488"/>
      <c r="P4" s="488" t="s">
        <v>55</v>
      </c>
      <c r="Q4" s="488"/>
    </row>
    <row r="5" spans="2:17" ht="24" customHeight="1">
      <c r="B5" s="534" t="s">
        <v>75</v>
      </c>
      <c r="C5" s="535"/>
      <c r="D5" s="540" t="s">
        <v>76</v>
      </c>
      <c r="E5" s="541"/>
      <c r="F5" s="540" t="s">
        <v>3</v>
      </c>
      <c r="G5" s="541"/>
      <c r="H5" s="542" t="s">
        <v>4</v>
      </c>
      <c r="I5" s="543"/>
      <c r="J5" s="544" t="s">
        <v>5</v>
      </c>
      <c r="K5" s="545"/>
      <c r="L5" s="546" t="s">
        <v>6</v>
      </c>
      <c r="M5" s="547"/>
      <c r="N5" s="4" t="s">
        <v>56</v>
      </c>
      <c r="O5" s="5" t="s">
        <v>57</v>
      </c>
      <c r="P5" s="4" t="s">
        <v>56</v>
      </c>
      <c r="Q5" s="5" t="s">
        <v>58</v>
      </c>
    </row>
    <row r="6" spans="2:17" ht="39.65" customHeight="1">
      <c r="B6" s="536"/>
      <c r="C6" s="537"/>
      <c r="D6" s="548" t="s">
        <v>7</v>
      </c>
      <c r="E6" s="549"/>
      <c r="F6" s="550">
        <f>AVERAGE(D13:O13,P13:Q13,D30:F30,H30,J30:L30)</f>
        <v>366.32020543026039</v>
      </c>
      <c r="G6" s="551"/>
      <c r="H6" s="552">
        <f>AVERAGE(D13:P13,Q13)</f>
        <v>137.33745100253347</v>
      </c>
      <c r="I6" s="553"/>
      <c r="J6" s="552">
        <f>AVERAGE(D30:F30,H30)</f>
        <v>786.25</v>
      </c>
      <c r="K6" s="553"/>
      <c r="L6" s="526">
        <f>AVERAGE(J30:L30)</f>
        <v>875</v>
      </c>
      <c r="M6" s="527"/>
      <c r="N6" s="489">
        <v>0</v>
      </c>
      <c r="O6" s="490">
        <v>0</v>
      </c>
      <c r="P6" s="491">
        <v>1</v>
      </c>
      <c r="Q6" s="490">
        <v>2</v>
      </c>
    </row>
    <row r="7" spans="2:17" s="6" customFormat="1" ht="39.65" customHeight="1">
      <c r="B7" s="536"/>
      <c r="C7" s="537"/>
      <c r="D7" s="518" t="s">
        <v>8</v>
      </c>
      <c r="E7" s="519"/>
      <c r="F7" s="528">
        <f>AVERAGE(D14:O14,P14:Q14,D31:F31,J31:L31,H31)</f>
        <v>327.08051767113562</v>
      </c>
      <c r="G7" s="529"/>
      <c r="H7" s="530">
        <f>AVERAGE(D14:P14,Q14)</f>
        <v>120.18927470460778</v>
      </c>
      <c r="I7" s="531"/>
      <c r="J7" s="530">
        <f>AVERAGE(D31:F31,H31)</f>
        <v>711.08156582949346</v>
      </c>
      <c r="K7" s="531"/>
      <c r="L7" s="532">
        <f>AVERAGE(J31:L31)</f>
        <v>780.57158730378831</v>
      </c>
      <c r="M7" s="533"/>
      <c r="N7" s="489"/>
      <c r="O7" s="490"/>
      <c r="P7" s="491"/>
      <c r="Q7" s="490"/>
    </row>
    <row r="8" spans="2:17" s="6" customFormat="1" ht="39.65" customHeight="1">
      <c r="B8" s="538"/>
      <c r="C8" s="539"/>
      <c r="D8" s="518" t="s">
        <v>9</v>
      </c>
      <c r="E8" s="519"/>
      <c r="F8" s="520">
        <f>AVERAGE(D15:O15,P15:Q15,D32:F32,H32,J32:K32,L32)</f>
        <v>0.87585062356307408</v>
      </c>
      <c r="G8" s="521"/>
      <c r="H8" s="520">
        <f>AVERAGE(D15:O15,P15:Q15)</f>
        <v>0.86686951584278715</v>
      </c>
      <c r="I8" s="521"/>
      <c r="J8" s="520">
        <f>AVERAGE(D32:F32,H32)</f>
        <v>0.89483099398807675</v>
      </c>
      <c r="K8" s="521"/>
      <c r="L8" s="520">
        <f>AVERAGE(J32:L32)</f>
        <v>0.89245529902441112</v>
      </c>
      <c r="M8" s="521"/>
      <c r="N8" s="489"/>
      <c r="O8" s="490"/>
      <c r="P8" s="491"/>
      <c r="Q8" s="490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2" t="s">
        <v>10</v>
      </c>
      <c r="C10" s="522"/>
      <c r="D10" s="523" t="s">
        <v>11</v>
      </c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5"/>
    </row>
    <row r="11" spans="2:17" ht="17.25" customHeight="1">
      <c r="B11" s="510" t="s">
        <v>12</v>
      </c>
      <c r="C11" s="51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2"/>
      <c r="C12" s="513"/>
      <c r="D12" s="12" t="s">
        <v>13</v>
      </c>
      <c r="E12" s="12" t="s">
        <v>14</v>
      </c>
      <c r="F12" s="12" t="s">
        <v>15</v>
      </c>
      <c r="G12" s="12" t="s">
        <v>16</v>
      </c>
      <c r="H12" s="12" t="s">
        <v>17</v>
      </c>
      <c r="I12" s="12" t="s">
        <v>18</v>
      </c>
      <c r="J12" s="12" t="s">
        <v>19</v>
      </c>
      <c r="K12" s="12" t="s">
        <v>20</v>
      </c>
      <c r="L12" s="12" t="s">
        <v>21</v>
      </c>
      <c r="M12" s="12" t="s">
        <v>22</v>
      </c>
      <c r="N12" s="12" t="s">
        <v>23</v>
      </c>
      <c r="O12" s="12" t="s">
        <v>24</v>
      </c>
      <c r="P12" s="12" t="s">
        <v>25</v>
      </c>
      <c r="Q12" s="13" t="s">
        <v>26</v>
      </c>
    </row>
    <row r="13" spans="2:17" ht="39.9" customHeight="1">
      <c r="B13" s="492" t="s">
        <v>27</v>
      </c>
      <c r="C13" s="14" t="s">
        <v>28</v>
      </c>
      <c r="D13" s="15">
        <v>127.63082074935235</v>
      </c>
      <c r="E13" s="15">
        <v>93.532679738562095</v>
      </c>
      <c r="F13" s="15">
        <v>117.26815039596995</v>
      </c>
      <c r="G13" s="15">
        <v>369.04761904761898</v>
      </c>
      <c r="H13" s="15">
        <v>250</v>
      </c>
      <c r="I13" s="15">
        <v>83.901758071649709</v>
      </c>
      <c r="J13" s="15">
        <v>74.285714285714278</v>
      </c>
      <c r="K13" s="15">
        <v>84.76272789817682</v>
      </c>
      <c r="L13" s="15">
        <v>81.321661998132598</v>
      </c>
      <c r="M13" s="15">
        <v>83.377389552312152</v>
      </c>
      <c r="N13" s="15">
        <v>89.509446486928098</v>
      </c>
      <c r="O13" s="15">
        <v>83.137254901960773</v>
      </c>
      <c r="P13" s="15">
        <v>234.9490909090909</v>
      </c>
      <c r="Q13" s="16">
        <v>150</v>
      </c>
    </row>
    <row r="14" spans="2:17" ht="39.9" customHeight="1">
      <c r="B14" s="493"/>
      <c r="C14" s="14" t="s">
        <v>29</v>
      </c>
      <c r="D14" s="15">
        <v>108.57890244994643</v>
      </c>
      <c r="E14" s="15">
        <v>78.552816925199309</v>
      </c>
      <c r="F14" s="15">
        <v>104.72660106721503</v>
      </c>
      <c r="G14" s="15">
        <v>305.33266240134515</v>
      </c>
      <c r="H14" s="15">
        <v>238.37400836367129</v>
      </c>
      <c r="I14" s="15">
        <v>70.161801765780282</v>
      </c>
      <c r="J14" s="15">
        <v>57.613926799856486</v>
      </c>
      <c r="K14" s="15">
        <v>70.879121117563443</v>
      </c>
      <c r="L14" s="15">
        <v>69.144383956319302</v>
      </c>
      <c r="M14" s="15">
        <v>70.720165974127539</v>
      </c>
      <c r="N14" s="15">
        <v>75.45114826614946</v>
      </c>
      <c r="O14" s="15">
        <v>78.268922152194207</v>
      </c>
      <c r="P14" s="15">
        <v>217.71433833225279</v>
      </c>
      <c r="Q14" s="16">
        <v>137.13104629288847</v>
      </c>
    </row>
    <row r="15" spans="2:17" ht="39.9" customHeight="1">
      <c r="B15" s="494"/>
      <c r="C15" s="10" t="s">
        <v>30</v>
      </c>
      <c r="D15" s="17">
        <f t="shared" ref="D15:P15" si="0">D14/D13</f>
        <v>0.8507263513033344</v>
      </c>
      <c r="E15" s="17">
        <f t="shared" si="0"/>
        <v>0.83984354072572542</v>
      </c>
      <c r="F15" s="17">
        <f t="shared" si="0"/>
        <v>0.89305238219920002</v>
      </c>
      <c r="G15" s="17">
        <f t="shared" si="0"/>
        <v>0.82735302070041927</v>
      </c>
      <c r="H15" s="17">
        <f t="shared" si="0"/>
        <v>0.95349603345468514</v>
      </c>
      <c r="I15" s="17">
        <f t="shared" si="0"/>
        <v>0.83623756376909408</v>
      </c>
      <c r="J15" s="17">
        <f t="shared" si="0"/>
        <v>0.77557209153652973</v>
      </c>
      <c r="K15" s="17">
        <f t="shared" si="0"/>
        <v>0.83620622973234915</v>
      </c>
      <c r="L15" s="17">
        <f t="shared" si="0"/>
        <v>0.850257880340752</v>
      </c>
      <c r="M15" s="17">
        <f t="shared" si="0"/>
        <v>0.84819357326792666</v>
      </c>
      <c r="N15" s="17">
        <f t="shared" si="0"/>
        <v>0.84294061942577536</v>
      </c>
      <c r="O15" s="17">
        <f t="shared" si="0"/>
        <v>0.9414422240004493</v>
      </c>
      <c r="P15" s="17">
        <f t="shared" si="0"/>
        <v>0.92664473605685593</v>
      </c>
      <c r="Q15" s="18">
        <f>Q14/Q13</f>
        <v>0.9142069752859231</v>
      </c>
    </row>
    <row r="16" spans="2:17" ht="22.75" customHeight="1">
      <c r="B16" s="495" t="s">
        <v>31</v>
      </c>
      <c r="C16" s="10" t="s">
        <v>32</v>
      </c>
      <c r="D16" s="36">
        <v>0.29166666666666669</v>
      </c>
      <c r="E16" s="36">
        <v>0.16666666666666666</v>
      </c>
      <c r="F16" s="36">
        <v>0.16666666666666666</v>
      </c>
      <c r="G16" s="36">
        <v>0.16666666666666666</v>
      </c>
      <c r="H16" s="36">
        <v>0.16666666666666666</v>
      </c>
      <c r="I16" s="36">
        <v>0.29166666666666669</v>
      </c>
      <c r="J16" s="36">
        <v>0.375</v>
      </c>
      <c r="K16" s="36">
        <v>0.375</v>
      </c>
      <c r="L16" s="36">
        <v>0.5</v>
      </c>
      <c r="M16" s="36">
        <v>0.5</v>
      </c>
      <c r="N16" s="36">
        <v>0.5</v>
      </c>
      <c r="O16" s="36">
        <v>0.70833333333333337</v>
      </c>
      <c r="P16" s="36">
        <v>0.16666666666666666</v>
      </c>
      <c r="Q16" s="37">
        <v>0.17361111111111113</v>
      </c>
    </row>
    <row r="17" spans="2:17" ht="22.75" customHeight="1">
      <c r="B17" s="496"/>
      <c r="C17" s="10" t="s">
        <v>33</v>
      </c>
      <c r="D17" s="36">
        <v>0.55902777777777768</v>
      </c>
      <c r="E17" s="36">
        <v>0.47777777777777775</v>
      </c>
      <c r="F17" s="36">
        <v>0.49305555555555547</v>
      </c>
      <c r="G17" s="36">
        <v>0.58263888888888882</v>
      </c>
      <c r="H17" s="36">
        <v>0.63541666666666663</v>
      </c>
      <c r="I17" s="36">
        <v>0.75833333333333341</v>
      </c>
      <c r="J17" s="36">
        <v>0.81180555555555556</v>
      </c>
      <c r="K17" s="36">
        <v>0.78888888888888897</v>
      </c>
      <c r="L17" s="36">
        <v>0.81319444444444455</v>
      </c>
      <c r="M17" s="36">
        <v>0.86805555555555547</v>
      </c>
      <c r="N17" s="36">
        <v>0.9277777777777777</v>
      </c>
      <c r="O17" s="36">
        <v>0.87152777777777779</v>
      </c>
      <c r="P17" s="36">
        <v>0.56111111111111112</v>
      </c>
      <c r="Q17" s="37">
        <v>0.48958333333333331</v>
      </c>
    </row>
    <row r="18" spans="2:17" ht="22.75" customHeight="1">
      <c r="B18" s="514" t="s">
        <v>66</v>
      </c>
      <c r="C18" s="515"/>
      <c r="D18" s="58" t="s">
        <v>59</v>
      </c>
      <c r="E18" s="58" t="s">
        <v>59</v>
      </c>
      <c r="F18" s="58" t="s">
        <v>59</v>
      </c>
      <c r="G18" s="58" t="s">
        <v>59</v>
      </c>
      <c r="H18" s="58" t="s">
        <v>59</v>
      </c>
      <c r="I18" s="58" t="s">
        <v>59</v>
      </c>
      <c r="J18" s="58" t="s">
        <v>59</v>
      </c>
      <c r="K18" s="58" t="s">
        <v>59</v>
      </c>
      <c r="L18" s="58" t="s">
        <v>59</v>
      </c>
      <c r="M18" s="58" t="s">
        <v>59</v>
      </c>
      <c r="N18" s="58" t="s">
        <v>59</v>
      </c>
      <c r="O18" s="58" t="s">
        <v>59</v>
      </c>
      <c r="P18" s="58" t="s">
        <v>59</v>
      </c>
      <c r="Q18" s="59"/>
    </row>
    <row r="19" spans="2:17" ht="22.75" customHeight="1">
      <c r="B19" s="516"/>
      <c r="C19" s="517"/>
      <c r="D19" s="58" t="s">
        <v>59</v>
      </c>
      <c r="E19" s="58" t="s">
        <v>59</v>
      </c>
      <c r="F19" s="58" t="s">
        <v>59</v>
      </c>
      <c r="G19" s="58" t="s">
        <v>59</v>
      </c>
      <c r="H19" s="58" t="s">
        <v>59</v>
      </c>
      <c r="I19" s="58" t="s">
        <v>59</v>
      </c>
      <c r="J19" s="58" t="s">
        <v>59</v>
      </c>
      <c r="K19" s="58" t="s">
        <v>59</v>
      </c>
      <c r="L19" s="58" t="s">
        <v>59</v>
      </c>
      <c r="M19" s="58" t="s">
        <v>59</v>
      </c>
      <c r="N19" s="58" t="s">
        <v>59</v>
      </c>
      <c r="O19" s="58" t="s">
        <v>59</v>
      </c>
      <c r="P19" s="58" t="s">
        <v>59</v>
      </c>
      <c r="Q19" s="59"/>
    </row>
    <row r="20" spans="2:17" ht="22.75" customHeight="1">
      <c r="B20" s="514" t="s">
        <v>67</v>
      </c>
      <c r="C20" s="515"/>
      <c r="D20" s="58" t="s">
        <v>59</v>
      </c>
      <c r="E20" s="58" t="s">
        <v>59</v>
      </c>
      <c r="F20" s="58" t="s">
        <v>59</v>
      </c>
      <c r="G20" s="58">
        <v>1</v>
      </c>
      <c r="H20" s="58" t="s">
        <v>59</v>
      </c>
      <c r="I20" s="58" t="s">
        <v>59</v>
      </c>
      <c r="J20" s="58" t="s">
        <v>59</v>
      </c>
      <c r="K20" s="58" t="s">
        <v>59</v>
      </c>
      <c r="L20" s="58" t="s">
        <v>59</v>
      </c>
      <c r="M20" s="58" t="s">
        <v>59</v>
      </c>
      <c r="N20" s="58" t="s">
        <v>59</v>
      </c>
      <c r="O20" s="58" t="s">
        <v>59</v>
      </c>
      <c r="P20" s="58" t="s">
        <v>59</v>
      </c>
      <c r="Q20" s="59"/>
    </row>
    <row r="21" spans="2:17" ht="22.75" customHeight="1">
      <c r="B21" s="516"/>
      <c r="C21" s="517"/>
      <c r="D21" s="58" t="s">
        <v>59</v>
      </c>
      <c r="E21" s="58" t="s">
        <v>59</v>
      </c>
      <c r="F21" s="58" t="s">
        <v>59</v>
      </c>
      <c r="G21" s="58">
        <v>2</v>
      </c>
      <c r="H21" s="58" t="s">
        <v>59</v>
      </c>
      <c r="I21" s="58" t="s">
        <v>59</v>
      </c>
      <c r="J21" s="58" t="s">
        <v>59</v>
      </c>
      <c r="K21" s="58" t="s">
        <v>59</v>
      </c>
      <c r="L21" s="58" t="s">
        <v>59</v>
      </c>
      <c r="M21" s="58" t="s">
        <v>59</v>
      </c>
      <c r="N21" s="58" t="s">
        <v>59</v>
      </c>
      <c r="O21" s="58" t="s">
        <v>59</v>
      </c>
      <c r="P21" s="58" t="s">
        <v>59</v>
      </c>
      <c r="Q21" s="59"/>
    </row>
    <row r="22" spans="2:17" ht="22.75" customHeight="1">
      <c r="B22" s="497" t="s">
        <v>34</v>
      </c>
      <c r="C22" s="498"/>
      <c r="D22" s="60">
        <v>19</v>
      </c>
      <c r="E22" s="60">
        <v>18</v>
      </c>
      <c r="F22" s="60">
        <v>15.714285714285714</v>
      </c>
      <c r="G22" s="60">
        <v>5.8571428571428568</v>
      </c>
      <c r="H22" s="60">
        <v>6</v>
      </c>
      <c r="I22" s="60">
        <v>17.25</v>
      </c>
      <c r="J22" s="60">
        <v>18.777777777777779</v>
      </c>
      <c r="K22" s="60">
        <v>17.333333333333332</v>
      </c>
      <c r="L22" s="60">
        <v>18</v>
      </c>
      <c r="M22" s="60">
        <v>17.857142857142858</v>
      </c>
      <c r="N22" s="60">
        <v>16.875</v>
      </c>
      <c r="O22" s="60">
        <v>17</v>
      </c>
      <c r="P22" s="60">
        <v>10.199999999999999</v>
      </c>
      <c r="Q22" s="61">
        <v>10.888888888888889</v>
      </c>
    </row>
    <row r="23" spans="2:17" ht="22.75" customHeight="1">
      <c r="B23" s="497" t="s">
        <v>35</v>
      </c>
      <c r="C23" s="498"/>
      <c r="D23" s="32" t="s">
        <v>36</v>
      </c>
      <c r="E23" s="32" t="s">
        <v>36</v>
      </c>
      <c r="F23" s="32" t="s">
        <v>36</v>
      </c>
      <c r="G23" s="32" t="s">
        <v>37</v>
      </c>
      <c r="H23" s="32" t="s">
        <v>38</v>
      </c>
      <c r="I23" s="32" t="s">
        <v>39</v>
      </c>
      <c r="J23" s="32" t="s">
        <v>39</v>
      </c>
      <c r="K23" s="32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40</v>
      </c>
      <c r="Q23" s="40" t="s">
        <v>40</v>
      </c>
    </row>
    <row r="24" spans="2:17" ht="22.75" customHeight="1">
      <c r="B24" s="497" t="s">
        <v>41</v>
      </c>
      <c r="C24" s="49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0"/>
    </row>
    <row r="25" spans="2:17" ht="22.75" customHeight="1" thickBot="1">
      <c r="B25" s="499" t="s">
        <v>42</v>
      </c>
      <c r="C25" s="500"/>
      <c r="D25" s="43"/>
      <c r="E25" s="44" t="s">
        <v>43</v>
      </c>
      <c r="F25" s="44"/>
      <c r="G25" s="44" t="s">
        <v>44</v>
      </c>
      <c r="H25" s="44"/>
      <c r="I25" s="44"/>
      <c r="J25" s="44"/>
      <c r="K25" s="44" t="s">
        <v>45</v>
      </c>
      <c r="L25" s="44"/>
      <c r="M25" s="44"/>
      <c r="N25" s="44"/>
      <c r="O25" s="44"/>
      <c r="P25" s="44" t="s">
        <v>46</v>
      </c>
      <c r="Q25" s="45"/>
    </row>
    <row r="26" spans="2:17" ht="16" thickBot="1">
      <c r="B26" s="501"/>
      <c r="C26" s="501"/>
    </row>
    <row r="27" spans="2:17" ht="30" customHeight="1" thickBot="1">
      <c r="B27" s="502" t="s">
        <v>10</v>
      </c>
      <c r="C27" s="503"/>
      <c r="D27" s="504" t="s">
        <v>47</v>
      </c>
      <c r="E27" s="505"/>
      <c r="F27" s="505"/>
      <c r="G27" s="505"/>
      <c r="H27" s="506"/>
      <c r="I27" s="507" t="s">
        <v>48</v>
      </c>
      <c r="J27" s="508"/>
      <c r="K27" s="508"/>
      <c r="L27" s="508"/>
      <c r="M27" s="509"/>
    </row>
    <row r="28" spans="2:17" ht="17.25" customHeight="1">
      <c r="B28" s="510" t="s">
        <v>12</v>
      </c>
      <c r="C28" s="511"/>
      <c r="D28" s="19">
        <v>1</v>
      </c>
      <c r="E28" s="19">
        <v>2</v>
      </c>
      <c r="F28" s="19">
        <v>3</v>
      </c>
      <c r="G28" s="19">
        <v>4</v>
      </c>
      <c r="H28" s="20">
        <v>5</v>
      </c>
      <c r="I28" s="21">
        <v>1</v>
      </c>
      <c r="J28" s="19">
        <v>2</v>
      </c>
      <c r="K28" s="19">
        <v>3</v>
      </c>
      <c r="L28" s="19">
        <v>4</v>
      </c>
      <c r="M28" s="22">
        <v>5</v>
      </c>
    </row>
    <row r="29" spans="2:17" ht="37.5" customHeight="1">
      <c r="B29" s="512"/>
      <c r="C29" s="513"/>
      <c r="D29" s="14" t="s">
        <v>49</v>
      </c>
      <c r="E29" s="14" t="s">
        <v>50</v>
      </c>
      <c r="F29" s="14" t="s">
        <v>51</v>
      </c>
      <c r="G29" s="14" t="s">
        <v>60</v>
      </c>
      <c r="H29" s="23" t="s">
        <v>61</v>
      </c>
      <c r="I29" s="24" t="s">
        <v>62</v>
      </c>
      <c r="J29" s="14" t="s">
        <v>50</v>
      </c>
      <c r="K29" s="14" t="s">
        <v>51</v>
      </c>
      <c r="L29" s="14" t="s">
        <v>60</v>
      </c>
      <c r="M29" s="25" t="s">
        <v>61</v>
      </c>
    </row>
    <row r="30" spans="2:17" ht="39.9" customHeight="1">
      <c r="B30" s="492" t="s">
        <v>27</v>
      </c>
      <c r="C30" s="23" t="s">
        <v>28</v>
      </c>
      <c r="D30" s="34">
        <v>320</v>
      </c>
      <c r="E30" s="34">
        <v>1100</v>
      </c>
      <c r="F30" s="34">
        <v>825</v>
      </c>
      <c r="G30" s="34">
        <v>900</v>
      </c>
      <c r="H30" s="47">
        <v>900</v>
      </c>
      <c r="I30" s="33">
        <v>680</v>
      </c>
      <c r="J30" s="34">
        <v>825</v>
      </c>
      <c r="K30" s="34">
        <v>900</v>
      </c>
      <c r="L30" s="34">
        <v>900</v>
      </c>
      <c r="M30" s="35">
        <v>900</v>
      </c>
    </row>
    <row r="31" spans="2:17" ht="39.9" customHeight="1">
      <c r="B31" s="493"/>
      <c r="C31" s="23" t="s">
        <v>29</v>
      </c>
      <c r="D31" s="15">
        <v>266.81578947368416</v>
      </c>
      <c r="E31" s="15">
        <v>941.89171717171757</v>
      </c>
      <c r="F31" s="15">
        <v>711.86209714198901</v>
      </c>
      <c r="G31" s="15">
        <v>0</v>
      </c>
      <c r="H31" s="48">
        <v>923.75665953058297</v>
      </c>
      <c r="I31" s="49">
        <v>0</v>
      </c>
      <c r="J31" s="15">
        <v>747.0599999999979</v>
      </c>
      <c r="K31" s="15">
        <v>770.35151515151472</v>
      </c>
      <c r="L31" s="15">
        <v>824.30324675985207</v>
      </c>
      <c r="M31" s="16">
        <v>0</v>
      </c>
    </row>
    <row r="32" spans="2:17" ht="39.9" customHeight="1">
      <c r="B32" s="494"/>
      <c r="C32" s="26" t="s">
        <v>30</v>
      </c>
      <c r="D32" s="17">
        <f t="shared" ref="D32:M32" si="1">D31/D30</f>
        <v>0.83379934210526296</v>
      </c>
      <c r="E32" s="17">
        <f t="shared" si="1"/>
        <v>0.85626519742883411</v>
      </c>
      <c r="F32" s="17">
        <f t="shared" si="1"/>
        <v>0.86286314805089581</v>
      </c>
      <c r="G32" s="17">
        <f t="shared" si="1"/>
        <v>0</v>
      </c>
      <c r="H32" s="50">
        <f t="shared" si="1"/>
        <v>1.0263962883673143</v>
      </c>
      <c r="I32" s="51">
        <f t="shared" si="1"/>
        <v>0</v>
      </c>
      <c r="J32" s="17">
        <f t="shared" si="1"/>
        <v>0.90552727272727018</v>
      </c>
      <c r="K32" s="17">
        <f t="shared" si="1"/>
        <v>0.85594612794612746</v>
      </c>
      <c r="L32" s="17">
        <f t="shared" si="1"/>
        <v>0.91589249639983561</v>
      </c>
      <c r="M32" s="18">
        <f t="shared" si="1"/>
        <v>0</v>
      </c>
    </row>
    <row r="33" spans="2:13" ht="25.75" customHeight="1">
      <c r="B33" s="495" t="s">
        <v>31</v>
      </c>
      <c r="C33" s="26" t="s">
        <v>32</v>
      </c>
      <c r="D33" s="36">
        <v>0.18055555555555555</v>
      </c>
      <c r="E33" s="36">
        <v>0.18055555555555555</v>
      </c>
      <c r="F33" s="36">
        <v>0.17361111111111113</v>
      </c>
      <c r="G33" s="36">
        <v>0</v>
      </c>
      <c r="H33" s="42">
        <v>0.18055555555555555</v>
      </c>
      <c r="I33" s="38">
        <v>0</v>
      </c>
      <c r="J33" s="36">
        <v>0.72222222222222221</v>
      </c>
      <c r="K33" s="36">
        <v>0.72222222222222221</v>
      </c>
      <c r="L33" s="36">
        <v>0.72222222222222221</v>
      </c>
      <c r="M33" s="37">
        <v>0</v>
      </c>
    </row>
    <row r="34" spans="2:13" ht="25.75" customHeight="1">
      <c r="B34" s="496"/>
      <c r="C34" s="26" t="s">
        <v>33</v>
      </c>
      <c r="D34" s="36">
        <v>0.22430555555555556</v>
      </c>
      <c r="E34" s="36">
        <v>0.39513888888888887</v>
      </c>
      <c r="F34" s="36">
        <v>0.34097222222222223</v>
      </c>
      <c r="G34" s="36">
        <v>0</v>
      </c>
      <c r="H34" s="42">
        <v>0.40486111111111112</v>
      </c>
      <c r="I34" s="38">
        <v>0.40486111111111112</v>
      </c>
      <c r="J34" s="36">
        <v>0.97569444444444453</v>
      </c>
      <c r="K34" s="36">
        <v>0.89930555555555547</v>
      </c>
      <c r="L34" s="36">
        <v>46025.041666666664</v>
      </c>
      <c r="M34" s="37">
        <v>0</v>
      </c>
    </row>
    <row r="35" spans="2:13" ht="25.75" customHeight="1">
      <c r="B35" s="497" t="s">
        <v>34</v>
      </c>
      <c r="C35" s="498"/>
      <c r="D35" s="52">
        <v>5.5</v>
      </c>
      <c r="E35" s="52">
        <v>3</v>
      </c>
      <c r="F35" s="52">
        <v>4</v>
      </c>
      <c r="G35" s="52">
        <v>0</v>
      </c>
      <c r="H35" s="53">
        <v>3.6666666666666665</v>
      </c>
      <c r="I35" s="54">
        <v>0</v>
      </c>
      <c r="J35" s="52">
        <v>3.6</v>
      </c>
      <c r="K35" s="52">
        <v>3.25</v>
      </c>
      <c r="L35" s="52">
        <v>3.6</v>
      </c>
      <c r="M35" s="55">
        <v>0</v>
      </c>
    </row>
    <row r="36" spans="2:13" ht="25.75" customHeight="1">
      <c r="B36" s="497" t="s">
        <v>35</v>
      </c>
      <c r="C36" s="498"/>
      <c r="D36" s="27" t="s">
        <v>49</v>
      </c>
      <c r="E36" s="27" t="s">
        <v>53</v>
      </c>
      <c r="F36" s="27" t="s">
        <v>53</v>
      </c>
      <c r="G36" s="27" t="s">
        <v>52</v>
      </c>
      <c r="H36" s="28" t="s">
        <v>52</v>
      </c>
      <c r="I36" s="29" t="s">
        <v>63</v>
      </c>
      <c r="J36" s="27" t="s">
        <v>53</v>
      </c>
      <c r="K36" s="27" t="s">
        <v>53</v>
      </c>
      <c r="L36" s="27" t="s">
        <v>52</v>
      </c>
      <c r="M36" s="30" t="s">
        <v>52</v>
      </c>
    </row>
    <row r="37" spans="2:13" ht="25.75" customHeight="1">
      <c r="B37" s="497" t="s">
        <v>41</v>
      </c>
      <c r="C37" s="498"/>
      <c r="D37" s="39"/>
      <c r="E37" s="39"/>
      <c r="F37" s="39"/>
      <c r="G37" s="39"/>
      <c r="H37" s="56"/>
      <c r="I37" s="41"/>
      <c r="J37" s="39"/>
      <c r="K37" s="39"/>
      <c r="L37" s="39"/>
      <c r="M37" s="40"/>
    </row>
    <row r="38" spans="2:13" ht="25.75" customHeight="1" thickBot="1">
      <c r="B38" s="499" t="s">
        <v>42</v>
      </c>
      <c r="C38" s="500"/>
      <c r="D38" s="43"/>
      <c r="E38" s="43"/>
      <c r="F38" s="44"/>
      <c r="G38" s="43"/>
      <c r="H38" s="57"/>
      <c r="I38" s="46"/>
      <c r="J38" s="43"/>
      <c r="K38" s="43"/>
      <c r="L38" s="43"/>
      <c r="M38" s="4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1" type="noConversion"/>
  <conditionalFormatting sqref="D32 F32:J32 L32">
    <cfRule type="cellIs" dxfId="14831" priority="6" operator="lessThan">
      <formula>0.8</formula>
    </cfRule>
  </conditionalFormatting>
  <conditionalFormatting sqref="M32">
    <cfRule type="cellIs" dxfId="14830" priority="5" operator="lessThan">
      <formula>0.8</formula>
    </cfRule>
  </conditionalFormatting>
  <conditionalFormatting sqref="K32">
    <cfRule type="cellIs" dxfId="14829" priority="4" operator="lessThan">
      <formula>0.8</formula>
    </cfRule>
  </conditionalFormatting>
  <conditionalFormatting sqref="E32">
    <cfRule type="cellIs" dxfId="14828" priority="3" operator="lessThan">
      <formula>0.8</formula>
    </cfRule>
  </conditionalFormatting>
  <conditionalFormatting sqref="D15:P15">
    <cfRule type="cellIs" dxfId="14827" priority="2" operator="lessThan">
      <formula>0.8</formula>
    </cfRule>
  </conditionalFormatting>
  <conditionalFormatting sqref="Q15">
    <cfRule type="cellIs" dxfId="14826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6" zoomScale="85" zoomScaleNormal="85" workbookViewId="0">
      <selection activeCell="A5" sqref="A5:A16"/>
    </sheetView>
  </sheetViews>
  <sheetFormatPr defaultColWidth="7.90625" defaultRowHeight="15.5"/>
  <cols>
    <col min="1" max="1" width="13.6328125" style="362" customWidth="1"/>
    <col min="2" max="2" width="12.81640625" style="362" customWidth="1"/>
    <col min="3" max="3" width="12.81640625" style="362" hidden="1" customWidth="1"/>
    <col min="4" max="5" width="18.36328125" style="362" customWidth="1"/>
    <col min="6" max="6" width="9.81640625" style="473" customWidth="1"/>
    <col min="7" max="7" width="21.08984375" style="362" bestFit="1" customWidth="1"/>
    <col min="8" max="8" width="15.6328125" style="362" customWidth="1"/>
    <col min="9" max="9" width="12.1796875" style="362" bestFit="1" customWidth="1"/>
    <col min="10" max="15" width="9.81640625" style="362" customWidth="1"/>
    <col min="16" max="16" width="9.81640625" style="474" customWidth="1"/>
    <col min="17" max="18" width="9.81640625" style="362" customWidth="1"/>
    <col min="19" max="16384" width="7.90625" style="362"/>
  </cols>
  <sheetData>
    <row r="1" spans="1:18" ht="26.25" customHeight="1">
      <c r="A1" s="354" t="s">
        <v>287</v>
      </c>
      <c r="B1" s="355"/>
      <c r="C1" s="355"/>
      <c r="D1" s="356" t="s">
        <v>82</v>
      </c>
      <c r="E1" s="357">
        <f>SUM(G5:G124)</f>
        <v>67107</v>
      </c>
      <c r="F1" s="358" t="s">
        <v>2</v>
      </c>
      <c r="G1" s="359">
        <f>SUM(H5:H124)</f>
        <v>1273538.4485250013</v>
      </c>
      <c r="H1" s="360" t="s">
        <v>288</v>
      </c>
      <c r="I1" s="361">
        <f>+J16+J64+J24+J38+J51+J81+J100+J91+J57+J124+J111</f>
        <v>33.838888888888889</v>
      </c>
      <c r="J1" s="613" t="s">
        <v>289</v>
      </c>
      <c r="K1" s="614"/>
      <c r="L1" s="615"/>
      <c r="M1" s="613" t="s">
        <v>86</v>
      </c>
      <c r="N1" s="614"/>
      <c r="O1" s="614"/>
      <c r="P1" s="614"/>
      <c r="Q1" s="614"/>
      <c r="R1" s="615"/>
    </row>
    <row r="2" spans="1:18" ht="26.25" customHeight="1" thickBot="1">
      <c r="A2" s="619" t="s">
        <v>322</v>
      </c>
      <c r="B2" s="620"/>
      <c r="C2" s="363"/>
      <c r="D2" s="364" t="s">
        <v>87</v>
      </c>
      <c r="E2" s="365">
        <f>AVERAGE(L16,L24,L38,L51,L100,L111,L91)</f>
        <v>628.96702055479057</v>
      </c>
      <c r="F2" s="366" t="s">
        <v>88</v>
      </c>
      <c r="G2" s="367">
        <f>G1/E1</f>
        <v>18.977728828959741</v>
      </c>
      <c r="H2" s="368" t="s">
        <v>290</v>
      </c>
      <c r="I2" s="369">
        <f>COUNT(I5:I124)</f>
        <v>0</v>
      </c>
      <c r="J2" s="616"/>
      <c r="K2" s="617"/>
      <c r="L2" s="618"/>
      <c r="M2" s="616"/>
      <c r="N2" s="617"/>
      <c r="O2" s="617"/>
      <c r="P2" s="617"/>
      <c r="Q2" s="617"/>
      <c r="R2" s="618"/>
    </row>
    <row r="3" spans="1:18" ht="23.25" customHeight="1">
      <c r="A3" s="621" t="s">
        <v>90</v>
      </c>
      <c r="B3" s="623" t="s">
        <v>291</v>
      </c>
      <c r="C3" s="370"/>
      <c r="D3" s="623" t="s">
        <v>92</v>
      </c>
      <c r="E3" s="623"/>
      <c r="F3" s="624" t="s">
        <v>93</v>
      </c>
      <c r="G3" s="625" t="s">
        <v>292</v>
      </c>
      <c r="H3" s="626" t="s">
        <v>293</v>
      </c>
      <c r="I3" s="627" t="s">
        <v>96</v>
      </c>
      <c r="J3" s="596" t="s">
        <v>100</v>
      </c>
      <c r="K3" s="606" t="s">
        <v>99</v>
      </c>
      <c r="L3" s="608" t="s">
        <v>87</v>
      </c>
      <c r="M3" s="610" t="s">
        <v>101</v>
      </c>
      <c r="N3" s="610"/>
      <c r="O3" s="596" t="s">
        <v>254</v>
      </c>
      <c r="P3" s="611" t="s">
        <v>103</v>
      </c>
      <c r="Q3" s="596" t="s">
        <v>104</v>
      </c>
      <c r="R3" s="596"/>
    </row>
    <row r="4" spans="1:18" ht="15.75" customHeight="1">
      <c r="A4" s="622"/>
      <c r="B4" s="623"/>
      <c r="C4" s="370"/>
      <c r="D4" s="623"/>
      <c r="E4" s="623"/>
      <c r="F4" s="624"/>
      <c r="G4" s="625"/>
      <c r="H4" s="626"/>
      <c r="I4" s="628"/>
      <c r="J4" s="605"/>
      <c r="K4" s="607"/>
      <c r="L4" s="609"/>
      <c r="M4" s="371" t="s">
        <v>105</v>
      </c>
      <c r="N4" s="371" t="s">
        <v>106</v>
      </c>
      <c r="O4" s="605"/>
      <c r="P4" s="612"/>
      <c r="Q4" s="372" t="s">
        <v>107</v>
      </c>
      <c r="R4" s="372" t="s">
        <v>294</v>
      </c>
    </row>
    <row r="5" spans="1:18">
      <c r="A5" s="597" t="s">
        <v>295</v>
      </c>
      <c r="B5" s="373" t="s">
        <v>250</v>
      </c>
      <c r="C5" s="374"/>
      <c r="D5" s="375" t="s">
        <v>296</v>
      </c>
      <c r="E5" s="376"/>
      <c r="F5" s="377">
        <v>29.965493443754308</v>
      </c>
      <c r="G5" s="370">
        <v>1568</v>
      </c>
      <c r="H5" s="378">
        <f>F5*G5</f>
        <v>46985.893719806758</v>
      </c>
      <c r="I5" s="379"/>
      <c r="J5" s="380">
        <v>13</v>
      </c>
      <c r="K5" s="381">
        <f t="shared" ref="K5:K12" si="0">G5/P5*60</f>
        <v>1254.4000000000003</v>
      </c>
      <c r="L5" s="382">
        <f t="shared" ref="L5:L12" si="1">K5/J5</f>
        <v>96.492307692307719</v>
      </c>
      <c r="M5" s="383">
        <v>0.17361111111111113</v>
      </c>
      <c r="N5" s="383">
        <v>0.22569444444444445</v>
      </c>
      <c r="O5" s="372">
        <v>10</v>
      </c>
      <c r="P5" s="384">
        <f t="shared" ref="P5:P80" si="2">(N5-M5)*24*60</f>
        <v>74.999999999999972</v>
      </c>
      <c r="Q5" s="385"/>
      <c r="R5" s="385"/>
    </row>
    <row r="6" spans="1:18">
      <c r="A6" s="597"/>
      <c r="B6" s="373">
        <v>0</v>
      </c>
      <c r="C6" s="374"/>
      <c r="D6" s="375" t="s">
        <v>297</v>
      </c>
      <c r="E6" s="376"/>
      <c r="F6" s="377" t="s">
        <v>253</v>
      </c>
      <c r="G6" s="370">
        <v>1061</v>
      </c>
      <c r="H6" s="378">
        <f t="shared" ref="H6:H113" si="3">F6*G6</f>
        <v>0</v>
      </c>
      <c r="I6" s="379"/>
      <c r="J6" s="380">
        <v>9</v>
      </c>
      <c r="K6" s="381">
        <f t="shared" si="0"/>
        <v>1591.4999999999977</v>
      </c>
      <c r="L6" s="382">
        <f t="shared" si="1"/>
        <v>176.83333333333309</v>
      </c>
      <c r="M6" s="383">
        <v>0.22916666666666666</v>
      </c>
      <c r="N6" s="383">
        <v>0.25694444444444448</v>
      </c>
      <c r="O6" s="372">
        <v>5</v>
      </c>
      <c r="P6" s="384">
        <f t="shared" si="2"/>
        <v>40.000000000000057</v>
      </c>
      <c r="Q6" s="372"/>
      <c r="R6" s="372"/>
    </row>
    <row r="7" spans="1:18">
      <c r="A7" s="597"/>
      <c r="B7" s="373">
        <v>0</v>
      </c>
      <c r="C7" s="374"/>
      <c r="D7" s="375" t="s">
        <v>298</v>
      </c>
      <c r="E7" s="376"/>
      <c r="F7" s="377" t="s">
        <v>253</v>
      </c>
      <c r="G7" s="370">
        <v>1030</v>
      </c>
      <c r="H7" s="378">
        <f t="shared" si="3"/>
        <v>0</v>
      </c>
      <c r="I7" s="379"/>
      <c r="J7" s="380">
        <v>9</v>
      </c>
      <c r="K7" s="381">
        <f t="shared" si="0"/>
        <v>1544.9999999999993</v>
      </c>
      <c r="L7" s="382">
        <f t="shared" si="1"/>
        <v>171.6666666666666</v>
      </c>
      <c r="M7" s="383">
        <v>0.26041666666666669</v>
      </c>
      <c r="N7" s="383">
        <v>0.28819444444444448</v>
      </c>
      <c r="O7" s="372">
        <v>5</v>
      </c>
      <c r="P7" s="384">
        <f t="shared" si="2"/>
        <v>40.000000000000014</v>
      </c>
      <c r="Q7" s="385"/>
      <c r="R7" s="385"/>
    </row>
    <row r="8" spans="1:18">
      <c r="A8" s="597"/>
      <c r="B8" s="373" t="s">
        <v>250</v>
      </c>
      <c r="C8" s="374"/>
      <c r="D8" s="375" t="s">
        <v>299</v>
      </c>
      <c r="E8" s="376"/>
      <c r="F8" s="377">
        <v>19.7</v>
      </c>
      <c r="G8" s="370">
        <v>198</v>
      </c>
      <c r="H8" s="378">
        <f t="shared" si="3"/>
        <v>3900.6</v>
      </c>
      <c r="I8" s="379"/>
      <c r="J8" s="380">
        <v>10</v>
      </c>
      <c r="K8" s="381">
        <f t="shared" si="0"/>
        <v>1188.0000000000043</v>
      </c>
      <c r="L8" s="382">
        <f t="shared" si="1"/>
        <v>118.80000000000044</v>
      </c>
      <c r="M8" s="383">
        <v>0.29166666666666669</v>
      </c>
      <c r="N8" s="383">
        <v>0.2986111111111111</v>
      </c>
      <c r="O8" s="372">
        <v>5</v>
      </c>
      <c r="P8" s="384">
        <f t="shared" si="2"/>
        <v>9.9999999999999645</v>
      </c>
      <c r="Q8" s="385">
        <v>0.2986111111111111</v>
      </c>
      <c r="R8" s="385">
        <v>0.34027777777777773</v>
      </c>
    </row>
    <row r="9" spans="1:18">
      <c r="A9" s="597"/>
      <c r="B9" s="373" t="s">
        <v>249</v>
      </c>
      <c r="C9" s="374"/>
      <c r="D9" s="375" t="s">
        <v>300</v>
      </c>
      <c r="E9" s="376"/>
      <c r="F9" s="377">
        <v>25.64</v>
      </c>
      <c r="G9" s="386">
        <v>456</v>
      </c>
      <c r="H9" s="378">
        <f t="shared" si="3"/>
        <v>11691.84</v>
      </c>
      <c r="I9" s="379"/>
      <c r="J9" s="380">
        <v>10</v>
      </c>
      <c r="K9" s="381">
        <f t="shared" si="0"/>
        <v>1367.9999999999939</v>
      </c>
      <c r="L9" s="382">
        <f t="shared" si="1"/>
        <v>136.79999999999939</v>
      </c>
      <c r="M9" s="383">
        <v>0.34027777777777773</v>
      </c>
      <c r="N9" s="383">
        <v>0.35416666666666669</v>
      </c>
      <c r="O9" s="372">
        <v>5</v>
      </c>
      <c r="P9" s="384">
        <f t="shared" si="2"/>
        <v>20.000000000000089</v>
      </c>
      <c r="Q9" s="385"/>
      <c r="R9" s="385"/>
    </row>
    <row r="10" spans="1:18">
      <c r="A10" s="597"/>
      <c r="B10" s="373" t="s">
        <v>249</v>
      </c>
      <c r="C10" s="374"/>
      <c r="D10" s="375" t="s">
        <v>301</v>
      </c>
      <c r="E10" s="376"/>
      <c r="F10" s="377">
        <v>30.95</v>
      </c>
      <c r="G10" s="386">
        <v>1172</v>
      </c>
      <c r="H10" s="378">
        <f t="shared" si="3"/>
        <v>36273.4</v>
      </c>
      <c r="I10" s="379"/>
      <c r="J10" s="380">
        <v>15</v>
      </c>
      <c r="K10" s="381">
        <f t="shared" si="0"/>
        <v>1171.9999999999995</v>
      </c>
      <c r="L10" s="382">
        <f t="shared" si="1"/>
        <v>78.133333333333297</v>
      </c>
      <c r="M10" s="383">
        <v>0.3576388888888889</v>
      </c>
      <c r="N10" s="383">
        <v>0.39930555555555558</v>
      </c>
      <c r="O10" s="372">
        <v>5</v>
      </c>
      <c r="P10" s="384">
        <f t="shared" si="2"/>
        <v>60.000000000000028</v>
      </c>
      <c r="Q10" s="385"/>
      <c r="R10" s="385"/>
    </row>
    <row r="11" spans="1:18">
      <c r="A11" s="597"/>
      <c r="B11" s="373" t="s">
        <v>249</v>
      </c>
      <c r="C11" s="374"/>
      <c r="D11" s="375" t="s">
        <v>302</v>
      </c>
      <c r="E11" s="376"/>
      <c r="F11" s="377">
        <v>29.52</v>
      </c>
      <c r="G11" s="386">
        <v>1061</v>
      </c>
      <c r="H11" s="378">
        <f t="shared" si="3"/>
        <v>31320.720000000001</v>
      </c>
      <c r="I11" s="379"/>
      <c r="J11" s="380">
        <v>12</v>
      </c>
      <c r="K11" s="381">
        <f t="shared" si="0"/>
        <v>1818.8571428571411</v>
      </c>
      <c r="L11" s="382">
        <f t="shared" si="1"/>
        <v>151.57142857142841</v>
      </c>
      <c r="M11" s="383">
        <v>0.40277777777777773</v>
      </c>
      <c r="N11" s="383">
        <v>0.42708333333333331</v>
      </c>
      <c r="O11" s="372">
        <v>5</v>
      </c>
      <c r="P11" s="384">
        <f t="shared" si="2"/>
        <v>35.000000000000036</v>
      </c>
      <c r="Q11" s="385"/>
      <c r="R11" s="385"/>
    </row>
    <row r="12" spans="1:18">
      <c r="A12" s="598"/>
      <c r="B12" s="373" t="s">
        <v>249</v>
      </c>
      <c r="C12" s="374"/>
      <c r="D12" s="375" t="s">
        <v>255</v>
      </c>
      <c r="E12" s="376"/>
      <c r="F12" s="377">
        <v>29.856999999999999</v>
      </c>
      <c r="G12" s="386">
        <v>1030</v>
      </c>
      <c r="H12" s="378">
        <f t="shared" si="3"/>
        <v>30752.71</v>
      </c>
      <c r="I12" s="379"/>
      <c r="J12" s="380">
        <v>12</v>
      </c>
      <c r="K12" s="381">
        <f t="shared" si="0"/>
        <v>1765.7142857142881</v>
      </c>
      <c r="L12" s="382">
        <f t="shared" si="1"/>
        <v>147.14285714285734</v>
      </c>
      <c r="M12" s="383">
        <v>0.43055555555555558</v>
      </c>
      <c r="N12" s="383">
        <v>0.4548611111111111</v>
      </c>
      <c r="O12" s="372">
        <v>5</v>
      </c>
      <c r="P12" s="384">
        <f t="shared" si="2"/>
        <v>34.999999999999957</v>
      </c>
      <c r="Q12" s="385"/>
      <c r="R12" s="385"/>
    </row>
    <row r="13" spans="1:18">
      <c r="A13" s="598"/>
      <c r="B13" s="373" t="s">
        <v>250</v>
      </c>
      <c r="C13" s="387"/>
      <c r="D13" s="591" t="s">
        <v>256</v>
      </c>
      <c r="E13" s="592"/>
      <c r="F13" s="377">
        <v>28.57</v>
      </c>
      <c r="G13" s="388">
        <v>1620</v>
      </c>
      <c r="H13" s="378">
        <f t="shared" si="3"/>
        <v>46283.4</v>
      </c>
      <c r="I13" s="379"/>
      <c r="J13" s="380">
        <v>8</v>
      </c>
      <c r="K13" s="381">
        <f>G13/P13*60</f>
        <v>1495.3846153846162</v>
      </c>
      <c r="L13" s="382">
        <f>K13/J13</f>
        <v>186.92307692307702</v>
      </c>
      <c r="M13" s="383">
        <v>0.23819444444444446</v>
      </c>
      <c r="N13" s="383">
        <v>0.28333333333333333</v>
      </c>
      <c r="O13" s="372">
        <v>20</v>
      </c>
      <c r="P13" s="384">
        <f t="shared" si="2"/>
        <v>64.999999999999972</v>
      </c>
      <c r="Q13" s="372"/>
      <c r="R13" s="372"/>
    </row>
    <row r="14" spans="1:18">
      <c r="A14" s="598"/>
      <c r="B14" s="373">
        <v>0</v>
      </c>
      <c r="C14" s="387"/>
      <c r="D14" s="375"/>
      <c r="E14" s="376"/>
      <c r="F14" s="377" t="s">
        <v>253</v>
      </c>
      <c r="G14" s="386"/>
      <c r="H14" s="378">
        <f t="shared" si="3"/>
        <v>0</v>
      </c>
      <c r="I14" s="379"/>
      <c r="J14" s="380"/>
      <c r="K14" s="381"/>
      <c r="L14" s="382"/>
      <c r="M14" s="383"/>
      <c r="N14" s="383"/>
      <c r="O14" s="372"/>
      <c r="P14" s="384">
        <f t="shared" si="2"/>
        <v>0</v>
      </c>
      <c r="Q14" s="372"/>
      <c r="R14" s="372"/>
    </row>
    <row r="15" spans="1:18">
      <c r="A15" s="598"/>
      <c r="B15" s="373">
        <v>0</v>
      </c>
      <c r="C15" s="389"/>
      <c r="D15" s="390"/>
      <c r="E15" s="390"/>
      <c r="F15" s="377" t="s">
        <v>253</v>
      </c>
      <c r="G15" s="386"/>
      <c r="H15" s="378">
        <f t="shared" si="3"/>
        <v>0</v>
      </c>
      <c r="I15" s="379"/>
      <c r="J15" s="380"/>
      <c r="K15" s="381"/>
      <c r="L15" s="382"/>
      <c r="M15" s="383"/>
      <c r="N15" s="383"/>
      <c r="O15" s="372"/>
      <c r="P15" s="384">
        <f t="shared" si="2"/>
        <v>0</v>
      </c>
      <c r="Q15" s="372"/>
      <c r="R15" s="372"/>
    </row>
    <row r="16" spans="1:18" ht="15.75" customHeight="1">
      <c r="A16" s="599"/>
      <c r="B16" s="373">
        <v>0</v>
      </c>
      <c r="C16" s="391" t="s">
        <v>257</v>
      </c>
      <c r="D16" s="583" t="s">
        <v>114</v>
      </c>
      <c r="E16" s="583"/>
      <c r="F16" s="392"/>
      <c r="G16" s="393"/>
      <c r="H16" s="394"/>
      <c r="I16" s="395"/>
      <c r="J16" s="396">
        <f>AVERAGE(J5:J15)</f>
        <v>10.888888888888889</v>
      </c>
      <c r="K16" s="396">
        <f>AVERAGE(K5:K15)</f>
        <v>1466.5395604395599</v>
      </c>
      <c r="L16" s="397">
        <f>AVERAGE(L5:L15)</f>
        <v>140.48477818477815</v>
      </c>
      <c r="M16" s="383"/>
      <c r="N16" s="383"/>
      <c r="O16" s="381"/>
      <c r="P16" s="381"/>
      <c r="Q16" s="382"/>
      <c r="R16" s="382"/>
    </row>
    <row r="17" spans="1:18" ht="15.75" customHeight="1">
      <c r="A17" s="600" t="s">
        <v>258</v>
      </c>
      <c r="B17" s="373" t="s">
        <v>250</v>
      </c>
      <c r="C17" s="398"/>
      <c r="D17" s="603" t="s">
        <v>259</v>
      </c>
      <c r="E17" s="604"/>
      <c r="F17" s="377">
        <v>14.03</v>
      </c>
      <c r="G17" s="370">
        <v>461</v>
      </c>
      <c r="H17" s="399">
        <f t="shared" ref="H17:H23" si="4">F17*G17</f>
        <v>6467.83</v>
      </c>
      <c r="I17" s="400"/>
      <c r="J17" s="380">
        <v>6</v>
      </c>
      <c r="K17" s="381">
        <f>G17/P17*60</f>
        <v>1455.7894736842095</v>
      </c>
      <c r="L17" s="382">
        <f>K17/J17</f>
        <v>242.63157894736824</v>
      </c>
      <c r="M17" s="383">
        <v>0.18055555555555555</v>
      </c>
      <c r="N17" s="383">
        <v>0.19375000000000001</v>
      </c>
      <c r="O17" s="372">
        <v>20</v>
      </c>
      <c r="P17" s="384">
        <f>(N17-M17)*24*60</f>
        <v>19.000000000000014</v>
      </c>
      <c r="Q17" s="372"/>
      <c r="R17" s="372"/>
    </row>
    <row r="18" spans="1:18" ht="15.75" customHeight="1">
      <c r="A18" s="600"/>
      <c r="B18" s="373" t="s">
        <v>250</v>
      </c>
      <c r="C18" s="401"/>
      <c r="D18" s="591" t="s">
        <v>260</v>
      </c>
      <c r="E18" s="592"/>
      <c r="F18" s="377">
        <v>14.49</v>
      </c>
      <c r="G18" s="388">
        <v>582</v>
      </c>
      <c r="H18" s="378">
        <f t="shared" si="4"/>
        <v>8433.18</v>
      </c>
      <c r="I18" s="379"/>
      <c r="J18" s="380">
        <v>5</v>
      </c>
      <c r="K18" s="381">
        <f>G18/P18*60</f>
        <v>1455.0000000000005</v>
      </c>
      <c r="L18" s="382">
        <f>K18/J18</f>
        <v>291.00000000000011</v>
      </c>
      <c r="M18" s="383">
        <v>0.2076388888888889</v>
      </c>
      <c r="N18" s="383">
        <v>0.22430555555555556</v>
      </c>
      <c r="O18" s="372">
        <v>20</v>
      </c>
      <c r="P18" s="384">
        <f t="shared" ref="P18:P23" si="5">(N18-M18)*24*60</f>
        <v>23.999999999999993</v>
      </c>
      <c r="Q18" s="385"/>
      <c r="R18" s="385"/>
    </row>
    <row r="19" spans="1:18" ht="15.75" customHeight="1">
      <c r="A19" s="600"/>
      <c r="B19" s="373">
        <v>0</v>
      </c>
      <c r="C19" s="401"/>
      <c r="D19" s="591"/>
      <c r="E19" s="592"/>
      <c r="F19" s="377"/>
      <c r="G19" s="388"/>
      <c r="H19" s="378"/>
      <c r="I19" s="379"/>
      <c r="J19" s="380"/>
      <c r="K19" s="381"/>
      <c r="L19" s="382"/>
      <c r="M19" s="383"/>
      <c r="N19" s="383"/>
      <c r="O19" s="372"/>
      <c r="P19" s="384"/>
      <c r="Q19" s="385"/>
      <c r="R19" s="385"/>
    </row>
    <row r="20" spans="1:18" ht="15.75" customHeight="1">
      <c r="A20" s="601"/>
      <c r="B20" s="373">
        <v>0</v>
      </c>
      <c r="C20" s="402"/>
      <c r="D20" s="403"/>
      <c r="E20" s="404"/>
      <c r="F20" s="377" t="s">
        <v>253</v>
      </c>
      <c r="G20" s="388"/>
      <c r="H20" s="378">
        <f t="shared" si="4"/>
        <v>0</v>
      </c>
      <c r="I20" s="379"/>
      <c r="J20" s="380"/>
      <c r="K20" s="381"/>
      <c r="L20" s="382"/>
      <c r="M20" s="383"/>
      <c r="N20" s="383"/>
      <c r="O20" s="372"/>
      <c r="P20" s="384">
        <f t="shared" si="5"/>
        <v>0</v>
      </c>
      <c r="Q20" s="372"/>
      <c r="R20" s="372"/>
    </row>
    <row r="21" spans="1:18" ht="15.75" customHeight="1">
      <c r="A21" s="601"/>
      <c r="B21" s="373">
        <v>0</v>
      </c>
      <c r="C21" s="402"/>
      <c r="D21" s="403"/>
      <c r="E21" s="404"/>
      <c r="F21" s="377" t="s">
        <v>253</v>
      </c>
      <c r="G21" s="388"/>
      <c r="H21" s="378">
        <f t="shared" si="4"/>
        <v>0</v>
      </c>
      <c r="I21" s="379"/>
      <c r="J21" s="380"/>
      <c r="K21" s="381"/>
      <c r="L21" s="382"/>
      <c r="M21" s="383"/>
      <c r="N21" s="383"/>
      <c r="O21" s="372"/>
      <c r="P21" s="384">
        <f t="shared" si="5"/>
        <v>0</v>
      </c>
      <c r="Q21" s="372"/>
      <c r="R21" s="372"/>
    </row>
    <row r="22" spans="1:18" ht="15.75" customHeight="1">
      <c r="A22" s="601"/>
      <c r="B22" s="373">
        <v>0</v>
      </c>
      <c r="C22" s="402"/>
      <c r="D22" s="403"/>
      <c r="E22" s="404"/>
      <c r="F22" s="377" t="s">
        <v>253</v>
      </c>
      <c r="G22" s="388"/>
      <c r="H22" s="378">
        <f t="shared" si="4"/>
        <v>0</v>
      </c>
      <c r="I22" s="379"/>
      <c r="J22" s="380"/>
      <c r="K22" s="381"/>
      <c r="L22" s="382"/>
      <c r="M22" s="383"/>
      <c r="N22" s="383"/>
      <c r="O22" s="372"/>
      <c r="P22" s="384">
        <f t="shared" si="5"/>
        <v>0</v>
      </c>
      <c r="Q22" s="372"/>
      <c r="R22" s="372"/>
    </row>
    <row r="23" spans="1:18" ht="15.75" customHeight="1">
      <c r="A23" s="601"/>
      <c r="B23" s="373">
        <v>0</v>
      </c>
      <c r="C23" s="402"/>
      <c r="D23" s="403"/>
      <c r="E23" s="404"/>
      <c r="F23" s="377" t="s">
        <v>253</v>
      </c>
      <c r="G23" s="388"/>
      <c r="H23" s="378">
        <f t="shared" si="4"/>
        <v>0</v>
      </c>
      <c r="I23" s="379"/>
      <c r="J23" s="380"/>
      <c r="K23" s="381"/>
      <c r="L23" s="382"/>
      <c r="M23" s="383"/>
      <c r="N23" s="383"/>
      <c r="O23" s="372"/>
      <c r="P23" s="384">
        <f t="shared" si="5"/>
        <v>0</v>
      </c>
      <c r="Q23" s="372"/>
      <c r="R23" s="372"/>
    </row>
    <row r="24" spans="1:18" ht="17.399999999999999" customHeight="1">
      <c r="A24" s="602"/>
      <c r="B24" s="373">
        <v>0</v>
      </c>
      <c r="C24" s="12" t="s">
        <v>261</v>
      </c>
      <c r="D24" s="583" t="s">
        <v>114</v>
      </c>
      <c r="E24" s="583"/>
      <c r="F24" s="392"/>
      <c r="G24" s="405"/>
      <c r="H24" s="394"/>
      <c r="I24" s="395"/>
      <c r="J24" s="396">
        <f>AVERAGE(J17:J23)</f>
        <v>5.5</v>
      </c>
      <c r="K24" s="396">
        <f>AVERAGE(K17:K23)</f>
        <v>1455.394736842105</v>
      </c>
      <c r="L24" s="397">
        <f>AVERAGE(L17:L23)</f>
        <v>266.81578947368416</v>
      </c>
      <c r="M24" s="383"/>
      <c r="N24" s="383"/>
      <c r="O24" s="372"/>
      <c r="P24" s="372"/>
      <c r="Q24" s="372"/>
      <c r="R24" s="372"/>
    </row>
    <row r="25" spans="1:18">
      <c r="A25" s="585" t="s">
        <v>262</v>
      </c>
      <c r="B25" s="373" t="s">
        <v>250</v>
      </c>
      <c r="C25" s="406"/>
      <c r="D25" s="407" t="s">
        <v>303</v>
      </c>
      <c r="E25" s="408"/>
      <c r="F25" s="377">
        <v>18.18</v>
      </c>
      <c r="G25" s="370">
        <v>735</v>
      </c>
      <c r="H25" s="378">
        <f t="shared" ref="H25:H37" si="6">F25*G25</f>
        <v>13362.3</v>
      </c>
      <c r="I25" s="379"/>
      <c r="J25" s="380">
        <v>3</v>
      </c>
      <c r="K25" s="381">
        <f t="shared" ref="K25:K29" si="7">G25/P25*60</f>
        <v>2940.0000000000032</v>
      </c>
      <c r="L25" s="382">
        <f t="shared" ref="L25:L29" si="8">K25/J25</f>
        <v>980.00000000000102</v>
      </c>
      <c r="M25" s="383">
        <v>0.18055555555555555</v>
      </c>
      <c r="N25" s="383">
        <v>0.19097222222222221</v>
      </c>
      <c r="O25" s="372">
        <v>20</v>
      </c>
      <c r="P25" s="384">
        <f t="shared" ref="P25:P37" si="9">(N25-M25)*24*60</f>
        <v>14.999999999999986</v>
      </c>
      <c r="Q25" s="385"/>
      <c r="R25" s="385"/>
    </row>
    <row r="26" spans="1:18">
      <c r="A26" s="585"/>
      <c r="B26" s="373" t="s">
        <v>250</v>
      </c>
      <c r="C26" s="409"/>
      <c r="D26" s="410" t="s">
        <v>304</v>
      </c>
      <c r="E26" s="411"/>
      <c r="F26" s="377">
        <v>18.18</v>
      </c>
      <c r="G26" s="370">
        <v>1272</v>
      </c>
      <c r="H26" s="378">
        <f t="shared" si="6"/>
        <v>23124.959999999999</v>
      </c>
      <c r="I26" s="379"/>
      <c r="J26" s="380">
        <v>3</v>
      </c>
      <c r="K26" s="381">
        <f t="shared" si="7"/>
        <v>2826.6666666666729</v>
      </c>
      <c r="L26" s="382">
        <f t="shared" si="8"/>
        <v>942.22222222222433</v>
      </c>
      <c r="M26" s="383">
        <v>0.20486111111111113</v>
      </c>
      <c r="N26" s="383">
        <v>0.22361111111111109</v>
      </c>
      <c r="O26" s="372">
        <v>20</v>
      </c>
      <c r="P26" s="384">
        <f t="shared" si="9"/>
        <v>26.999999999999943</v>
      </c>
      <c r="Q26" s="385"/>
      <c r="R26" s="385"/>
    </row>
    <row r="27" spans="1:18">
      <c r="A27" s="585"/>
      <c r="B27" s="373" t="s">
        <v>250</v>
      </c>
      <c r="C27" s="409"/>
      <c r="D27" s="410" t="s">
        <v>305</v>
      </c>
      <c r="E27" s="411"/>
      <c r="F27" s="377">
        <v>17.890909090909091</v>
      </c>
      <c r="G27" s="370">
        <v>1433</v>
      </c>
      <c r="H27" s="378">
        <f t="shared" si="6"/>
        <v>25637.672727272726</v>
      </c>
      <c r="I27" s="379"/>
      <c r="J27" s="380">
        <v>3</v>
      </c>
      <c r="K27" s="381">
        <f t="shared" si="7"/>
        <v>2865.9999999999986</v>
      </c>
      <c r="L27" s="382">
        <f t="shared" si="8"/>
        <v>955.33333333333292</v>
      </c>
      <c r="M27" s="383">
        <v>0.23750000000000002</v>
      </c>
      <c r="N27" s="383">
        <v>0.25833333333333336</v>
      </c>
      <c r="O27" s="372">
        <v>20</v>
      </c>
      <c r="P27" s="384">
        <f t="shared" si="9"/>
        <v>30.000000000000014</v>
      </c>
      <c r="Q27" s="385">
        <v>0.25833333333333336</v>
      </c>
      <c r="R27" s="385">
        <v>0.3</v>
      </c>
    </row>
    <row r="28" spans="1:18">
      <c r="A28" s="585"/>
      <c r="B28" s="373" t="s">
        <v>250</v>
      </c>
      <c r="C28" s="412"/>
      <c r="D28" s="410" t="s">
        <v>306</v>
      </c>
      <c r="E28" s="413"/>
      <c r="F28" s="377">
        <v>21.45</v>
      </c>
      <c r="G28" s="370">
        <v>994</v>
      </c>
      <c r="H28" s="378">
        <f t="shared" si="6"/>
        <v>21321.3</v>
      </c>
      <c r="I28" s="379"/>
      <c r="J28" s="380">
        <v>3</v>
      </c>
      <c r="K28" s="381">
        <f t="shared" si="7"/>
        <v>2710.909090909091</v>
      </c>
      <c r="L28" s="382">
        <f t="shared" si="8"/>
        <v>903.63636363636363</v>
      </c>
      <c r="M28" s="383">
        <v>0.31388888888888888</v>
      </c>
      <c r="N28" s="383">
        <v>0.32916666666666666</v>
      </c>
      <c r="O28" s="372">
        <v>20</v>
      </c>
      <c r="P28" s="384">
        <f t="shared" si="9"/>
        <v>22</v>
      </c>
      <c r="Q28" s="385"/>
      <c r="R28" s="385"/>
    </row>
    <row r="29" spans="1:18">
      <c r="A29" s="585"/>
      <c r="B29" s="373" t="s">
        <v>249</v>
      </c>
      <c r="C29" s="414"/>
      <c r="D29" s="410" t="s">
        <v>263</v>
      </c>
      <c r="E29" s="413"/>
      <c r="F29" s="377">
        <v>18.53</v>
      </c>
      <c r="G29" s="370">
        <v>3481</v>
      </c>
      <c r="H29" s="378">
        <f t="shared" si="6"/>
        <v>64502.930000000008</v>
      </c>
      <c r="I29" s="379"/>
      <c r="J29" s="380">
        <v>3</v>
      </c>
      <c r="K29" s="381">
        <f t="shared" si="7"/>
        <v>2784.7999999999979</v>
      </c>
      <c r="L29" s="382">
        <f t="shared" si="8"/>
        <v>928.26666666666597</v>
      </c>
      <c r="M29" s="383">
        <v>0.3430555555555555</v>
      </c>
      <c r="N29" s="383">
        <v>0.39513888888888887</v>
      </c>
      <c r="O29" s="372">
        <v>20</v>
      </c>
      <c r="P29" s="384">
        <f t="shared" si="9"/>
        <v>75.000000000000057</v>
      </c>
      <c r="Q29" s="385"/>
      <c r="R29" s="385"/>
    </row>
    <row r="30" spans="1:18">
      <c r="A30" s="585"/>
      <c r="B30" s="373"/>
      <c r="C30" s="414"/>
      <c r="D30" s="410"/>
      <c r="E30" s="413"/>
      <c r="F30" s="377"/>
      <c r="G30" s="370"/>
      <c r="H30" s="378">
        <f t="shared" si="6"/>
        <v>0</v>
      </c>
      <c r="I30" s="379"/>
      <c r="J30" s="380"/>
      <c r="K30" s="381"/>
      <c r="L30" s="382"/>
      <c r="M30" s="383"/>
      <c r="N30" s="383"/>
      <c r="O30" s="372"/>
      <c r="P30" s="384">
        <f t="shared" si="9"/>
        <v>0</v>
      </c>
      <c r="Q30" s="385"/>
      <c r="R30" s="385"/>
    </row>
    <row r="31" spans="1:18" ht="15.75" customHeight="1">
      <c r="A31" s="585"/>
      <c r="B31" s="373">
        <v>0</v>
      </c>
      <c r="C31" s="415"/>
      <c r="D31" s="407"/>
      <c r="E31" s="413"/>
      <c r="F31" s="377" t="s">
        <v>253</v>
      </c>
      <c r="G31" s="370"/>
      <c r="H31" s="378">
        <f t="shared" si="6"/>
        <v>0</v>
      </c>
      <c r="I31" s="379"/>
      <c r="J31" s="380"/>
      <c r="K31" s="381"/>
      <c r="L31" s="382"/>
      <c r="M31" s="383"/>
      <c r="N31" s="383"/>
      <c r="O31" s="372"/>
      <c r="P31" s="384">
        <f t="shared" si="9"/>
        <v>0</v>
      </c>
      <c r="Q31" s="385"/>
      <c r="R31" s="385"/>
    </row>
    <row r="32" spans="1:18">
      <c r="A32" s="585"/>
      <c r="B32" s="373">
        <v>0</v>
      </c>
      <c r="C32" s="401"/>
      <c r="D32" s="410"/>
      <c r="E32" s="404"/>
      <c r="F32" s="377" t="s">
        <v>253</v>
      </c>
      <c r="G32" s="370"/>
      <c r="H32" s="378">
        <f t="shared" si="6"/>
        <v>0</v>
      </c>
      <c r="I32" s="379"/>
      <c r="J32" s="380"/>
      <c r="K32" s="381"/>
      <c r="L32" s="382"/>
      <c r="M32" s="383"/>
      <c r="N32" s="383"/>
      <c r="O32" s="372"/>
      <c r="P32" s="384">
        <f t="shared" si="9"/>
        <v>0</v>
      </c>
      <c r="Q32" s="385"/>
      <c r="R32" s="385"/>
    </row>
    <row r="33" spans="1:18">
      <c r="A33" s="585"/>
      <c r="B33" s="373">
        <v>0</v>
      </c>
      <c r="C33" s="414"/>
      <c r="D33" s="410"/>
      <c r="E33" s="413"/>
      <c r="F33" s="377" t="s">
        <v>253</v>
      </c>
      <c r="G33" s="370"/>
      <c r="H33" s="378">
        <f t="shared" si="6"/>
        <v>0</v>
      </c>
      <c r="I33" s="379"/>
      <c r="J33" s="380"/>
      <c r="K33" s="381"/>
      <c r="L33" s="382"/>
      <c r="M33" s="383"/>
      <c r="N33" s="383"/>
      <c r="O33" s="372"/>
      <c r="P33" s="384">
        <f t="shared" si="9"/>
        <v>0</v>
      </c>
      <c r="Q33" s="385"/>
      <c r="R33" s="385"/>
    </row>
    <row r="34" spans="1:18">
      <c r="A34" s="585"/>
      <c r="B34" s="373">
        <v>0</v>
      </c>
      <c r="C34" s="416"/>
      <c r="D34" s="410"/>
      <c r="E34" s="413"/>
      <c r="F34" s="377" t="s">
        <v>253</v>
      </c>
      <c r="G34" s="417"/>
      <c r="H34" s="378">
        <f t="shared" si="6"/>
        <v>0</v>
      </c>
      <c r="I34" s="379"/>
      <c r="J34" s="380"/>
      <c r="K34" s="381"/>
      <c r="L34" s="382"/>
      <c r="M34" s="383"/>
      <c r="N34" s="383"/>
      <c r="O34" s="372"/>
      <c r="P34" s="384">
        <f t="shared" si="9"/>
        <v>0</v>
      </c>
      <c r="Q34" s="385"/>
      <c r="R34" s="385"/>
    </row>
    <row r="35" spans="1:18">
      <c r="A35" s="585"/>
      <c r="B35" s="373">
        <v>0</v>
      </c>
      <c r="C35" s="418"/>
      <c r="D35" s="410"/>
      <c r="E35" s="413"/>
      <c r="F35" s="377" t="s">
        <v>253</v>
      </c>
      <c r="G35" s="417"/>
      <c r="H35" s="378">
        <f t="shared" si="6"/>
        <v>0</v>
      </c>
      <c r="I35" s="379"/>
      <c r="J35" s="380"/>
      <c r="K35" s="381"/>
      <c r="L35" s="382"/>
      <c r="M35" s="383"/>
      <c r="N35" s="383"/>
      <c r="O35" s="372"/>
      <c r="P35" s="384">
        <f t="shared" si="9"/>
        <v>0</v>
      </c>
      <c r="Q35" s="385"/>
      <c r="R35" s="385"/>
    </row>
    <row r="36" spans="1:18">
      <c r="A36" s="585"/>
      <c r="B36" s="373">
        <v>0</v>
      </c>
      <c r="C36" s="418"/>
      <c r="D36" s="419"/>
      <c r="E36" s="419"/>
      <c r="F36" s="377" t="s">
        <v>253</v>
      </c>
      <c r="G36" s="417"/>
      <c r="H36" s="378">
        <f t="shared" si="6"/>
        <v>0</v>
      </c>
      <c r="I36" s="379"/>
      <c r="J36" s="380"/>
      <c r="K36" s="381"/>
      <c r="L36" s="382"/>
      <c r="M36" s="383"/>
      <c r="N36" s="383"/>
      <c r="O36" s="372"/>
      <c r="P36" s="384">
        <f t="shared" si="9"/>
        <v>0</v>
      </c>
      <c r="Q36" s="385"/>
      <c r="R36" s="385"/>
    </row>
    <row r="37" spans="1:18">
      <c r="A37" s="585"/>
      <c r="B37" s="373">
        <v>0</v>
      </c>
      <c r="C37" s="418"/>
      <c r="D37" s="411"/>
      <c r="E37" s="411"/>
      <c r="F37" s="377" t="s">
        <v>253</v>
      </c>
      <c r="G37" s="417"/>
      <c r="H37" s="378">
        <f t="shared" si="6"/>
        <v>0</v>
      </c>
      <c r="I37" s="379"/>
      <c r="J37" s="380"/>
      <c r="K37" s="381"/>
      <c r="L37" s="382"/>
      <c r="M37" s="383"/>
      <c r="N37" s="383"/>
      <c r="O37" s="372"/>
      <c r="P37" s="384">
        <f t="shared" si="9"/>
        <v>0</v>
      </c>
      <c r="Q37" s="385"/>
      <c r="R37" s="385"/>
    </row>
    <row r="38" spans="1:18" ht="17.399999999999999" customHeight="1">
      <c r="A38" s="586"/>
      <c r="B38" s="373">
        <v>0</v>
      </c>
      <c r="C38" s="12" t="s">
        <v>50</v>
      </c>
      <c r="D38" s="578" t="s">
        <v>264</v>
      </c>
      <c r="E38" s="578"/>
      <c r="F38" s="392"/>
      <c r="G38" s="420"/>
      <c r="H38" s="394"/>
      <c r="I38" s="395"/>
      <c r="J38" s="396">
        <f>AVERAGE(J25:J37)</f>
        <v>3</v>
      </c>
      <c r="K38" s="396">
        <f>AVERAGE(K25:K37)</f>
        <v>2825.6751515151527</v>
      </c>
      <c r="L38" s="397">
        <f>AVERAGE(L25:L37)</f>
        <v>941.89171717171757</v>
      </c>
      <c r="M38" s="383"/>
      <c r="N38" s="383"/>
      <c r="O38" s="381"/>
      <c r="P38" s="381"/>
      <c r="Q38" s="382"/>
      <c r="R38" s="382"/>
    </row>
    <row r="39" spans="1:18" ht="16.25" customHeight="1">
      <c r="A39" s="587" t="s">
        <v>265</v>
      </c>
      <c r="B39" s="373" t="s">
        <v>250</v>
      </c>
      <c r="C39" s="401"/>
      <c r="D39" s="425" t="s">
        <v>266</v>
      </c>
      <c r="E39" s="404"/>
      <c r="F39" s="377">
        <v>22.281818181818181</v>
      </c>
      <c r="G39" s="370">
        <v>509</v>
      </c>
      <c r="H39" s="378">
        <f t="shared" ref="H39:H42" si="10">F39*G39</f>
        <v>11341.445454545454</v>
      </c>
      <c r="I39" s="379"/>
      <c r="J39" s="380">
        <v>4</v>
      </c>
      <c r="K39" s="381">
        <f>G39/P39*60</f>
        <v>3054.0000000000109</v>
      </c>
      <c r="L39" s="382">
        <f>K39/J39</f>
        <v>763.50000000000273</v>
      </c>
      <c r="M39" s="383">
        <v>0.17361111111111113</v>
      </c>
      <c r="N39" s="383">
        <v>0.18055555555555555</v>
      </c>
      <c r="O39" s="372">
        <v>20</v>
      </c>
      <c r="P39" s="423">
        <f t="shared" ref="P39:P42" si="11">(N39-M39)*24*60</f>
        <v>9.9999999999999645</v>
      </c>
      <c r="Q39" s="385"/>
      <c r="R39" s="385"/>
    </row>
    <row r="40" spans="1:18">
      <c r="A40" s="588"/>
      <c r="B40" s="373" t="s">
        <v>250</v>
      </c>
      <c r="C40" s="401"/>
      <c r="D40" s="425" t="s">
        <v>267</v>
      </c>
      <c r="E40" s="404"/>
      <c r="F40" s="377">
        <v>16.66</v>
      </c>
      <c r="G40" s="370">
        <v>2161</v>
      </c>
      <c r="H40" s="378">
        <f t="shared" si="10"/>
        <v>36002.26</v>
      </c>
      <c r="I40" s="379"/>
      <c r="J40" s="380">
        <v>4</v>
      </c>
      <c r="K40" s="381">
        <f>G40/P40*60</f>
        <v>2818.695652173913</v>
      </c>
      <c r="L40" s="382">
        <f>K40/J40</f>
        <v>704.67391304347825</v>
      </c>
      <c r="M40" s="383">
        <v>0.19444444444444445</v>
      </c>
      <c r="N40" s="383">
        <v>0.22638888888888889</v>
      </c>
      <c r="O40" s="372">
        <v>20</v>
      </c>
      <c r="P40" s="423">
        <f t="shared" si="11"/>
        <v>46</v>
      </c>
      <c r="Q40" s="385">
        <v>0.22638888888888889</v>
      </c>
      <c r="R40" s="385">
        <v>0.26805555555555555</v>
      </c>
    </row>
    <row r="41" spans="1:18">
      <c r="A41" s="588"/>
      <c r="B41" s="373" t="s">
        <v>250</v>
      </c>
      <c r="C41" s="401"/>
      <c r="D41" s="425" t="s">
        <v>268</v>
      </c>
      <c r="E41" s="404"/>
      <c r="F41" s="377">
        <v>18.18</v>
      </c>
      <c r="G41" s="370">
        <v>2421</v>
      </c>
      <c r="H41" s="378">
        <f t="shared" si="10"/>
        <v>44013.78</v>
      </c>
      <c r="I41" s="379"/>
      <c r="J41" s="380">
        <v>4</v>
      </c>
      <c r="K41" s="381">
        <f t="shared" ref="K41:K42" si="12">G41/P41*60</f>
        <v>2793.4615384615399</v>
      </c>
      <c r="L41" s="382">
        <f t="shared" ref="L41:L42" si="13">K41/J41</f>
        <v>698.36538461538498</v>
      </c>
      <c r="M41" s="383">
        <v>0.28194444444444444</v>
      </c>
      <c r="N41" s="383">
        <v>0.31805555555555554</v>
      </c>
      <c r="O41" s="372">
        <v>20</v>
      </c>
      <c r="P41" s="423">
        <f t="shared" si="11"/>
        <v>51.999999999999972</v>
      </c>
      <c r="Q41" s="385"/>
      <c r="R41" s="385"/>
    </row>
    <row r="42" spans="1:18">
      <c r="A42" s="588"/>
      <c r="B42" s="373" t="s">
        <v>250</v>
      </c>
      <c r="C42" s="401"/>
      <c r="D42" s="425" t="s">
        <v>307</v>
      </c>
      <c r="E42" s="404"/>
      <c r="F42" s="377">
        <v>15.15</v>
      </c>
      <c r="G42" s="370">
        <v>1498</v>
      </c>
      <c r="H42" s="378">
        <f t="shared" si="10"/>
        <v>22694.7</v>
      </c>
      <c r="I42" s="379"/>
      <c r="J42" s="380">
        <v>4</v>
      </c>
      <c r="K42" s="381">
        <f t="shared" si="12"/>
        <v>2723.6363636363599</v>
      </c>
      <c r="L42" s="382">
        <f t="shared" si="13"/>
        <v>680.90909090908997</v>
      </c>
      <c r="M42" s="383">
        <v>0.31805555555555554</v>
      </c>
      <c r="N42" s="383">
        <v>0.34097222222222223</v>
      </c>
      <c r="O42" s="372">
        <v>20</v>
      </c>
      <c r="P42" s="423">
        <f t="shared" si="11"/>
        <v>33.000000000000043</v>
      </c>
      <c r="Q42" s="385"/>
      <c r="R42" s="385"/>
    </row>
    <row r="43" spans="1:18" ht="15.75" customHeight="1">
      <c r="A43" s="588"/>
      <c r="B43" s="373"/>
      <c r="C43" s="401"/>
      <c r="D43" s="426"/>
      <c r="E43" s="404"/>
      <c r="F43" s="377"/>
      <c r="G43" s="370"/>
      <c r="H43" s="378"/>
      <c r="I43" s="379"/>
      <c r="J43" s="380"/>
      <c r="K43" s="381"/>
      <c r="L43" s="382"/>
      <c r="M43" s="383"/>
      <c r="N43" s="383"/>
      <c r="O43" s="372"/>
      <c r="P43" s="384"/>
      <c r="Q43" s="385"/>
      <c r="R43" s="385"/>
    </row>
    <row r="44" spans="1:18">
      <c r="A44" s="588"/>
      <c r="B44" s="373"/>
      <c r="C44" s="401"/>
      <c r="D44" s="425"/>
      <c r="E44" s="404"/>
      <c r="F44" s="377"/>
      <c r="G44" s="370"/>
      <c r="H44" s="378"/>
      <c r="I44" s="379"/>
      <c r="J44" s="380"/>
      <c r="K44" s="381"/>
      <c r="L44" s="382"/>
      <c r="M44" s="383"/>
      <c r="N44" s="383"/>
      <c r="O44" s="372"/>
      <c r="P44" s="423"/>
      <c r="Q44" s="385"/>
      <c r="R44" s="385"/>
    </row>
    <row r="45" spans="1:18">
      <c r="A45" s="588"/>
      <c r="B45" s="373">
        <v>0</v>
      </c>
      <c r="C45" s="401"/>
      <c r="D45" s="426"/>
      <c r="E45" s="404"/>
      <c r="F45" s="377" t="s">
        <v>253</v>
      </c>
      <c r="G45" s="370"/>
      <c r="H45" s="378">
        <f t="shared" ref="H45:H47" si="14">F45*G45</f>
        <v>0</v>
      </c>
      <c r="I45" s="379"/>
      <c r="J45" s="380"/>
      <c r="K45" s="381"/>
      <c r="L45" s="382"/>
      <c r="M45" s="383"/>
      <c r="N45" s="383"/>
      <c r="O45" s="372"/>
      <c r="P45" s="384">
        <f t="shared" ref="P45:P50" si="15">(N45-M45)*24*60</f>
        <v>0</v>
      </c>
      <c r="Q45" s="385"/>
      <c r="R45" s="385"/>
    </row>
    <row r="46" spans="1:18">
      <c r="A46" s="588"/>
      <c r="B46" s="373">
        <v>0</v>
      </c>
      <c r="C46" s="401"/>
      <c r="D46" s="426"/>
      <c r="E46" s="427"/>
      <c r="F46" s="377" t="s">
        <v>253</v>
      </c>
      <c r="G46" s="428"/>
      <c r="H46" s="429">
        <f t="shared" si="14"/>
        <v>0</v>
      </c>
      <c r="I46" s="430"/>
      <c r="J46" s="380"/>
      <c r="K46" s="381"/>
      <c r="L46" s="382"/>
      <c r="M46" s="383"/>
      <c r="N46" s="383"/>
      <c r="O46" s="372"/>
      <c r="P46" s="384">
        <f t="shared" si="15"/>
        <v>0</v>
      </c>
      <c r="Q46" s="385"/>
      <c r="R46" s="385"/>
    </row>
    <row r="47" spans="1:18">
      <c r="A47" s="588"/>
      <c r="B47" s="373">
        <v>0</v>
      </c>
      <c r="C47" s="401"/>
      <c r="D47" s="410"/>
      <c r="E47" s="413"/>
      <c r="F47" s="377" t="s">
        <v>253</v>
      </c>
      <c r="G47" s="370"/>
      <c r="H47" s="378">
        <f t="shared" si="14"/>
        <v>0</v>
      </c>
      <c r="I47" s="379"/>
      <c r="J47" s="380"/>
      <c r="K47" s="381"/>
      <c r="L47" s="382"/>
      <c r="M47" s="383"/>
      <c r="N47" s="383"/>
      <c r="O47" s="372"/>
      <c r="P47" s="384">
        <f t="shared" si="15"/>
        <v>0</v>
      </c>
      <c r="Q47" s="385"/>
      <c r="R47" s="385"/>
    </row>
    <row r="48" spans="1:18">
      <c r="A48" s="589"/>
      <c r="B48" s="373">
        <v>0</v>
      </c>
      <c r="C48" s="431"/>
      <c r="D48" s="591"/>
      <c r="E48" s="592"/>
      <c r="F48" s="377" t="s">
        <v>253</v>
      </c>
      <c r="G48" s="370"/>
      <c r="H48" s="378"/>
      <c r="I48" s="379"/>
      <c r="J48" s="380"/>
      <c r="K48" s="381"/>
      <c r="L48" s="382"/>
      <c r="M48" s="383"/>
      <c r="N48" s="383"/>
      <c r="O48" s="372"/>
      <c r="P48" s="384">
        <f t="shared" si="15"/>
        <v>0</v>
      </c>
      <c r="Q48" s="385"/>
      <c r="R48" s="385"/>
    </row>
    <row r="49" spans="1:18">
      <c r="A49" s="589"/>
      <c r="B49" s="373">
        <v>0</v>
      </c>
      <c r="C49" s="432"/>
      <c r="D49" s="433"/>
      <c r="E49" s="434"/>
      <c r="F49" s="377" t="s">
        <v>253</v>
      </c>
      <c r="G49" s="372"/>
      <c r="H49" s="429">
        <f>F49*G49</f>
        <v>0</v>
      </c>
      <c r="I49" s="384"/>
      <c r="J49" s="380"/>
      <c r="K49" s="381"/>
      <c r="L49" s="382"/>
      <c r="M49" s="383"/>
      <c r="N49" s="383"/>
      <c r="O49" s="372"/>
      <c r="P49" s="384">
        <f t="shared" si="15"/>
        <v>0</v>
      </c>
      <c r="Q49" s="385"/>
      <c r="R49" s="385"/>
    </row>
    <row r="50" spans="1:18">
      <c r="A50" s="589"/>
      <c r="B50" s="373">
        <v>0</v>
      </c>
      <c r="C50" s="432"/>
      <c r="D50" s="433"/>
      <c r="E50" s="434"/>
      <c r="F50" s="377" t="s">
        <v>253</v>
      </c>
      <c r="G50" s="372"/>
      <c r="H50" s="429">
        <f>F50*G50</f>
        <v>0</v>
      </c>
      <c r="I50" s="384"/>
      <c r="J50" s="380"/>
      <c r="K50" s="381"/>
      <c r="L50" s="382"/>
      <c r="M50" s="383"/>
      <c r="N50" s="383"/>
      <c r="O50" s="372"/>
      <c r="P50" s="384">
        <f t="shared" si="15"/>
        <v>0</v>
      </c>
      <c r="Q50" s="385"/>
      <c r="R50" s="385"/>
    </row>
    <row r="51" spans="1:18" ht="15.75" customHeight="1">
      <c r="A51" s="590"/>
      <c r="B51" s="373">
        <v>0</v>
      </c>
      <c r="C51" s="435" t="s">
        <v>51</v>
      </c>
      <c r="D51" s="583" t="s">
        <v>114</v>
      </c>
      <c r="E51" s="583"/>
      <c r="F51" s="392"/>
      <c r="G51" s="397"/>
      <c r="H51" s="436"/>
      <c r="I51" s="437"/>
      <c r="J51" s="396">
        <f>AVERAGE(J39:J50)</f>
        <v>4</v>
      </c>
      <c r="K51" s="396">
        <f>AVERAGE(K39:K50)</f>
        <v>2847.448388567956</v>
      </c>
      <c r="L51" s="397">
        <f>AVERAGE(L39:L50)</f>
        <v>711.86209714198901</v>
      </c>
      <c r="M51" s="438"/>
      <c r="N51" s="383"/>
      <c r="O51" s="381"/>
      <c r="P51" s="381"/>
      <c r="Q51" s="382"/>
      <c r="R51" s="382"/>
    </row>
    <row r="52" spans="1:18" ht="15.65" customHeight="1">
      <c r="A52" s="593" t="s">
        <v>269</v>
      </c>
      <c r="B52" s="373">
        <v>0</v>
      </c>
      <c r="C52" s="398"/>
      <c r="D52" s="407"/>
      <c r="E52" s="439"/>
      <c r="F52" s="377" t="s">
        <v>253</v>
      </c>
      <c r="G52" s="370"/>
      <c r="H52" s="378">
        <f>F52*G52</f>
        <v>0</v>
      </c>
      <c r="I52" s="379"/>
      <c r="J52" s="380">
        <v>0</v>
      </c>
      <c r="K52" s="381">
        <v>0</v>
      </c>
      <c r="L52" s="382">
        <v>0</v>
      </c>
      <c r="M52" s="383"/>
      <c r="N52" s="383"/>
      <c r="O52" s="381"/>
      <c r="P52" s="384">
        <f>(N52-M52)*24*60</f>
        <v>0</v>
      </c>
      <c r="Q52" s="385"/>
      <c r="R52" s="385"/>
    </row>
    <row r="53" spans="1:18" ht="15.65" customHeight="1">
      <c r="A53" s="594"/>
      <c r="B53" s="373">
        <v>0</v>
      </c>
      <c r="C53" s="402"/>
      <c r="D53" s="440"/>
      <c r="E53" s="441"/>
      <c r="F53" s="377" t="s">
        <v>253</v>
      </c>
      <c r="G53" s="386"/>
      <c r="H53" s="378">
        <f t="shared" ref="H53:H62" si="16">F53*G53</f>
        <v>0</v>
      </c>
      <c r="I53" s="379"/>
      <c r="J53" s="380"/>
      <c r="K53" s="381"/>
      <c r="L53" s="382"/>
      <c r="M53" s="383"/>
      <c r="N53" s="383"/>
      <c r="O53" s="381"/>
      <c r="P53" s="384">
        <f t="shared" ref="P53:P63" si="17">(N53-M53)*24*60</f>
        <v>0</v>
      </c>
      <c r="Q53" s="385"/>
      <c r="R53" s="385"/>
    </row>
    <row r="54" spans="1:18" ht="15.65" customHeight="1">
      <c r="A54" s="594"/>
      <c r="B54" s="373">
        <v>0</v>
      </c>
      <c r="C54" s="402"/>
      <c r="D54" s="440"/>
      <c r="E54" s="404"/>
      <c r="F54" s="377" t="s">
        <v>253</v>
      </c>
      <c r="G54" s="386"/>
      <c r="H54" s="378">
        <f t="shared" si="16"/>
        <v>0</v>
      </c>
      <c r="I54" s="379"/>
      <c r="J54" s="380"/>
      <c r="K54" s="381"/>
      <c r="L54" s="382"/>
      <c r="M54" s="383"/>
      <c r="N54" s="383"/>
      <c r="O54" s="381"/>
      <c r="P54" s="384">
        <f t="shared" si="17"/>
        <v>0</v>
      </c>
      <c r="Q54" s="385"/>
      <c r="R54" s="385"/>
    </row>
    <row r="55" spans="1:18" ht="15.65" customHeight="1">
      <c r="A55" s="594"/>
      <c r="B55" s="373">
        <v>0</v>
      </c>
      <c r="C55" s="402"/>
      <c r="D55" s="407"/>
      <c r="E55" s="413"/>
      <c r="F55" s="377" t="s">
        <v>253</v>
      </c>
      <c r="G55" s="386"/>
      <c r="H55" s="378">
        <f t="shared" si="16"/>
        <v>0</v>
      </c>
      <c r="I55" s="379"/>
      <c r="J55" s="380"/>
      <c r="K55" s="381"/>
      <c r="L55" s="382"/>
      <c r="M55" s="383"/>
      <c r="N55" s="383"/>
      <c r="O55" s="381"/>
      <c r="P55" s="384">
        <f t="shared" si="17"/>
        <v>0</v>
      </c>
      <c r="Q55" s="385"/>
      <c r="R55" s="385"/>
    </row>
    <row r="56" spans="1:18" ht="15.65" customHeight="1">
      <c r="A56" s="594"/>
      <c r="B56" s="373">
        <v>0</v>
      </c>
      <c r="C56" s="442"/>
      <c r="D56" s="443"/>
      <c r="E56" s="413"/>
      <c r="F56" s="377" t="s">
        <v>253</v>
      </c>
      <c r="G56" s="386"/>
      <c r="H56" s="378">
        <f t="shared" si="16"/>
        <v>0</v>
      </c>
      <c r="I56" s="379"/>
      <c r="J56" s="380"/>
      <c r="K56" s="381"/>
      <c r="L56" s="382"/>
      <c r="M56" s="383"/>
      <c r="N56" s="383"/>
      <c r="O56" s="381"/>
      <c r="P56" s="384">
        <f t="shared" si="17"/>
        <v>0</v>
      </c>
      <c r="Q56" s="385"/>
      <c r="R56" s="385"/>
    </row>
    <row r="57" spans="1:18" ht="15.75" customHeight="1">
      <c r="A57" s="594"/>
      <c r="B57" s="373">
        <v>0</v>
      </c>
      <c r="C57" s="444" t="s">
        <v>62</v>
      </c>
      <c r="D57" s="445"/>
      <c r="E57" s="413"/>
      <c r="F57" s="377" t="s">
        <v>253</v>
      </c>
      <c r="G57" s="386"/>
      <c r="H57" s="378">
        <f t="shared" si="16"/>
        <v>0</v>
      </c>
      <c r="I57" s="379"/>
      <c r="J57" s="380"/>
      <c r="K57" s="381"/>
      <c r="L57" s="382"/>
      <c r="M57" s="383"/>
      <c r="N57" s="383"/>
      <c r="O57" s="381"/>
      <c r="P57" s="384">
        <f t="shared" si="17"/>
        <v>0</v>
      </c>
      <c r="Q57" s="385"/>
      <c r="R57" s="385"/>
    </row>
    <row r="58" spans="1:18" ht="15.65" customHeight="1">
      <c r="A58" s="594"/>
      <c r="B58" s="373">
        <v>0</v>
      </c>
      <c r="C58" s="446"/>
      <c r="D58" s="407"/>
      <c r="E58" s="413"/>
      <c r="F58" s="377" t="s">
        <v>253</v>
      </c>
      <c r="G58" s="447"/>
      <c r="H58" s="378">
        <f t="shared" si="16"/>
        <v>0</v>
      </c>
      <c r="I58" s="379"/>
      <c r="J58" s="380"/>
      <c r="K58" s="381"/>
      <c r="L58" s="382"/>
      <c r="M58" s="383"/>
      <c r="N58" s="383"/>
      <c r="O58" s="381"/>
      <c r="P58" s="384">
        <f t="shared" si="17"/>
        <v>0</v>
      </c>
      <c r="Q58" s="385"/>
      <c r="R58" s="385"/>
    </row>
    <row r="59" spans="1:18" ht="15.65" customHeight="1">
      <c r="A59" s="594"/>
      <c r="B59" s="373">
        <v>0</v>
      </c>
      <c r="C59" s="401"/>
      <c r="D59" s="443"/>
      <c r="E59" s="413"/>
      <c r="F59" s="377" t="s">
        <v>253</v>
      </c>
      <c r="G59" s="386"/>
      <c r="H59" s="378">
        <f t="shared" si="16"/>
        <v>0</v>
      </c>
      <c r="I59" s="379"/>
      <c r="J59" s="380"/>
      <c r="K59" s="381"/>
      <c r="L59" s="382"/>
      <c r="M59" s="383"/>
      <c r="N59" s="383"/>
      <c r="O59" s="381"/>
      <c r="P59" s="384">
        <f t="shared" si="17"/>
        <v>0</v>
      </c>
      <c r="Q59" s="385"/>
      <c r="R59" s="385"/>
    </row>
    <row r="60" spans="1:18" ht="15.65" customHeight="1">
      <c r="A60" s="594"/>
      <c r="B60" s="373">
        <v>0</v>
      </c>
      <c r="C60" s="402"/>
      <c r="D60" s="445"/>
      <c r="E60" s="448"/>
      <c r="F60" s="377" t="s">
        <v>253</v>
      </c>
      <c r="G60" s="386"/>
      <c r="H60" s="378">
        <f t="shared" si="16"/>
        <v>0</v>
      </c>
      <c r="I60" s="379"/>
      <c r="J60" s="380"/>
      <c r="K60" s="381"/>
      <c r="L60" s="382"/>
      <c r="M60" s="383"/>
      <c r="N60" s="383"/>
      <c r="O60" s="381"/>
      <c r="P60" s="384">
        <f t="shared" si="17"/>
        <v>0</v>
      </c>
      <c r="Q60" s="385"/>
      <c r="R60" s="385"/>
    </row>
    <row r="61" spans="1:18" ht="15.65" customHeight="1">
      <c r="A61" s="594"/>
      <c r="B61" s="373">
        <v>0</v>
      </c>
      <c r="C61" s="402"/>
      <c r="D61" s="440"/>
      <c r="E61" s="413"/>
      <c r="F61" s="377" t="s">
        <v>253</v>
      </c>
      <c r="G61" s="386"/>
      <c r="H61" s="378">
        <f t="shared" si="16"/>
        <v>0</v>
      </c>
      <c r="I61" s="379"/>
      <c r="J61" s="380"/>
      <c r="K61" s="381"/>
      <c r="L61" s="382"/>
      <c r="M61" s="383"/>
      <c r="N61" s="383"/>
      <c r="O61" s="381"/>
      <c r="P61" s="384">
        <f t="shared" si="17"/>
        <v>0</v>
      </c>
      <c r="Q61" s="385"/>
      <c r="R61" s="385"/>
    </row>
    <row r="62" spans="1:18" ht="15.65" customHeight="1">
      <c r="A62" s="594"/>
      <c r="B62" s="373">
        <v>0</v>
      </c>
      <c r="C62" s="402"/>
      <c r="D62" s="443"/>
      <c r="E62" s="449"/>
      <c r="F62" s="377" t="s">
        <v>253</v>
      </c>
      <c r="G62" s="386"/>
      <c r="H62" s="378">
        <f t="shared" si="16"/>
        <v>0</v>
      </c>
      <c r="I62" s="379"/>
      <c r="J62" s="380"/>
      <c r="K62" s="381"/>
      <c r="L62" s="382"/>
      <c r="M62" s="383"/>
      <c r="N62" s="383"/>
      <c r="O62" s="381"/>
      <c r="P62" s="384">
        <f t="shared" si="17"/>
        <v>0</v>
      </c>
      <c r="Q62" s="385"/>
      <c r="R62" s="385"/>
    </row>
    <row r="63" spans="1:18" ht="15.65" customHeight="1">
      <c r="A63" s="594"/>
      <c r="B63" s="373">
        <v>0</v>
      </c>
      <c r="C63" s="450"/>
      <c r="D63" s="451"/>
      <c r="E63" s="448"/>
      <c r="F63" s="377" t="s">
        <v>253</v>
      </c>
      <c r="G63" s="386"/>
      <c r="H63" s="378">
        <f t="shared" si="3"/>
        <v>0</v>
      </c>
      <c r="I63" s="430"/>
      <c r="J63" s="380"/>
      <c r="K63" s="381"/>
      <c r="L63" s="382"/>
      <c r="M63" s="383"/>
      <c r="N63" s="383"/>
      <c r="O63" s="372"/>
      <c r="P63" s="384">
        <f t="shared" si="17"/>
        <v>0</v>
      </c>
      <c r="Q63" s="385"/>
      <c r="R63" s="385"/>
    </row>
    <row r="64" spans="1:18" ht="15.75" customHeight="1">
      <c r="A64" s="595"/>
      <c r="B64" s="373">
        <v>0</v>
      </c>
      <c r="C64" s="452" t="s">
        <v>270</v>
      </c>
      <c r="D64" s="583" t="s">
        <v>114</v>
      </c>
      <c r="E64" s="583"/>
      <c r="F64" s="392"/>
      <c r="G64" s="397"/>
      <c r="H64" s="436"/>
      <c r="I64" s="437"/>
      <c r="J64" s="396">
        <f>AVERAGE(J52:J63)</f>
        <v>0</v>
      </c>
      <c r="K64" s="396">
        <f>AVERAGE(K52:K63)</f>
        <v>0</v>
      </c>
      <c r="L64" s="397">
        <f>AVERAGE(L52:L63)</f>
        <v>0</v>
      </c>
      <c r="M64" s="383"/>
      <c r="N64" s="383"/>
      <c r="O64" s="372"/>
      <c r="P64" s="372"/>
      <c r="Q64" s="372"/>
      <c r="R64" s="372"/>
    </row>
    <row r="65" spans="1:18" ht="15.65" customHeight="1">
      <c r="A65" s="580" t="s">
        <v>271</v>
      </c>
      <c r="B65" s="373" t="s">
        <v>250</v>
      </c>
      <c r="C65" s="398"/>
      <c r="D65" s="407" t="s">
        <v>308</v>
      </c>
      <c r="E65" s="439"/>
      <c r="F65" s="377">
        <v>25.03</v>
      </c>
      <c r="G65" s="370">
        <v>661</v>
      </c>
      <c r="H65" s="378">
        <f>F65*G65</f>
        <v>16544.830000000002</v>
      </c>
      <c r="I65" s="379"/>
      <c r="J65" s="380">
        <v>4</v>
      </c>
      <c r="K65" s="381">
        <f t="shared" ref="K65:K70" si="18">G65/P65*60</f>
        <v>3305.0000000000009</v>
      </c>
      <c r="L65" s="382">
        <f t="shared" ref="L65:L70" si="19">K65/J65</f>
        <v>826.25000000000023</v>
      </c>
      <c r="M65" s="383">
        <v>0.18055555555555555</v>
      </c>
      <c r="N65" s="383">
        <v>0.18888888888888888</v>
      </c>
      <c r="O65" s="381">
        <v>20</v>
      </c>
      <c r="P65" s="384">
        <f>(N65-M65)*24*60</f>
        <v>11.999999999999996</v>
      </c>
      <c r="Q65" s="385"/>
      <c r="R65" s="385"/>
    </row>
    <row r="66" spans="1:18" ht="15.65" customHeight="1">
      <c r="A66" s="581"/>
      <c r="B66" s="373" t="s">
        <v>250</v>
      </c>
      <c r="C66" s="402"/>
      <c r="D66" s="440" t="s">
        <v>309</v>
      </c>
      <c r="E66" s="441"/>
      <c r="F66" s="377">
        <v>24.82</v>
      </c>
      <c r="G66" s="386">
        <v>884</v>
      </c>
      <c r="H66" s="378">
        <f t="shared" ref="H66:H74" si="20">F66*G66</f>
        <v>21940.880000000001</v>
      </c>
      <c r="I66" s="379"/>
      <c r="J66" s="380">
        <v>4</v>
      </c>
      <c r="K66" s="381">
        <f t="shared" si="18"/>
        <v>3315.0000000000036</v>
      </c>
      <c r="L66" s="382">
        <f t="shared" si="19"/>
        <v>828.75000000000091</v>
      </c>
      <c r="M66" s="383">
        <v>0.20277777777777781</v>
      </c>
      <c r="N66" s="383">
        <v>0.21388888888888891</v>
      </c>
      <c r="O66" s="381">
        <v>20</v>
      </c>
      <c r="P66" s="384">
        <f t="shared" ref="P66:P74" si="21">(N66-M66)*24*60</f>
        <v>15.999999999999982</v>
      </c>
      <c r="Q66" s="385"/>
      <c r="R66" s="385"/>
    </row>
    <row r="67" spans="1:18" ht="15.65" customHeight="1">
      <c r="A67" s="581"/>
      <c r="B67" s="373" t="s">
        <v>250</v>
      </c>
      <c r="C67" s="402"/>
      <c r="D67" s="440" t="s">
        <v>310</v>
      </c>
      <c r="E67" s="404"/>
      <c r="F67" s="377">
        <v>25.45</v>
      </c>
      <c r="G67" s="386">
        <v>315</v>
      </c>
      <c r="H67" s="378">
        <f t="shared" si="20"/>
        <v>8016.75</v>
      </c>
      <c r="I67" s="379"/>
      <c r="J67" s="380">
        <v>4</v>
      </c>
      <c r="K67" s="381">
        <f t="shared" si="18"/>
        <v>3780.0000000000136</v>
      </c>
      <c r="L67" s="382">
        <f t="shared" si="19"/>
        <v>945.00000000000341</v>
      </c>
      <c r="M67" s="383">
        <v>0.22777777777777777</v>
      </c>
      <c r="N67" s="383">
        <v>0.23124999999999998</v>
      </c>
      <c r="O67" s="381">
        <v>20</v>
      </c>
      <c r="P67" s="384">
        <f t="shared" si="21"/>
        <v>4.9999999999999822</v>
      </c>
      <c r="Q67" s="385"/>
      <c r="R67" s="385"/>
    </row>
    <row r="68" spans="1:18" ht="15.65" customHeight="1">
      <c r="A68" s="581"/>
      <c r="B68" s="373" t="s">
        <v>250</v>
      </c>
      <c r="C68" s="402"/>
      <c r="D68" s="407" t="s">
        <v>311</v>
      </c>
      <c r="E68" s="413"/>
      <c r="F68" s="377">
        <v>30</v>
      </c>
      <c r="G68" s="386">
        <v>1420</v>
      </c>
      <c r="H68" s="378">
        <f t="shared" si="20"/>
        <v>42600</v>
      </c>
      <c r="I68" s="379"/>
      <c r="J68" s="380">
        <v>4</v>
      </c>
      <c r="K68" s="381">
        <f t="shared" si="18"/>
        <v>3276.9230769230735</v>
      </c>
      <c r="L68" s="382">
        <f t="shared" si="19"/>
        <v>819.23076923076837</v>
      </c>
      <c r="M68" s="383">
        <v>0.24513888888888888</v>
      </c>
      <c r="N68" s="383">
        <v>0.26319444444444445</v>
      </c>
      <c r="O68" s="381">
        <v>20</v>
      </c>
      <c r="P68" s="384">
        <f t="shared" si="21"/>
        <v>26.000000000000028</v>
      </c>
      <c r="Q68" s="385"/>
      <c r="R68" s="385"/>
    </row>
    <row r="69" spans="1:18" ht="15.65" customHeight="1">
      <c r="A69" s="581"/>
      <c r="B69" s="373" t="s">
        <v>250</v>
      </c>
      <c r="C69" s="442"/>
      <c r="D69" s="443" t="s">
        <v>272</v>
      </c>
      <c r="E69" s="413"/>
      <c r="F69" s="377">
        <v>14.285714285714283</v>
      </c>
      <c r="G69" s="386">
        <v>3236</v>
      </c>
      <c r="H69" s="378">
        <f t="shared" si="20"/>
        <v>46228.57142857142</v>
      </c>
      <c r="I69" s="379"/>
      <c r="J69" s="380">
        <v>3</v>
      </c>
      <c r="K69" s="381">
        <f t="shared" si="18"/>
        <v>3182.9508196721299</v>
      </c>
      <c r="L69" s="382">
        <f t="shared" si="19"/>
        <v>1060.9836065573766</v>
      </c>
      <c r="M69" s="383">
        <v>0.27708333333333335</v>
      </c>
      <c r="N69" s="383">
        <v>0.31944444444444448</v>
      </c>
      <c r="O69" s="381">
        <v>20</v>
      </c>
      <c r="P69" s="384">
        <f t="shared" si="21"/>
        <v>61.000000000000021</v>
      </c>
      <c r="Q69" s="385">
        <v>0.31944444444444448</v>
      </c>
      <c r="R69" s="385">
        <v>0.3611111111111111</v>
      </c>
    </row>
    <row r="70" spans="1:18" ht="15.75" customHeight="1">
      <c r="A70" s="581"/>
      <c r="B70" s="373" t="s">
        <v>250</v>
      </c>
      <c r="C70" s="444" t="s">
        <v>62</v>
      </c>
      <c r="D70" s="445" t="s">
        <v>312</v>
      </c>
      <c r="E70" s="413"/>
      <c r="F70" s="377">
        <v>14.03</v>
      </c>
      <c r="G70" s="386">
        <v>2284</v>
      </c>
      <c r="H70" s="378">
        <f t="shared" si="20"/>
        <v>32044.519999999997</v>
      </c>
      <c r="I70" s="379"/>
      <c r="J70" s="380">
        <v>3</v>
      </c>
      <c r="K70" s="381">
        <f t="shared" si="18"/>
        <v>3186.9767441860458</v>
      </c>
      <c r="L70" s="382">
        <f t="shared" si="19"/>
        <v>1062.3255813953485</v>
      </c>
      <c r="M70" s="383">
        <v>0.375</v>
      </c>
      <c r="N70" s="383">
        <v>0.40486111111111112</v>
      </c>
      <c r="O70" s="381">
        <v>20</v>
      </c>
      <c r="P70" s="384">
        <f t="shared" si="21"/>
        <v>43.000000000000007</v>
      </c>
      <c r="Q70" s="385"/>
      <c r="R70" s="385"/>
    </row>
    <row r="71" spans="1:18" ht="15.65" customHeight="1">
      <c r="A71" s="581"/>
      <c r="B71" s="373">
        <v>0</v>
      </c>
      <c r="C71" s="446"/>
      <c r="D71" s="407"/>
      <c r="E71" s="413"/>
      <c r="F71" s="377" t="s">
        <v>253</v>
      </c>
      <c r="G71" s="447"/>
      <c r="H71" s="378">
        <f t="shared" si="20"/>
        <v>0</v>
      </c>
      <c r="I71" s="379"/>
      <c r="J71" s="380"/>
      <c r="K71" s="381"/>
      <c r="L71" s="382"/>
      <c r="M71" s="383"/>
      <c r="N71" s="383"/>
      <c r="O71" s="381"/>
      <c r="P71" s="384">
        <f t="shared" si="21"/>
        <v>0</v>
      </c>
      <c r="Q71" s="385"/>
      <c r="R71" s="385"/>
    </row>
    <row r="72" spans="1:18" ht="15.65" customHeight="1">
      <c r="A72" s="581"/>
      <c r="B72" s="373">
        <v>0</v>
      </c>
      <c r="C72" s="401"/>
      <c r="D72" s="443"/>
      <c r="E72" s="413"/>
      <c r="F72" s="377" t="s">
        <v>253</v>
      </c>
      <c r="G72" s="386"/>
      <c r="H72" s="378">
        <f t="shared" si="20"/>
        <v>0</v>
      </c>
      <c r="I72" s="379"/>
      <c r="J72" s="380"/>
      <c r="K72" s="381"/>
      <c r="L72" s="382"/>
      <c r="M72" s="383"/>
      <c r="N72" s="383"/>
      <c r="O72" s="381"/>
      <c r="P72" s="384">
        <f t="shared" si="21"/>
        <v>0</v>
      </c>
      <c r="Q72" s="385"/>
      <c r="R72" s="385"/>
    </row>
    <row r="73" spans="1:18" ht="15.65" customHeight="1">
      <c r="A73" s="581"/>
      <c r="B73" s="373">
        <v>0</v>
      </c>
      <c r="C73" s="402"/>
      <c r="D73" s="443"/>
      <c r="E73" s="413"/>
      <c r="F73" s="377" t="s">
        <v>253</v>
      </c>
      <c r="G73" s="386"/>
      <c r="H73" s="378">
        <f t="shared" si="20"/>
        <v>0</v>
      </c>
      <c r="I73" s="379"/>
      <c r="J73" s="380"/>
      <c r="K73" s="381"/>
      <c r="L73" s="382"/>
      <c r="M73" s="383"/>
      <c r="N73" s="383"/>
      <c r="O73" s="381"/>
      <c r="P73" s="384">
        <f t="shared" si="21"/>
        <v>0</v>
      </c>
      <c r="Q73" s="385"/>
      <c r="R73" s="385"/>
    </row>
    <row r="74" spans="1:18" ht="15.65" customHeight="1">
      <c r="A74" s="581"/>
      <c r="B74" s="373">
        <v>0</v>
      </c>
      <c r="C74" s="402"/>
      <c r="D74" s="443"/>
      <c r="E74" s="413"/>
      <c r="F74" s="377" t="s">
        <v>253</v>
      </c>
      <c r="G74" s="386"/>
      <c r="H74" s="378">
        <f t="shared" si="20"/>
        <v>0</v>
      </c>
      <c r="I74" s="379"/>
      <c r="J74" s="380"/>
      <c r="K74" s="381"/>
      <c r="L74" s="382"/>
      <c r="M74" s="383"/>
      <c r="N74" s="383"/>
      <c r="O74" s="381"/>
      <c r="P74" s="384">
        <f t="shared" si="21"/>
        <v>0</v>
      </c>
      <c r="Q74" s="385"/>
      <c r="R74" s="385"/>
    </row>
    <row r="75" spans="1:18" ht="15.75" customHeight="1">
      <c r="A75" s="582"/>
      <c r="B75" s="373">
        <v>0</v>
      </c>
      <c r="C75" s="452" t="s">
        <v>273</v>
      </c>
      <c r="D75" s="583" t="s">
        <v>114</v>
      </c>
      <c r="E75" s="583"/>
      <c r="F75" s="392"/>
      <c r="G75" s="397"/>
      <c r="H75" s="436"/>
      <c r="I75" s="437"/>
      <c r="J75" s="396">
        <f>AVERAGE(J65:J74)</f>
        <v>3.6666666666666665</v>
      </c>
      <c r="K75" s="396">
        <f>AVERAGE(K65:K74)</f>
        <v>3341.1417734635447</v>
      </c>
      <c r="L75" s="397">
        <f>AVERAGE(L65:L74)</f>
        <v>923.75665953058297</v>
      </c>
      <c r="M75" s="383"/>
      <c r="N75" s="383"/>
      <c r="O75" s="372"/>
      <c r="P75" s="372"/>
      <c r="Q75" s="372"/>
      <c r="R75" s="372"/>
    </row>
    <row r="76" spans="1:18" ht="16.25" customHeight="1">
      <c r="A76" s="584" t="s">
        <v>274</v>
      </c>
      <c r="B76" s="373">
        <v>0</v>
      </c>
      <c r="C76" s="453"/>
      <c r="D76" s="566"/>
      <c r="E76" s="567"/>
      <c r="F76" s="377" t="s">
        <v>253</v>
      </c>
      <c r="G76" s="454"/>
      <c r="H76" s="399">
        <f t="shared" si="3"/>
        <v>0</v>
      </c>
      <c r="I76" s="400"/>
      <c r="J76" s="380">
        <v>0</v>
      </c>
      <c r="K76" s="381">
        <v>0</v>
      </c>
      <c r="L76" s="382">
        <v>0</v>
      </c>
      <c r="M76" s="383"/>
      <c r="N76" s="383"/>
      <c r="O76" s="372"/>
      <c r="P76" s="384">
        <f t="shared" si="2"/>
        <v>0</v>
      </c>
      <c r="Q76" s="385"/>
      <c r="R76" s="385"/>
    </row>
    <row r="77" spans="1:18">
      <c r="A77" s="584"/>
      <c r="B77" s="373">
        <v>0</v>
      </c>
      <c r="C77" s="455"/>
      <c r="D77" s="566"/>
      <c r="E77" s="567"/>
      <c r="F77" s="377" t="s">
        <v>253</v>
      </c>
      <c r="G77" s="370"/>
      <c r="H77" s="378">
        <f t="shared" si="3"/>
        <v>0</v>
      </c>
      <c r="I77" s="379"/>
      <c r="J77" s="380"/>
      <c r="K77" s="381"/>
      <c r="L77" s="382"/>
      <c r="M77" s="383"/>
      <c r="N77" s="383"/>
      <c r="O77" s="372"/>
      <c r="P77" s="384">
        <f t="shared" si="2"/>
        <v>0</v>
      </c>
      <c r="Q77" s="372"/>
      <c r="R77" s="372"/>
    </row>
    <row r="78" spans="1:18">
      <c r="A78" s="584"/>
      <c r="B78" s="373">
        <v>0</v>
      </c>
      <c r="C78" s="456"/>
      <c r="D78" s="457"/>
      <c r="E78" s="457"/>
      <c r="F78" s="377" t="s">
        <v>253</v>
      </c>
      <c r="G78" s="417"/>
      <c r="H78" s="378">
        <f t="shared" si="3"/>
        <v>0</v>
      </c>
      <c r="I78" s="379"/>
      <c r="J78" s="380"/>
      <c r="K78" s="381"/>
      <c r="L78" s="382"/>
      <c r="M78" s="383"/>
      <c r="N78" s="383"/>
      <c r="O78" s="372"/>
      <c r="P78" s="384">
        <f t="shared" si="2"/>
        <v>0</v>
      </c>
      <c r="Q78" s="372"/>
      <c r="R78" s="372"/>
    </row>
    <row r="79" spans="1:18">
      <c r="A79" s="584"/>
      <c r="B79" s="373">
        <v>0</v>
      </c>
      <c r="C79" s="456"/>
      <c r="D79" s="457"/>
      <c r="E79" s="457"/>
      <c r="F79" s="377" t="s">
        <v>253</v>
      </c>
      <c r="G79" s="417"/>
      <c r="H79" s="378">
        <f t="shared" si="3"/>
        <v>0</v>
      </c>
      <c r="I79" s="379"/>
      <c r="J79" s="380"/>
      <c r="K79" s="381"/>
      <c r="L79" s="382"/>
      <c r="M79" s="383"/>
      <c r="N79" s="383"/>
      <c r="O79" s="372"/>
      <c r="P79" s="384">
        <f t="shared" si="2"/>
        <v>0</v>
      </c>
      <c r="Q79" s="372"/>
      <c r="R79" s="372"/>
    </row>
    <row r="80" spans="1:18">
      <c r="A80" s="584"/>
      <c r="B80" s="373">
        <v>0</v>
      </c>
      <c r="C80" s="456"/>
      <c r="D80" s="457"/>
      <c r="E80" s="457"/>
      <c r="F80" s="377" t="s">
        <v>253</v>
      </c>
      <c r="G80" s="417"/>
      <c r="H80" s="378">
        <f t="shared" si="3"/>
        <v>0</v>
      </c>
      <c r="I80" s="379"/>
      <c r="J80" s="380"/>
      <c r="K80" s="381"/>
      <c r="L80" s="382"/>
      <c r="M80" s="383"/>
      <c r="N80" s="383"/>
      <c r="O80" s="372"/>
      <c r="P80" s="384">
        <f t="shared" si="2"/>
        <v>0</v>
      </c>
      <c r="Q80" s="372"/>
      <c r="R80" s="372"/>
    </row>
    <row r="81" spans="1:18" ht="15.75" customHeight="1">
      <c r="A81" s="584"/>
      <c r="B81" s="373">
        <v>0</v>
      </c>
      <c r="C81" s="444" t="s">
        <v>62</v>
      </c>
      <c r="D81" s="578" t="s">
        <v>114</v>
      </c>
      <c r="E81" s="578"/>
      <c r="F81" s="392"/>
      <c r="G81" s="458"/>
      <c r="H81" s="394"/>
      <c r="I81" s="395"/>
      <c r="J81" s="396">
        <f>AVERAGE(J76:J80)</f>
        <v>0</v>
      </c>
      <c r="K81" s="396">
        <f>AVERAGE(K76:K80)</f>
        <v>0</v>
      </c>
      <c r="L81" s="397">
        <f>AVERAGE(L76:L80)</f>
        <v>0</v>
      </c>
      <c r="M81" s="383"/>
      <c r="N81" s="383"/>
      <c r="O81" s="372"/>
      <c r="P81" s="372"/>
      <c r="Q81" s="372"/>
      <c r="R81" s="372"/>
    </row>
    <row r="82" spans="1:18" ht="15.65" customHeight="1">
      <c r="A82" s="569" t="s">
        <v>275</v>
      </c>
      <c r="B82" s="373" t="s">
        <v>250</v>
      </c>
      <c r="C82" s="460"/>
      <c r="D82" s="407" t="s">
        <v>313</v>
      </c>
      <c r="E82" s="421"/>
      <c r="F82" s="377">
        <v>18.18</v>
      </c>
      <c r="G82" s="417">
        <v>1089</v>
      </c>
      <c r="H82" s="459">
        <f t="shared" ref="H82:H86" si="22">F82*G82</f>
        <v>19798.02</v>
      </c>
      <c r="I82" s="379"/>
      <c r="J82" s="380">
        <v>3</v>
      </c>
      <c r="K82" s="381">
        <f t="shared" ref="K82:K86" si="23">G82/P82*60</f>
        <v>2613.5999999999926</v>
      </c>
      <c r="L82" s="382">
        <f t="shared" ref="L82:L86" si="24">K82/J82</f>
        <v>871.19999999999754</v>
      </c>
      <c r="M82" s="383">
        <v>0.72222222222222221</v>
      </c>
      <c r="N82" s="383">
        <v>0.73958333333333337</v>
      </c>
      <c r="O82" s="381">
        <v>20</v>
      </c>
      <c r="P82" s="384">
        <f>(N82-M82)*24*60</f>
        <v>25.000000000000071</v>
      </c>
      <c r="Q82" s="385"/>
      <c r="R82" s="385"/>
    </row>
    <row r="83" spans="1:18">
      <c r="A83" s="570"/>
      <c r="B83" s="373" t="s">
        <v>250</v>
      </c>
      <c r="C83" s="460"/>
      <c r="D83" s="407" t="s">
        <v>314</v>
      </c>
      <c r="E83" s="421"/>
      <c r="F83" s="377">
        <v>18.18</v>
      </c>
      <c r="G83" s="417">
        <v>398</v>
      </c>
      <c r="H83" s="459">
        <f t="shared" si="22"/>
        <v>7235.64</v>
      </c>
      <c r="I83" s="379"/>
      <c r="J83" s="380">
        <v>4</v>
      </c>
      <c r="K83" s="381">
        <f t="shared" si="23"/>
        <v>2388.0000000000082</v>
      </c>
      <c r="L83" s="382">
        <f t="shared" si="24"/>
        <v>597.00000000000205</v>
      </c>
      <c r="M83" s="383">
        <v>0.75347222222222221</v>
      </c>
      <c r="N83" s="383">
        <v>0.76041666666666663</v>
      </c>
      <c r="O83" s="381">
        <v>20</v>
      </c>
      <c r="P83" s="384">
        <f>(N83-M83)*24*60</f>
        <v>9.9999999999999645</v>
      </c>
      <c r="Q83" s="385"/>
      <c r="R83" s="385"/>
    </row>
    <row r="84" spans="1:18">
      <c r="A84" s="570"/>
      <c r="B84" s="373" t="s">
        <v>250</v>
      </c>
      <c r="C84" s="460"/>
      <c r="D84" s="407" t="s">
        <v>276</v>
      </c>
      <c r="E84" s="421"/>
      <c r="F84" s="377">
        <v>16.66</v>
      </c>
      <c r="G84" s="417">
        <v>4524</v>
      </c>
      <c r="H84" s="461">
        <f t="shared" si="22"/>
        <v>75369.84</v>
      </c>
      <c r="I84" s="379"/>
      <c r="J84" s="380">
        <v>4</v>
      </c>
      <c r="K84" s="381">
        <f t="shared" si="23"/>
        <v>2714.3999999999969</v>
      </c>
      <c r="L84" s="382">
        <f t="shared" si="24"/>
        <v>678.59999999999923</v>
      </c>
      <c r="M84" s="383">
        <v>0.77430555555555547</v>
      </c>
      <c r="N84" s="383">
        <v>0.84375</v>
      </c>
      <c r="O84" s="381">
        <v>20</v>
      </c>
      <c r="P84" s="423">
        <f t="shared" ref="P84:P85" si="25">(N84-M84)*24*60</f>
        <v>100.00000000000013</v>
      </c>
      <c r="Q84" s="385">
        <v>0.84375</v>
      </c>
      <c r="R84" s="385">
        <v>0.88541666666666663</v>
      </c>
    </row>
    <row r="85" spans="1:18">
      <c r="A85" s="570"/>
      <c r="B85" s="373" t="s">
        <v>250</v>
      </c>
      <c r="C85" s="460"/>
      <c r="D85" s="407" t="s">
        <v>277</v>
      </c>
      <c r="E85" s="421"/>
      <c r="F85" s="377">
        <v>22.281818181818181</v>
      </c>
      <c r="G85" s="417">
        <v>886</v>
      </c>
      <c r="H85" s="461">
        <f t="shared" si="22"/>
        <v>19741.69090909091</v>
      </c>
      <c r="I85" s="379"/>
      <c r="J85" s="380">
        <v>4</v>
      </c>
      <c r="K85" s="381">
        <f t="shared" si="23"/>
        <v>2657.9999999999668</v>
      </c>
      <c r="L85" s="382">
        <f t="shared" si="24"/>
        <v>664.4999999999917</v>
      </c>
      <c r="M85" s="383">
        <v>0.89930555555555547</v>
      </c>
      <c r="N85" s="383">
        <v>0.91319444444444453</v>
      </c>
      <c r="O85" s="381">
        <v>20</v>
      </c>
      <c r="P85" s="423">
        <f t="shared" si="25"/>
        <v>20.000000000000249</v>
      </c>
      <c r="Q85" s="372"/>
      <c r="R85" s="372"/>
    </row>
    <row r="86" spans="1:18">
      <c r="A86" s="570"/>
      <c r="B86" s="373">
        <v>0</v>
      </c>
      <c r="C86" s="409"/>
      <c r="D86" s="407" t="s">
        <v>278</v>
      </c>
      <c r="E86" s="421"/>
      <c r="F86" s="377">
        <v>17.890909090909091</v>
      </c>
      <c r="G86" s="370">
        <v>3234</v>
      </c>
      <c r="H86" s="461">
        <f t="shared" si="22"/>
        <v>57859.199999999997</v>
      </c>
      <c r="I86" s="379"/>
      <c r="J86" s="380">
        <v>3</v>
      </c>
      <c r="K86" s="381">
        <f t="shared" si="23"/>
        <v>2771.9999999999973</v>
      </c>
      <c r="L86" s="382">
        <f t="shared" si="24"/>
        <v>923.99999999999909</v>
      </c>
      <c r="M86" s="383">
        <v>0.92708333333333337</v>
      </c>
      <c r="N86" s="463">
        <v>0.97569444444444453</v>
      </c>
      <c r="O86" s="372">
        <v>20</v>
      </c>
      <c r="P86" s="423">
        <f>(N86-M86)*24*60</f>
        <v>70.000000000000071</v>
      </c>
      <c r="Q86" s="372"/>
      <c r="R86" s="372"/>
    </row>
    <row r="87" spans="1:18">
      <c r="A87" s="570"/>
      <c r="B87" s="373"/>
      <c r="C87" s="409"/>
      <c r="D87" s="407"/>
      <c r="E87" s="421"/>
      <c r="F87" s="377"/>
      <c r="G87" s="370"/>
      <c r="H87" s="461"/>
      <c r="I87" s="379"/>
      <c r="J87" s="380"/>
      <c r="K87" s="381"/>
      <c r="L87" s="382"/>
      <c r="M87" s="383"/>
      <c r="N87" s="463"/>
      <c r="O87" s="372"/>
      <c r="P87" s="423"/>
      <c r="Q87" s="372"/>
      <c r="R87" s="372"/>
    </row>
    <row r="88" spans="1:18">
      <c r="A88" s="570"/>
      <c r="B88" s="373">
        <v>0</v>
      </c>
      <c r="C88" s="409"/>
      <c r="D88" s="407"/>
      <c r="E88" s="421"/>
      <c r="F88" s="377" t="s">
        <v>253</v>
      </c>
      <c r="G88" s="370"/>
      <c r="H88" s="461">
        <f t="shared" ref="H88:H90" si="26">F88*G88</f>
        <v>0</v>
      </c>
      <c r="I88" s="379"/>
      <c r="J88" s="380"/>
      <c r="K88" s="381"/>
      <c r="L88" s="382"/>
      <c r="M88" s="383"/>
      <c r="N88" s="463"/>
      <c r="O88" s="372"/>
      <c r="P88" s="423">
        <f t="shared" ref="P88:P90" si="27">(N88-M88)*24*60</f>
        <v>0</v>
      </c>
      <c r="Q88" s="372"/>
      <c r="R88" s="372"/>
    </row>
    <row r="89" spans="1:18">
      <c r="A89" s="570"/>
      <c r="B89" s="373">
        <v>0</v>
      </c>
      <c r="C89" s="409"/>
      <c r="D89" s="407"/>
      <c r="E89" s="421"/>
      <c r="F89" s="377" t="s">
        <v>253</v>
      </c>
      <c r="G89" s="370"/>
      <c r="H89" s="461">
        <f t="shared" si="26"/>
        <v>0</v>
      </c>
      <c r="I89" s="379"/>
      <c r="J89" s="380"/>
      <c r="K89" s="381"/>
      <c r="L89" s="382"/>
      <c r="M89" s="383"/>
      <c r="N89" s="463"/>
      <c r="O89" s="372"/>
      <c r="P89" s="423">
        <f t="shared" si="27"/>
        <v>0</v>
      </c>
      <c r="Q89" s="372"/>
      <c r="R89" s="372"/>
    </row>
    <row r="90" spans="1:18">
      <c r="A90" s="570"/>
      <c r="B90" s="373">
        <v>0</v>
      </c>
      <c r="C90" s="409"/>
      <c r="D90" s="407"/>
      <c r="E90" s="421"/>
      <c r="F90" s="377" t="s">
        <v>253</v>
      </c>
      <c r="G90" s="370"/>
      <c r="H90" s="461">
        <f t="shared" si="26"/>
        <v>0</v>
      </c>
      <c r="I90" s="379"/>
      <c r="J90" s="380"/>
      <c r="K90" s="381"/>
      <c r="L90" s="382"/>
      <c r="M90" s="383"/>
      <c r="N90" s="463"/>
      <c r="O90" s="372"/>
      <c r="P90" s="423">
        <f t="shared" si="27"/>
        <v>0</v>
      </c>
      <c r="Q90" s="372"/>
      <c r="R90" s="372"/>
    </row>
    <row r="91" spans="1:18" ht="17.399999999999999" customHeight="1">
      <c r="A91" s="570"/>
      <c r="B91" s="373">
        <v>0</v>
      </c>
      <c r="C91" s="12" t="s">
        <v>262</v>
      </c>
      <c r="D91" s="571" t="s">
        <v>114</v>
      </c>
      <c r="E91" s="571"/>
      <c r="F91" s="392"/>
      <c r="G91" s="464"/>
      <c r="H91" s="465"/>
      <c r="I91" s="395"/>
      <c r="J91" s="396">
        <f>AVERAGE(J82:J90)</f>
        <v>3.6</v>
      </c>
      <c r="K91" s="396">
        <f>AVERAGE(K82:K90)</f>
        <v>2629.1999999999921</v>
      </c>
      <c r="L91" s="397">
        <f>AVERAGE(L82:L90)</f>
        <v>747.0599999999979</v>
      </c>
      <c r="M91" s="383"/>
      <c r="N91" s="383"/>
      <c r="O91" s="381"/>
      <c r="P91" s="381"/>
      <c r="Q91" s="382"/>
      <c r="R91" s="382"/>
    </row>
    <row r="92" spans="1:18" ht="16.25" customHeight="1">
      <c r="A92" s="572" t="s">
        <v>279</v>
      </c>
      <c r="B92" s="373" t="s">
        <v>250</v>
      </c>
      <c r="C92" s="466"/>
      <c r="D92" s="443" t="s">
        <v>315</v>
      </c>
      <c r="E92" s="424"/>
      <c r="F92" s="377">
        <v>24.54</v>
      </c>
      <c r="G92" s="370">
        <v>2044</v>
      </c>
      <c r="H92" s="378">
        <f t="shared" ref="H92" si="28">F92*G92</f>
        <v>50159.759999999995</v>
      </c>
      <c r="I92" s="379"/>
      <c r="J92" s="380">
        <v>3</v>
      </c>
      <c r="K92" s="381">
        <f t="shared" ref="K92:K95" si="29">G92/P92*60</f>
        <v>2229.8181818181829</v>
      </c>
      <c r="L92" s="382">
        <f t="shared" ref="L92:L95" si="30">K92/J92</f>
        <v>743.27272727272759</v>
      </c>
      <c r="M92" s="383">
        <v>0.72222222222222221</v>
      </c>
      <c r="N92" s="383">
        <v>0.76041666666666663</v>
      </c>
      <c r="O92" s="372">
        <v>20</v>
      </c>
      <c r="P92" s="384">
        <f>(N92-M92)*24*60</f>
        <v>54.999999999999964</v>
      </c>
      <c r="Q92" s="385"/>
      <c r="R92" s="385"/>
    </row>
    <row r="93" spans="1:18">
      <c r="A93" s="573"/>
      <c r="B93" s="373" t="s">
        <v>250</v>
      </c>
      <c r="C93" s="466"/>
      <c r="D93" s="407" t="s">
        <v>316</v>
      </c>
      <c r="E93" s="421"/>
      <c r="F93" s="377">
        <v>22.48</v>
      </c>
      <c r="G93" s="370">
        <v>1896</v>
      </c>
      <c r="H93" s="378">
        <f>F93*G93</f>
        <v>42622.080000000002</v>
      </c>
      <c r="I93" s="379"/>
      <c r="J93" s="380">
        <v>4</v>
      </c>
      <c r="K93" s="381">
        <f t="shared" si="29"/>
        <v>2275.1999999999939</v>
      </c>
      <c r="L93" s="382">
        <f t="shared" si="30"/>
        <v>568.79999999999848</v>
      </c>
      <c r="M93" s="383">
        <v>0.77430555555555547</v>
      </c>
      <c r="N93" s="383">
        <v>0.80902777777777779</v>
      </c>
      <c r="O93" s="372">
        <v>20</v>
      </c>
      <c r="P93" s="384">
        <f>(N93-M93)*24*60</f>
        <v>50.000000000000142</v>
      </c>
      <c r="Q93" s="385"/>
      <c r="R93" s="385"/>
    </row>
    <row r="94" spans="1:18">
      <c r="A94" s="573"/>
      <c r="B94" s="373" t="s">
        <v>250</v>
      </c>
      <c r="C94" s="391"/>
      <c r="D94" s="443" t="s">
        <v>317</v>
      </c>
      <c r="E94" s="421"/>
      <c r="F94" s="377">
        <v>16.7</v>
      </c>
      <c r="G94" s="386">
        <v>1326</v>
      </c>
      <c r="H94" s="378">
        <f>F94*G94</f>
        <v>22144.2</v>
      </c>
      <c r="I94" s="379"/>
      <c r="J94" s="380">
        <v>3</v>
      </c>
      <c r="K94" s="381">
        <f t="shared" si="29"/>
        <v>2651.9999999999955</v>
      </c>
      <c r="L94" s="382">
        <f t="shared" si="30"/>
        <v>883.99999999999852</v>
      </c>
      <c r="M94" s="383">
        <v>0.82291666666666663</v>
      </c>
      <c r="N94" s="383">
        <v>0.84375</v>
      </c>
      <c r="O94" s="372">
        <v>20</v>
      </c>
      <c r="P94" s="384">
        <f>(N94-M94)*24*60</f>
        <v>30.000000000000053</v>
      </c>
      <c r="Q94" s="385"/>
      <c r="R94" s="385"/>
    </row>
    <row r="95" spans="1:18">
      <c r="A95" s="574"/>
      <c r="B95" s="373" t="s">
        <v>250</v>
      </c>
      <c r="C95" s="391"/>
      <c r="D95" s="443" t="s">
        <v>318</v>
      </c>
      <c r="E95" s="448"/>
      <c r="F95" s="377">
        <v>28.57</v>
      </c>
      <c r="G95" s="386">
        <v>2656</v>
      </c>
      <c r="H95" s="378">
        <f>F95*G95</f>
        <v>75881.919999999998</v>
      </c>
      <c r="I95" s="379"/>
      <c r="J95" s="380">
        <v>3</v>
      </c>
      <c r="K95" s="381">
        <f t="shared" si="29"/>
        <v>2656.0000000000027</v>
      </c>
      <c r="L95" s="382">
        <f t="shared" si="30"/>
        <v>885.33333333333428</v>
      </c>
      <c r="M95" s="383">
        <v>0.85763888888888884</v>
      </c>
      <c r="N95" s="383">
        <v>0.89930555555555547</v>
      </c>
      <c r="O95" s="372">
        <v>20</v>
      </c>
      <c r="P95" s="384">
        <f>(N95-M95)*24*60</f>
        <v>59.999999999999943</v>
      </c>
      <c r="Q95" s="385"/>
      <c r="R95" s="385"/>
    </row>
    <row r="96" spans="1:18">
      <c r="A96" s="574"/>
      <c r="B96" s="373" t="s">
        <v>250</v>
      </c>
      <c r="C96" s="391"/>
      <c r="D96" s="407" t="s">
        <v>323</v>
      </c>
      <c r="E96" s="448"/>
      <c r="F96" s="377">
        <v>17.260000000000002</v>
      </c>
      <c r="G96" s="386"/>
      <c r="H96" s="378"/>
      <c r="I96" s="379"/>
      <c r="J96" s="380"/>
      <c r="K96" s="381"/>
      <c r="L96" s="382"/>
      <c r="M96" s="383"/>
      <c r="N96" s="383"/>
      <c r="O96" s="372"/>
      <c r="P96" s="384"/>
      <c r="Q96" s="385"/>
      <c r="R96" s="385"/>
    </row>
    <row r="97" spans="1:18">
      <c r="A97" s="574"/>
      <c r="B97" s="373">
        <v>0</v>
      </c>
      <c r="C97" s="391"/>
      <c r="D97" s="407"/>
      <c r="E97" s="448"/>
      <c r="F97" s="377"/>
      <c r="G97" s="386"/>
      <c r="H97" s="378"/>
      <c r="I97" s="379"/>
      <c r="J97" s="380"/>
      <c r="K97" s="381"/>
      <c r="L97" s="382"/>
      <c r="M97" s="383"/>
      <c r="N97" s="383"/>
      <c r="O97" s="372"/>
      <c r="P97" s="384"/>
      <c r="Q97" s="385"/>
      <c r="R97" s="385"/>
    </row>
    <row r="98" spans="1:18">
      <c r="A98" s="574"/>
      <c r="B98" s="373">
        <v>0</v>
      </c>
      <c r="C98" s="391"/>
      <c r="D98" s="407"/>
      <c r="E98" s="448"/>
      <c r="F98" s="377"/>
      <c r="G98" s="386"/>
      <c r="H98" s="378"/>
      <c r="I98" s="379"/>
      <c r="J98" s="380"/>
      <c r="K98" s="381"/>
      <c r="L98" s="382"/>
      <c r="M98" s="383"/>
      <c r="N98" s="383"/>
      <c r="O98" s="372"/>
      <c r="P98" s="384"/>
      <c r="Q98" s="385"/>
      <c r="R98" s="385"/>
    </row>
    <row r="99" spans="1:18">
      <c r="A99" s="574"/>
      <c r="B99" s="373">
        <v>0</v>
      </c>
      <c r="C99" s="391"/>
      <c r="D99" s="407"/>
      <c r="E99" s="448"/>
      <c r="F99" s="377" t="s">
        <v>253</v>
      </c>
      <c r="G99" s="386"/>
      <c r="H99" s="378">
        <f>F99*G99</f>
        <v>0</v>
      </c>
      <c r="I99" s="379"/>
      <c r="J99" s="380"/>
      <c r="K99" s="381"/>
      <c r="L99" s="382"/>
      <c r="M99" s="383"/>
      <c r="N99" s="383"/>
      <c r="O99" s="372"/>
      <c r="P99" s="384"/>
      <c r="Q99" s="385"/>
      <c r="R99" s="385"/>
    </row>
    <row r="100" spans="1:18" ht="15.75" customHeight="1">
      <c r="A100" s="574"/>
      <c r="B100" s="373">
        <v>0</v>
      </c>
      <c r="C100" s="12" t="s">
        <v>281</v>
      </c>
      <c r="D100" s="575" t="s">
        <v>114</v>
      </c>
      <c r="E100" s="576"/>
      <c r="F100" s="392"/>
      <c r="G100" s="393"/>
      <c r="H100" s="467"/>
      <c r="I100" s="395"/>
      <c r="J100" s="396">
        <f>AVERAGE(J92:J99)</f>
        <v>3.25</v>
      </c>
      <c r="K100" s="396">
        <f>AVERAGE(K92:K99)</f>
        <v>2453.2545454545439</v>
      </c>
      <c r="L100" s="397">
        <f>AVERAGE(L92:L99)</f>
        <v>770.35151515151472</v>
      </c>
      <c r="M100" s="383"/>
      <c r="N100" s="383"/>
      <c r="O100" s="381"/>
      <c r="P100" s="381"/>
      <c r="Q100" s="382"/>
      <c r="R100" s="382"/>
    </row>
    <row r="101" spans="1:18" ht="16.25" customHeight="1">
      <c r="A101" s="577" t="s">
        <v>282</v>
      </c>
      <c r="B101" s="373" t="s">
        <v>250</v>
      </c>
      <c r="C101" s="12"/>
      <c r="D101" s="475" t="s">
        <v>319</v>
      </c>
      <c r="E101" s="476"/>
      <c r="F101" s="377">
        <v>18.18</v>
      </c>
      <c r="G101" s="370">
        <v>847</v>
      </c>
      <c r="H101" s="378">
        <f t="shared" ref="H101:H110" si="31">F101*G101</f>
        <v>15398.46</v>
      </c>
      <c r="I101" s="379"/>
      <c r="J101" s="380">
        <v>4</v>
      </c>
      <c r="K101" s="381">
        <f>G101/P101*60</f>
        <v>2540.9999999999886</v>
      </c>
      <c r="L101" s="382">
        <f t="shared" ref="L101:L105" si="32">K101/J101</f>
        <v>635.24999999999716</v>
      </c>
      <c r="M101" s="383">
        <v>0.72222222222222221</v>
      </c>
      <c r="N101" s="383">
        <v>0.73611111111111116</v>
      </c>
      <c r="O101" s="372">
        <v>20</v>
      </c>
      <c r="P101" s="381">
        <f t="shared" ref="P101:P110" si="33">(N101-M101)*24*60</f>
        <v>20.000000000000089</v>
      </c>
      <c r="Q101" s="382"/>
      <c r="R101" s="385"/>
    </row>
    <row r="102" spans="1:18">
      <c r="A102" s="577"/>
      <c r="B102" s="373" t="s">
        <v>250</v>
      </c>
      <c r="C102" s="12"/>
      <c r="D102" s="475" t="s">
        <v>320</v>
      </c>
      <c r="E102" s="476"/>
      <c r="F102" s="377">
        <v>14.03</v>
      </c>
      <c r="G102" s="370">
        <v>5109</v>
      </c>
      <c r="H102" s="378">
        <f t="shared" si="31"/>
        <v>71679.26999999999</v>
      </c>
      <c r="I102" s="379"/>
      <c r="J102" s="380">
        <v>3</v>
      </c>
      <c r="K102" s="381">
        <f t="shared" ref="K102:K105" si="34">G102/P102*60</f>
        <v>2786.7272727272743</v>
      </c>
      <c r="L102" s="382">
        <f t="shared" si="32"/>
        <v>928.90909090909145</v>
      </c>
      <c r="M102" s="383">
        <v>0.75</v>
      </c>
      <c r="N102" s="383">
        <v>0.82638888888888884</v>
      </c>
      <c r="O102" s="372">
        <v>20</v>
      </c>
      <c r="P102" s="381">
        <f t="shared" si="33"/>
        <v>109.99999999999993</v>
      </c>
      <c r="Q102" s="385">
        <v>0.82638888888888884</v>
      </c>
      <c r="R102" s="385">
        <v>0.86805555555555547</v>
      </c>
    </row>
    <row r="103" spans="1:18">
      <c r="A103" s="577"/>
      <c r="B103" s="373" t="s">
        <v>250</v>
      </c>
      <c r="C103" s="468"/>
      <c r="D103" s="448" t="s">
        <v>283</v>
      </c>
      <c r="E103" s="411"/>
      <c r="F103" s="377">
        <v>25.03</v>
      </c>
      <c r="G103" s="370">
        <v>1048</v>
      </c>
      <c r="H103" s="378">
        <f t="shared" si="31"/>
        <v>26231.440000000002</v>
      </c>
      <c r="I103" s="379"/>
      <c r="J103" s="380">
        <v>4</v>
      </c>
      <c r="K103" s="381">
        <f t="shared" si="34"/>
        <v>3144.0000000000109</v>
      </c>
      <c r="L103" s="382">
        <f t="shared" si="32"/>
        <v>786.00000000000273</v>
      </c>
      <c r="M103" s="383">
        <v>0.88194444444444453</v>
      </c>
      <c r="N103" s="383">
        <v>0.89583333333333337</v>
      </c>
      <c r="O103" s="372">
        <v>20</v>
      </c>
      <c r="P103" s="381">
        <f t="shared" si="33"/>
        <v>19.999999999999929</v>
      </c>
      <c r="Q103" s="385"/>
      <c r="R103" s="385"/>
    </row>
    <row r="104" spans="1:18">
      <c r="A104" s="577"/>
      <c r="B104" s="373" t="s">
        <v>250</v>
      </c>
      <c r="C104" s="468"/>
      <c r="D104" s="411" t="s">
        <v>284</v>
      </c>
      <c r="E104" s="448"/>
      <c r="F104" s="377">
        <v>24.82</v>
      </c>
      <c r="G104" s="370">
        <v>1557</v>
      </c>
      <c r="H104" s="378">
        <f t="shared" si="31"/>
        <v>38644.74</v>
      </c>
      <c r="I104" s="379"/>
      <c r="J104" s="380">
        <v>4</v>
      </c>
      <c r="K104" s="381">
        <f t="shared" si="34"/>
        <v>3114.0000000000109</v>
      </c>
      <c r="L104" s="382">
        <f t="shared" si="32"/>
        <v>778.50000000000273</v>
      </c>
      <c r="M104" s="383">
        <v>0.90972222222222221</v>
      </c>
      <c r="N104" s="383">
        <v>0.93055555555555547</v>
      </c>
      <c r="O104" s="372">
        <v>20</v>
      </c>
      <c r="P104" s="381">
        <f>(N104-M104)*24*60</f>
        <v>29.999999999999893</v>
      </c>
      <c r="Q104" s="382"/>
      <c r="R104" s="385"/>
    </row>
    <row r="105" spans="1:18">
      <c r="A105" s="577"/>
      <c r="B105" s="373" t="s">
        <v>250</v>
      </c>
      <c r="C105" s="468"/>
      <c r="D105" s="411" t="s">
        <v>285</v>
      </c>
      <c r="E105" s="462"/>
      <c r="F105" s="377">
        <v>14.285714285714283</v>
      </c>
      <c r="G105" s="370">
        <v>6950</v>
      </c>
      <c r="H105" s="378">
        <f t="shared" si="31"/>
        <v>99285.714285714261</v>
      </c>
      <c r="I105" s="379"/>
      <c r="J105" s="380">
        <v>3</v>
      </c>
      <c r="K105" s="381">
        <f t="shared" si="34"/>
        <v>2978.5714286705006</v>
      </c>
      <c r="L105" s="382">
        <f t="shared" si="32"/>
        <v>992.85714289016687</v>
      </c>
      <c r="M105" s="383">
        <v>46024.944444444445</v>
      </c>
      <c r="N105" s="463">
        <v>46025.041666666664</v>
      </c>
      <c r="O105" s="372">
        <v>20</v>
      </c>
      <c r="P105" s="381">
        <f>(N105-M105)*24*60</f>
        <v>139.99999999534339</v>
      </c>
      <c r="Q105" s="382"/>
      <c r="R105" s="385"/>
    </row>
    <row r="106" spans="1:18">
      <c r="A106" s="577"/>
      <c r="B106" s="373">
        <v>0</v>
      </c>
      <c r="C106" s="468"/>
      <c r="D106" s="475"/>
      <c r="E106" s="476"/>
      <c r="F106" s="377" t="s">
        <v>253</v>
      </c>
      <c r="G106" s="386"/>
      <c r="H106" s="378">
        <f t="shared" si="31"/>
        <v>0</v>
      </c>
      <c r="I106" s="379"/>
      <c r="J106" s="380"/>
      <c r="K106" s="381"/>
      <c r="L106" s="382"/>
      <c r="M106" s="383"/>
      <c r="N106" s="383"/>
      <c r="O106" s="381"/>
      <c r="P106" s="381">
        <f t="shared" si="33"/>
        <v>0</v>
      </c>
      <c r="Q106" s="382"/>
      <c r="R106" s="385"/>
    </row>
    <row r="107" spans="1:18">
      <c r="A107" s="577"/>
      <c r="B107" s="373">
        <v>0</v>
      </c>
      <c r="C107" s="468"/>
      <c r="D107" s="411"/>
      <c r="E107" s="462"/>
      <c r="F107" s="377" t="s">
        <v>253</v>
      </c>
      <c r="G107" s="370"/>
      <c r="H107" s="378">
        <f t="shared" si="31"/>
        <v>0</v>
      </c>
      <c r="I107" s="379"/>
      <c r="J107" s="380"/>
      <c r="K107" s="381"/>
      <c r="L107" s="382"/>
      <c r="M107" s="383"/>
      <c r="N107" s="383"/>
      <c r="O107" s="381"/>
      <c r="P107" s="381">
        <f t="shared" si="33"/>
        <v>0</v>
      </c>
      <c r="Q107" s="382"/>
      <c r="R107" s="385"/>
    </row>
    <row r="108" spans="1:18">
      <c r="A108" s="577"/>
      <c r="B108" s="373">
        <v>0</v>
      </c>
      <c r="C108" s="468"/>
      <c r="D108" s="411"/>
      <c r="E108" s="462"/>
      <c r="F108" s="377" t="s">
        <v>253</v>
      </c>
      <c r="G108" s="370"/>
      <c r="H108" s="378">
        <f t="shared" si="31"/>
        <v>0</v>
      </c>
      <c r="I108" s="379"/>
      <c r="J108" s="380"/>
      <c r="K108" s="381"/>
      <c r="L108" s="382"/>
      <c r="M108" s="383"/>
      <c r="N108" s="383"/>
      <c r="O108" s="381"/>
      <c r="P108" s="381">
        <f t="shared" si="33"/>
        <v>0</v>
      </c>
      <c r="Q108" s="382"/>
      <c r="R108" s="385"/>
    </row>
    <row r="109" spans="1:18">
      <c r="A109" s="577"/>
      <c r="B109" s="373">
        <v>0</v>
      </c>
      <c r="C109" s="469"/>
      <c r="D109" s="411"/>
      <c r="E109" s="462"/>
      <c r="F109" s="377" t="s">
        <v>253</v>
      </c>
      <c r="G109" s="370"/>
      <c r="H109" s="378">
        <f t="shared" si="31"/>
        <v>0</v>
      </c>
      <c r="I109" s="379"/>
      <c r="J109" s="380"/>
      <c r="K109" s="381"/>
      <c r="L109" s="382"/>
      <c r="M109" s="383"/>
      <c r="N109" s="383"/>
      <c r="O109" s="381"/>
      <c r="P109" s="381">
        <f t="shared" si="33"/>
        <v>0</v>
      </c>
      <c r="Q109" s="382"/>
      <c r="R109" s="385"/>
    </row>
    <row r="110" spans="1:18">
      <c r="A110" s="577"/>
      <c r="B110" s="373">
        <v>0</v>
      </c>
      <c r="C110" s="469"/>
      <c r="D110" s="411"/>
      <c r="E110" s="462"/>
      <c r="F110" s="377" t="s">
        <v>253</v>
      </c>
      <c r="G110" s="370"/>
      <c r="H110" s="378">
        <f t="shared" si="31"/>
        <v>0</v>
      </c>
      <c r="I110" s="379"/>
      <c r="J110" s="380"/>
      <c r="K110" s="381"/>
      <c r="L110" s="382"/>
      <c r="M110" s="383"/>
      <c r="N110" s="383"/>
      <c r="O110" s="381"/>
      <c r="P110" s="381">
        <f t="shared" si="33"/>
        <v>0</v>
      </c>
      <c r="Q110" s="382"/>
      <c r="R110" s="385"/>
    </row>
    <row r="111" spans="1:18" ht="15.75" customHeight="1">
      <c r="A111" s="577"/>
      <c r="B111" s="373">
        <v>0</v>
      </c>
      <c r="C111" s="452" t="s">
        <v>270</v>
      </c>
      <c r="D111" s="578" t="s">
        <v>114</v>
      </c>
      <c r="E111" s="579"/>
      <c r="F111" s="470"/>
      <c r="G111" s="471"/>
      <c r="H111" s="394"/>
      <c r="I111" s="395"/>
      <c r="J111" s="396">
        <f>AVERAGE(J101:J110)</f>
        <v>3.6</v>
      </c>
      <c r="K111" s="396">
        <f>AVERAGE(K101:K110)</f>
        <v>2912.8597402795572</v>
      </c>
      <c r="L111" s="397">
        <f>AVERAGE(L101:L110)</f>
        <v>824.30324675985207</v>
      </c>
      <c r="M111" s="383"/>
      <c r="N111" s="383"/>
      <c r="O111" s="381"/>
      <c r="P111" s="381"/>
      <c r="Q111" s="382"/>
      <c r="R111" s="372"/>
    </row>
    <row r="112" spans="1:18" ht="16.25" customHeight="1">
      <c r="A112" s="565" t="s">
        <v>286</v>
      </c>
      <c r="B112" s="373">
        <v>0</v>
      </c>
      <c r="C112" s="12"/>
      <c r="D112" s="477"/>
      <c r="E112" s="478"/>
      <c r="F112" s="377" t="s">
        <v>253</v>
      </c>
      <c r="G112" s="370"/>
      <c r="H112" s="459">
        <f t="shared" si="3"/>
        <v>0</v>
      </c>
      <c r="I112" s="379"/>
      <c r="J112" s="380">
        <v>0</v>
      </c>
      <c r="K112" s="381">
        <v>0</v>
      </c>
      <c r="L112" s="382">
        <v>0</v>
      </c>
      <c r="M112" s="383"/>
      <c r="N112" s="383"/>
      <c r="O112" s="372"/>
      <c r="P112" s="384">
        <f t="shared" ref="P112:P123" si="35">(N112-M112)*24*60</f>
        <v>0</v>
      </c>
      <c r="Q112" s="372"/>
      <c r="R112" s="372"/>
    </row>
    <row r="113" spans="1:18">
      <c r="A113" s="565"/>
      <c r="B113" s="373">
        <v>0</v>
      </c>
      <c r="C113" s="460"/>
      <c r="D113" s="475"/>
      <c r="E113" s="457"/>
      <c r="F113" s="377" t="s">
        <v>253</v>
      </c>
      <c r="G113" s="370"/>
      <c r="H113" s="459">
        <f t="shared" si="3"/>
        <v>0</v>
      </c>
      <c r="I113" s="379"/>
      <c r="J113" s="380"/>
      <c r="K113" s="381"/>
      <c r="L113" s="382"/>
      <c r="M113" s="383"/>
      <c r="N113" s="383"/>
      <c r="O113" s="372"/>
      <c r="P113" s="384">
        <f t="shared" si="35"/>
        <v>0</v>
      </c>
      <c r="Q113" s="385"/>
      <c r="R113" s="385"/>
    </row>
    <row r="114" spans="1:18">
      <c r="A114" s="565"/>
      <c r="B114" s="373">
        <v>0</v>
      </c>
      <c r="C114" s="460"/>
      <c r="D114" s="448"/>
      <c r="E114" s="411"/>
      <c r="F114" s="377" t="s">
        <v>253</v>
      </c>
      <c r="G114" s="370"/>
      <c r="H114" s="459">
        <f>F114*G114</f>
        <v>0</v>
      </c>
      <c r="I114" s="379"/>
      <c r="J114" s="380"/>
      <c r="K114" s="381"/>
      <c r="L114" s="382"/>
      <c r="M114" s="383"/>
      <c r="N114" s="383"/>
      <c r="O114" s="372"/>
      <c r="P114" s="384">
        <f t="shared" si="35"/>
        <v>0</v>
      </c>
      <c r="Q114" s="385"/>
      <c r="R114" s="385"/>
    </row>
    <row r="115" spans="1:18">
      <c r="A115" s="565"/>
      <c r="B115" s="373">
        <v>0</v>
      </c>
      <c r="C115" s="409"/>
      <c r="D115" s="411"/>
      <c r="E115" s="448"/>
      <c r="F115" s="377" t="s">
        <v>253</v>
      </c>
      <c r="G115" s="370"/>
      <c r="H115" s="459">
        <f t="shared" ref="H115:H123" si="36">F115*G115</f>
        <v>0</v>
      </c>
      <c r="I115" s="379"/>
      <c r="J115" s="380"/>
      <c r="K115" s="381"/>
      <c r="L115" s="382"/>
      <c r="M115" s="383"/>
      <c r="N115" s="383"/>
      <c r="O115" s="372"/>
      <c r="P115" s="384">
        <f t="shared" si="35"/>
        <v>0</v>
      </c>
      <c r="Q115" s="385"/>
      <c r="R115" s="385"/>
    </row>
    <row r="116" spans="1:18">
      <c r="A116" s="565"/>
      <c r="B116" s="373">
        <v>0</v>
      </c>
      <c r="C116" s="409"/>
      <c r="D116" s="411"/>
      <c r="E116" s="462"/>
      <c r="F116" s="377" t="s">
        <v>253</v>
      </c>
      <c r="G116" s="370"/>
      <c r="H116" s="459">
        <f t="shared" si="36"/>
        <v>0</v>
      </c>
      <c r="I116" s="379"/>
      <c r="J116" s="380"/>
      <c r="K116" s="381"/>
      <c r="L116" s="382"/>
      <c r="M116" s="383"/>
      <c r="N116" s="463"/>
      <c r="O116" s="372"/>
      <c r="P116" s="384">
        <f t="shared" si="35"/>
        <v>0</v>
      </c>
      <c r="Q116" s="385"/>
      <c r="R116" s="385"/>
    </row>
    <row r="117" spans="1:18">
      <c r="A117" s="565"/>
      <c r="B117" s="373">
        <v>0</v>
      </c>
      <c r="C117" s="460"/>
      <c r="D117" s="443"/>
      <c r="E117" s="441"/>
      <c r="F117" s="377" t="s">
        <v>253</v>
      </c>
      <c r="G117" s="370"/>
      <c r="H117" s="459">
        <f t="shared" si="36"/>
        <v>0</v>
      </c>
      <c r="I117" s="379"/>
      <c r="J117" s="380"/>
      <c r="K117" s="381"/>
      <c r="L117" s="382"/>
      <c r="M117" s="383"/>
      <c r="N117" s="383"/>
      <c r="O117" s="381"/>
      <c r="P117" s="384">
        <f t="shared" si="35"/>
        <v>0</v>
      </c>
      <c r="Q117" s="385"/>
      <c r="R117" s="385"/>
    </row>
    <row r="118" spans="1:18">
      <c r="A118" s="565"/>
      <c r="B118" s="373">
        <v>0</v>
      </c>
      <c r="C118" s="460"/>
      <c r="D118" s="443"/>
      <c r="E118" s="441"/>
      <c r="F118" s="377" t="s">
        <v>253</v>
      </c>
      <c r="G118" s="370"/>
      <c r="H118" s="459">
        <f t="shared" si="36"/>
        <v>0</v>
      </c>
      <c r="I118" s="379"/>
      <c r="J118" s="380"/>
      <c r="K118" s="381"/>
      <c r="L118" s="382"/>
      <c r="M118" s="383"/>
      <c r="N118" s="383"/>
      <c r="O118" s="372"/>
      <c r="P118" s="384">
        <f t="shared" si="35"/>
        <v>0</v>
      </c>
      <c r="Q118" s="385"/>
      <c r="R118" s="385"/>
    </row>
    <row r="119" spans="1:18">
      <c r="A119" s="565"/>
      <c r="B119" s="373">
        <v>0</v>
      </c>
      <c r="C119" s="409"/>
      <c r="D119" s="443"/>
      <c r="E119" s="441"/>
      <c r="F119" s="377" t="s">
        <v>253</v>
      </c>
      <c r="G119" s="370"/>
      <c r="H119" s="459">
        <f t="shared" si="36"/>
        <v>0</v>
      </c>
      <c r="I119" s="379"/>
      <c r="J119" s="380"/>
      <c r="K119" s="381"/>
      <c r="L119" s="382"/>
      <c r="M119" s="383"/>
      <c r="N119" s="383"/>
      <c r="O119" s="372"/>
      <c r="P119" s="384">
        <f t="shared" si="35"/>
        <v>0</v>
      </c>
      <c r="Q119" s="385"/>
      <c r="R119" s="385"/>
    </row>
    <row r="120" spans="1:18">
      <c r="A120" s="565"/>
      <c r="B120" s="373">
        <v>0</v>
      </c>
      <c r="C120" s="409"/>
      <c r="D120" s="443"/>
      <c r="E120" s="441"/>
      <c r="F120" s="377" t="s">
        <v>253</v>
      </c>
      <c r="G120" s="370"/>
      <c r="H120" s="459"/>
      <c r="I120" s="379"/>
      <c r="J120" s="380"/>
      <c r="K120" s="381"/>
      <c r="L120" s="382"/>
      <c r="M120" s="383"/>
      <c r="N120" s="383"/>
      <c r="O120" s="372"/>
      <c r="P120" s="384"/>
      <c r="Q120" s="385"/>
      <c r="R120" s="385"/>
    </row>
    <row r="121" spans="1:18">
      <c r="A121" s="565"/>
      <c r="B121" s="373">
        <v>0</v>
      </c>
      <c r="C121" s="460"/>
      <c r="D121" s="443"/>
      <c r="E121" s="441"/>
      <c r="F121" s="377" t="s">
        <v>253</v>
      </c>
      <c r="G121" s="370"/>
      <c r="H121" s="459"/>
      <c r="I121" s="379"/>
      <c r="J121" s="380"/>
      <c r="K121" s="381"/>
      <c r="L121" s="382"/>
      <c r="M121" s="383"/>
      <c r="N121" s="383"/>
      <c r="O121" s="372"/>
      <c r="P121" s="384"/>
      <c r="Q121" s="385"/>
      <c r="R121" s="385"/>
    </row>
    <row r="122" spans="1:18">
      <c r="A122" s="565"/>
      <c r="B122" s="373">
        <v>0</v>
      </c>
      <c r="C122" s="460"/>
      <c r="D122" s="443"/>
      <c r="E122" s="441"/>
      <c r="F122" s="377" t="s">
        <v>253</v>
      </c>
      <c r="G122" s="370"/>
      <c r="H122" s="459"/>
      <c r="I122" s="379"/>
      <c r="J122" s="380"/>
      <c r="K122" s="381"/>
      <c r="L122" s="382"/>
      <c r="M122" s="383"/>
      <c r="N122" s="383"/>
      <c r="O122" s="372"/>
      <c r="P122" s="384">
        <f t="shared" si="35"/>
        <v>0</v>
      </c>
      <c r="Q122" s="385"/>
      <c r="R122" s="385"/>
    </row>
    <row r="123" spans="1:18">
      <c r="A123" s="565"/>
      <c r="B123" s="373">
        <v>0</v>
      </c>
      <c r="C123" s="409"/>
      <c r="D123" s="443"/>
      <c r="E123" s="441"/>
      <c r="F123" s="377" t="s">
        <v>253</v>
      </c>
      <c r="G123" s="370"/>
      <c r="H123" s="459">
        <f t="shared" si="36"/>
        <v>0</v>
      </c>
      <c r="I123" s="379"/>
      <c r="J123" s="380"/>
      <c r="K123" s="381"/>
      <c r="L123" s="382"/>
      <c r="M123" s="383"/>
      <c r="N123" s="383"/>
      <c r="O123" s="372"/>
      <c r="P123" s="384">
        <f t="shared" si="35"/>
        <v>0</v>
      </c>
      <c r="Q123" s="385"/>
      <c r="R123" s="385"/>
    </row>
    <row r="124" spans="1:18" ht="17.399999999999999" customHeight="1">
      <c r="A124" s="565"/>
      <c r="B124" s="472">
        <v>0</v>
      </c>
      <c r="C124" s="13" t="s">
        <v>273</v>
      </c>
      <c r="D124" s="568" t="s">
        <v>114</v>
      </c>
      <c r="E124" s="568"/>
      <c r="F124" s="392"/>
      <c r="G124" s="464"/>
      <c r="H124" s="465"/>
      <c r="I124" s="395"/>
      <c r="J124" s="396">
        <f>AVERAGE(J112:J123)</f>
        <v>0</v>
      </c>
      <c r="K124" s="396">
        <f>AVERAGE(K112:K123)</f>
        <v>0</v>
      </c>
      <c r="L124" s="397">
        <f>AVERAGE(L112:L123)</f>
        <v>0</v>
      </c>
      <c r="M124" s="383"/>
      <c r="N124" s="383"/>
      <c r="O124" s="381"/>
      <c r="P124" s="381"/>
      <c r="Q124" s="382"/>
      <c r="R124" s="382"/>
    </row>
    <row r="125" spans="1:18">
      <c r="C125" s="409"/>
    </row>
    <row r="126" spans="1:18">
      <c r="C126" s="13"/>
    </row>
  </sheetData>
  <mergeCells count="46"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3:E13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1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34" activePane="bottomLeft" state="frozen"/>
      <selection activeCell="AB119" sqref="AB119:AC119"/>
      <selection pane="bottomLeft" activeCell="AB119" sqref="AB119:AC119"/>
    </sheetView>
  </sheetViews>
  <sheetFormatPr defaultColWidth="7.90625" defaultRowHeight="15.5"/>
  <cols>
    <col min="1" max="1" width="14.1796875" style="70" customWidth="1"/>
    <col min="2" max="2" width="12.81640625" style="70" customWidth="1"/>
    <col min="3" max="3" width="12.81640625" style="70" hidden="1" customWidth="1"/>
    <col min="4" max="4" width="14.1796875" style="70" customWidth="1"/>
    <col min="5" max="5" width="15" style="70" customWidth="1"/>
    <col min="6" max="6" width="8.90625" style="70" customWidth="1"/>
    <col min="7" max="7" width="20.1796875" style="70" bestFit="1" customWidth="1"/>
    <col min="8" max="8" width="16.36328125" style="70" customWidth="1"/>
    <col min="9" max="9" width="6.36328125" style="70" customWidth="1"/>
    <col min="10" max="10" width="10.08984375" style="70" customWidth="1"/>
    <col min="11" max="11" width="10.6328125" style="70" customWidth="1"/>
    <col min="12" max="12" width="14.453125" style="70" customWidth="1"/>
    <col min="13" max="13" width="10.08984375" style="70" customWidth="1"/>
    <col min="14" max="14" width="9.1796875" style="70" customWidth="1"/>
    <col min="15" max="15" width="11.90625" style="70" customWidth="1"/>
    <col min="16" max="16" width="6" style="70" customWidth="1"/>
    <col min="17" max="18" width="9.1796875" style="70" customWidth="1"/>
    <col min="19" max="19" width="8.6328125" style="70" customWidth="1"/>
    <col min="20" max="21" width="7.6328125" style="70" bestFit="1" customWidth="1"/>
    <col min="22" max="22" width="10.6328125" style="70" customWidth="1"/>
    <col min="23" max="23" width="8.6328125" style="344" customWidth="1"/>
    <col min="24" max="25" width="7.08984375" style="70" customWidth="1"/>
    <col min="26" max="27" width="9.453125" style="70" customWidth="1"/>
    <col min="28" max="28" width="12.6328125" style="70" customWidth="1"/>
    <col min="29" max="29" width="12.453125" style="70" customWidth="1"/>
    <col min="30" max="31" width="9.453125" style="70" customWidth="1"/>
    <col min="32" max="32" width="13.08984375" style="70" customWidth="1"/>
    <col min="33" max="33" width="10.36328125" style="70" customWidth="1"/>
    <col min="34" max="34" width="9.1796875" style="70" customWidth="1"/>
    <col min="35" max="35" width="7.90625" style="70" customWidth="1"/>
    <col min="36" max="36" width="24.453125" style="70" bestFit="1" customWidth="1"/>
    <col min="37" max="16384" width="7.90625" style="70"/>
  </cols>
  <sheetData>
    <row r="1" spans="1:34" ht="26.25" customHeight="1">
      <c r="A1" s="62" t="s">
        <v>193</v>
      </c>
      <c r="B1" s="62"/>
      <c r="C1" s="62"/>
      <c r="D1" s="63" t="s">
        <v>194</v>
      </c>
      <c r="E1" s="64">
        <f>SUM(G5:G173)</f>
        <v>117339.6</v>
      </c>
      <c r="F1" s="65" t="s">
        <v>2</v>
      </c>
      <c r="G1" s="66">
        <f>SUM(H5:H173)</f>
        <v>4651187.6660431568</v>
      </c>
      <c r="H1" s="67" t="s">
        <v>83</v>
      </c>
      <c r="I1" s="68">
        <f>M17+M30+M43+M56+M69+M82+M95+M108+M121+M134+M147+M160+M173</f>
        <v>197.86468253968255</v>
      </c>
      <c r="J1" s="700" t="s">
        <v>84</v>
      </c>
      <c r="K1" s="700"/>
      <c r="L1" s="700"/>
      <c r="M1" s="700" t="s">
        <v>85</v>
      </c>
      <c r="N1" s="700"/>
      <c r="O1" s="700"/>
      <c r="P1" s="700" t="s">
        <v>195</v>
      </c>
      <c r="Q1" s="700"/>
      <c r="R1" s="700"/>
      <c r="S1" s="700"/>
      <c r="T1" s="700" t="s">
        <v>196</v>
      </c>
      <c r="U1" s="700"/>
      <c r="V1" s="700"/>
      <c r="W1" s="700"/>
      <c r="X1" s="700"/>
      <c r="Y1" s="700"/>
      <c r="Z1" s="69" t="s">
        <v>197</v>
      </c>
      <c r="AA1" s="69" t="s">
        <v>198</v>
      </c>
      <c r="AB1" s="701" t="s">
        <v>199</v>
      </c>
      <c r="AC1" s="702"/>
      <c r="AD1" s="69" t="s">
        <v>197</v>
      </c>
      <c r="AE1" s="69" t="s">
        <v>200</v>
      </c>
      <c r="AF1" s="700" t="s">
        <v>201</v>
      </c>
      <c r="AG1" s="705"/>
      <c r="AH1" s="705"/>
    </row>
    <row r="2" spans="1:34" ht="26.25" customHeight="1">
      <c r="A2" s="699" t="s">
        <v>240</v>
      </c>
      <c r="B2" s="699"/>
      <c r="C2" s="63"/>
      <c r="D2" s="63" t="s">
        <v>27</v>
      </c>
      <c r="E2" s="71">
        <f>AVERAGE(O17,O30,O43,O56,O69,O82,O95,O108,O121,O134,O147,O160,O173)</f>
        <v>118.88606150550928</v>
      </c>
      <c r="F2" s="72" t="s">
        <v>88</v>
      </c>
      <c r="G2" s="73">
        <f>G1/E1</f>
        <v>39.638686905726253</v>
      </c>
      <c r="H2" s="67" t="s">
        <v>89</v>
      </c>
      <c r="I2" s="67">
        <f>COUNT(I5:I173)</f>
        <v>6</v>
      </c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4">
        <f>Z17+Z30+Z43+Z56+Z69+Z82+Z95+Z108+Z121+Z134+Z147+Z160+Z173</f>
        <v>0</v>
      </c>
      <c r="AA2" s="74">
        <f>AA17+AA30+AA43+AA56+AA69+AA82+AA95+AA108+AA121+AA134+AA147+AA160+AA173</f>
        <v>0</v>
      </c>
      <c r="AB2" s="703"/>
      <c r="AC2" s="704"/>
      <c r="AD2" s="75">
        <f>AD17+AD30+AD43+AD56+AD69+AD82+AD95+AD108+AD121+AD134+AD147+AD160+AD173</f>
        <v>1</v>
      </c>
      <c r="AE2" s="75">
        <f>AE17+AE30+AE43+AE56+AE69+AE82+AE95+AE108+AE121+AE134+AE147+AE160+AE173</f>
        <v>2</v>
      </c>
      <c r="AF2" s="705"/>
      <c r="AG2" s="705"/>
      <c r="AH2" s="705"/>
    </row>
    <row r="3" spans="1:34" ht="30.65" customHeight="1">
      <c r="A3" s="644" t="s">
        <v>202</v>
      </c>
      <c r="B3" s="644" t="s">
        <v>91</v>
      </c>
      <c r="C3" s="637"/>
      <c r="D3" s="644" t="s">
        <v>203</v>
      </c>
      <c r="E3" s="644"/>
      <c r="F3" s="637" t="s">
        <v>93</v>
      </c>
      <c r="G3" s="695" t="s">
        <v>94</v>
      </c>
      <c r="H3" s="637" t="s">
        <v>95</v>
      </c>
      <c r="I3" s="697" t="s">
        <v>204</v>
      </c>
      <c r="J3" s="698" t="s">
        <v>97</v>
      </c>
      <c r="K3" s="690" t="s">
        <v>98</v>
      </c>
      <c r="L3" s="677" t="s">
        <v>64</v>
      </c>
      <c r="M3" s="695" t="s">
        <v>97</v>
      </c>
      <c r="N3" s="690" t="s">
        <v>205</v>
      </c>
      <c r="O3" s="677" t="s">
        <v>27</v>
      </c>
      <c r="P3" s="698" t="s">
        <v>206</v>
      </c>
      <c r="Q3" s="677" t="s">
        <v>27</v>
      </c>
      <c r="R3" s="691" t="s">
        <v>207</v>
      </c>
      <c r="S3" s="674" t="s">
        <v>208</v>
      </c>
      <c r="T3" s="695" t="s">
        <v>101</v>
      </c>
      <c r="U3" s="695"/>
      <c r="V3" s="696" t="s">
        <v>102</v>
      </c>
      <c r="W3" s="697" t="s">
        <v>209</v>
      </c>
      <c r="X3" s="695" t="s">
        <v>210</v>
      </c>
      <c r="Y3" s="695"/>
      <c r="Z3" s="712" t="s">
        <v>211</v>
      </c>
      <c r="AA3" s="713"/>
      <c r="AB3" s="686" t="s">
        <v>212</v>
      </c>
      <c r="AC3" s="687"/>
      <c r="AD3" s="688" t="s">
        <v>213</v>
      </c>
      <c r="AE3" s="689"/>
      <c r="AF3" s="690" t="s">
        <v>205</v>
      </c>
      <c r="AG3" s="691" t="s">
        <v>207</v>
      </c>
      <c r="AH3" s="674" t="s">
        <v>208</v>
      </c>
    </row>
    <row r="4" spans="1:34" ht="30.65" customHeight="1">
      <c r="A4" s="637"/>
      <c r="B4" s="644"/>
      <c r="C4" s="654"/>
      <c r="D4" s="644"/>
      <c r="E4" s="644"/>
      <c r="F4" s="654"/>
      <c r="G4" s="695"/>
      <c r="H4" s="654"/>
      <c r="I4" s="697"/>
      <c r="J4" s="698"/>
      <c r="K4" s="690"/>
      <c r="L4" s="677"/>
      <c r="M4" s="695"/>
      <c r="N4" s="690"/>
      <c r="O4" s="677"/>
      <c r="P4" s="698"/>
      <c r="Q4" s="677"/>
      <c r="R4" s="691"/>
      <c r="S4" s="674"/>
      <c r="T4" s="76" t="s">
        <v>105</v>
      </c>
      <c r="U4" s="76" t="s">
        <v>106</v>
      </c>
      <c r="V4" s="695"/>
      <c r="W4" s="697"/>
      <c r="X4" s="65" t="s">
        <v>214</v>
      </c>
      <c r="Y4" s="65" t="s">
        <v>65</v>
      </c>
      <c r="Z4" s="76" t="s">
        <v>215</v>
      </c>
      <c r="AA4" s="76" t="s">
        <v>216</v>
      </c>
      <c r="AB4" s="687"/>
      <c r="AC4" s="687"/>
      <c r="AD4" s="76" t="s">
        <v>217</v>
      </c>
      <c r="AE4" s="77" t="s">
        <v>218</v>
      </c>
      <c r="AF4" s="690"/>
      <c r="AG4" s="691"/>
      <c r="AH4" s="674"/>
    </row>
    <row r="5" spans="1:34" ht="17.399999999999999" customHeight="1">
      <c r="A5" s="692" t="s">
        <v>219</v>
      </c>
      <c r="B5" s="78" t="s">
        <v>246</v>
      </c>
      <c r="C5" s="79"/>
      <c r="D5" s="80" t="s">
        <v>108</v>
      </c>
      <c r="E5" s="81"/>
      <c r="F5" s="82">
        <v>37.94</v>
      </c>
      <c r="G5" s="83">
        <v>2032.2</v>
      </c>
      <c r="H5" s="84">
        <f t="shared" ref="H5:H16" si="0">F5*G5</f>
        <v>77101.667999999991</v>
      </c>
      <c r="I5" s="85"/>
      <c r="J5" s="86">
        <v>20</v>
      </c>
      <c r="K5" s="83">
        <v>2400</v>
      </c>
      <c r="L5" s="87">
        <v>120</v>
      </c>
      <c r="M5" s="88">
        <v>19</v>
      </c>
      <c r="N5" s="83">
        <f t="shared" ref="N5:N11" si="1">G5/W5*60</f>
        <v>2258.0000000000014</v>
      </c>
      <c r="O5" s="87">
        <f t="shared" ref="O5:O11" si="2">N5/M5</f>
        <v>118.84210526315796</v>
      </c>
      <c r="P5" s="89">
        <f t="shared" ref="P5:P11" si="3">M5-J5</f>
        <v>-1</v>
      </c>
      <c r="Q5" s="90">
        <f t="shared" ref="Q5:Q11" si="4">O5-L5</f>
        <v>-1.1578947368420387</v>
      </c>
      <c r="R5" s="91">
        <f t="shared" ref="R5:R11" si="5">O5/L5</f>
        <v>0.99035087719298298</v>
      </c>
      <c r="S5" s="659">
        <f>R17</f>
        <v>0.8507263513033344</v>
      </c>
      <c r="T5" s="92">
        <v>0.29166666666666669</v>
      </c>
      <c r="U5" s="92">
        <v>0.32916666666666666</v>
      </c>
      <c r="V5" s="65">
        <v>5</v>
      </c>
      <c r="W5" s="85">
        <f>(U5-T5)*24*60</f>
        <v>53.999999999999972</v>
      </c>
      <c r="X5" s="65"/>
      <c r="Y5" s="65"/>
      <c r="Z5" s="93"/>
      <c r="AA5" s="93"/>
      <c r="AB5" s="644"/>
      <c r="AC5" s="644"/>
      <c r="AD5" s="94"/>
      <c r="AE5" s="94"/>
      <c r="AF5" s="89">
        <f t="shared" ref="AF5:AF70" si="6">N5-K5</f>
        <v>-141.99999999999864</v>
      </c>
      <c r="AG5" s="91">
        <f t="shared" ref="AG5:AG70" si="7">N5/K5</f>
        <v>0.94083333333333385</v>
      </c>
      <c r="AH5" s="659">
        <f>AG17</f>
        <v>0.85756483315182852</v>
      </c>
    </row>
    <row r="6" spans="1:34" ht="18" customHeight="1">
      <c r="A6" s="693"/>
      <c r="B6" s="78" t="s">
        <v>246</v>
      </c>
      <c r="C6" s="79"/>
      <c r="D6" s="80" t="s">
        <v>109</v>
      </c>
      <c r="E6" s="81"/>
      <c r="F6" s="82">
        <v>31.266131815044861</v>
      </c>
      <c r="G6" s="83">
        <v>1083</v>
      </c>
      <c r="H6" s="84">
        <f t="shared" si="0"/>
        <v>33861.220755693583</v>
      </c>
      <c r="I6" s="85"/>
      <c r="J6" s="86">
        <v>18</v>
      </c>
      <c r="K6" s="83">
        <v>3000</v>
      </c>
      <c r="L6" s="87">
        <v>166.66666666666666</v>
      </c>
      <c r="M6" s="88">
        <v>19</v>
      </c>
      <c r="N6" s="83">
        <f t="shared" si="1"/>
        <v>2499.2307692307704</v>
      </c>
      <c r="O6" s="87">
        <f t="shared" si="2"/>
        <v>131.5384615384616</v>
      </c>
      <c r="P6" s="89">
        <f t="shared" si="3"/>
        <v>1</v>
      </c>
      <c r="Q6" s="90">
        <f t="shared" si="4"/>
        <v>-35.128205128205053</v>
      </c>
      <c r="R6" s="91">
        <f t="shared" si="5"/>
        <v>0.78923076923076962</v>
      </c>
      <c r="S6" s="659"/>
      <c r="T6" s="92">
        <v>0.33333333333333331</v>
      </c>
      <c r="U6" s="92">
        <v>0.35138888888888886</v>
      </c>
      <c r="V6" s="65">
        <v>6</v>
      </c>
      <c r="W6" s="85">
        <f t="shared" ref="W6:W17" si="8">(U6-T6)*24*60</f>
        <v>25.999999999999986</v>
      </c>
      <c r="X6" s="95"/>
      <c r="Y6" s="95"/>
      <c r="Z6" s="96"/>
      <c r="AA6" s="96"/>
      <c r="AB6" s="644"/>
      <c r="AC6" s="644"/>
      <c r="AD6" s="97"/>
      <c r="AE6" s="97"/>
      <c r="AF6" s="89">
        <f t="shared" si="6"/>
        <v>-500.76923076922958</v>
      </c>
      <c r="AG6" s="91">
        <f t="shared" si="7"/>
        <v>0.83307692307692349</v>
      </c>
      <c r="AH6" s="659"/>
    </row>
    <row r="7" spans="1:34" ht="18" customHeight="1">
      <c r="A7" s="693"/>
      <c r="B7" s="78" t="s">
        <v>246</v>
      </c>
      <c r="C7" s="79"/>
      <c r="D7" s="80" t="s">
        <v>110</v>
      </c>
      <c r="E7" s="81"/>
      <c r="F7" s="82">
        <v>38.630952380952372</v>
      </c>
      <c r="G7" s="83">
        <v>1757</v>
      </c>
      <c r="H7" s="84">
        <f t="shared" si="0"/>
        <v>67874.583333333314</v>
      </c>
      <c r="I7" s="85"/>
      <c r="J7" s="86">
        <v>18</v>
      </c>
      <c r="K7" s="83">
        <v>3000</v>
      </c>
      <c r="L7" s="87">
        <v>166.66666666666666</v>
      </c>
      <c r="M7" s="88">
        <v>19</v>
      </c>
      <c r="N7" s="83">
        <f t="shared" si="1"/>
        <v>2451.6279069767438</v>
      </c>
      <c r="O7" s="87">
        <f t="shared" si="2"/>
        <v>129.03304773561808</v>
      </c>
      <c r="P7" s="89">
        <f t="shared" si="3"/>
        <v>1</v>
      </c>
      <c r="Q7" s="90">
        <f t="shared" si="4"/>
        <v>-37.633618931048574</v>
      </c>
      <c r="R7" s="91">
        <f t="shared" si="5"/>
        <v>0.77419828641370858</v>
      </c>
      <c r="S7" s="659"/>
      <c r="T7" s="92">
        <v>0.36666666666666664</v>
      </c>
      <c r="U7" s="92">
        <v>0.39652777777777776</v>
      </c>
      <c r="V7" s="65">
        <v>22</v>
      </c>
      <c r="W7" s="85">
        <f t="shared" si="8"/>
        <v>43.000000000000007</v>
      </c>
      <c r="X7" s="95">
        <v>0.35486111111111113</v>
      </c>
      <c r="Y7" s="95">
        <v>0.36388888888888887</v>
      </c>
      <c r="Z7" s="96"/>
      <c r="AA7" s="96"/>
      <c r="AB7" s="644"/>
      <c r="AC7" s="644"/>
      <c r="AD7" s="97"/>
      <c r="AE7" s="97"/>
      <c r="AF7" s="89">
        <f t="shared" si="6"/>
        <v>-548.37209302325618</v>
      </c>
      <c r="AG7" s="91">
        <f t="shared" si="7"/>
        <v>0.81720930232558131</v>
      </c>
      <c r="AH7" s="659"/>
    </row>
    <row r="8" spans="1:34" ht="18" customHeight="1">
      <c r="A8" s="693"/>
      <c r="B8" s="78" t="s">
        <v>246</v>
      </c>
      <c r="C8" s="79"/>
      <c r="D8" s="80" t="s">
        <v>111</v>
      </c>
      <c r="E8" s="81"/>
      <c r="F8" s="82">
        <v>38</v>
      </c>
      <c r="G8" s="83">
        <v>2922</v>
      </c>
      <c r="H8" s="84">
        <f t="shared" si="0"/>
        <v>111036</v>
      </c>
      <c r="I8" s="85"/>
      <c r="J8" s="86">
        <v>19</v>
      </c>
      <c r="K8" s="83">
        <v>3000</v>
      </c>
      <c r="L8" s="87">
        <v>157.89473684210526</v>
      </c>
      <c r="M8" s="88">
        <v>19</v>
      </c>
      <c r="N8" s="83">
        <f t="shared" si="1"/>
        <v>2504.5714285714294</v>
      </c>
      <c r="O8" s="87">
        <f t="shared" si="2"/>
        <v>131.81954887218049</v>
      </c>
      <c r="P8" s="89">
        <f t="shared" si="3"/>
        <v>0</v>
      </c>
      <c r="Q8" s="90">
        <f t="shared" si="4"/>
        <v>-26.07518796992477</v>
      </c>
      <c r="R8" s="91">
        <f t="shared" si="5"/>
        <v>0.83485714285714308</v>
      </c>
      <c r="S8" s="659"/>
      <c r="T8" s="92">
        <v>0.40069444444444441</v>
      </c>
      <c r="U8" s="92">
        <v>0.44930555555555551</v>
      </c>
      <c r="V8" s="65">
        <v>6</v>
      </c>
      <c r="W8" s="85">
        <f t="shared" si="8"/>
        <v>69.999999999999986</v>
      </c>
      <c r="X8" s="95"/>
      <c r="Y8" s="95"/>
      <c r="Z8" s="96"/>
      <c r="AA8" s="96"/>
      <c r="AB8" s="644"/>
      <c r="AC8" s="644"/>
      <c r="AD8" s="97"/>
      <c r="AE8" s="97"/>
      <c r="AF8" s="89">
        <f t="shared" si="6"/>
        <v>-495.42857142857065</v>
      </c>
      <c r="AG8" s="91">
        <f t="shared" si="7"/>
        <v>0.83485714285714308</v>
      </c>
      <c r="AH8" s="659"/>
    </row>
    <row r="9" spans="1:34" ht="20" customHeight="1">
      <c r="A9" s="693"/>
      <c r="B9" s="78" t="s">
        <v>246</v>
      </c>
      <c r="C9" s="98"/>
      <c r="D9" s="80" t="s">
        <v>108</v>
      </c>
      <c r="E9" s="99"/>
      <c r="F9" s="82">
        <v>37.94</v>
      </c>
      <c r="G9" s="100">
        <v>225.8</v>
      </c>
      <c r="H9" s="84">
        <f t="shared" si="0"/>
        <v>8566.8520000000008</v>
      </c>
      <c r="I9" s="97">
        <v>2</v>
      </c>
      <c r="J9" s="86">
        <v>20</v>
      </c>
      <c r="K9" s="83">
        <v>2400</v>
      </c>
      <c r="L9" s="87">
        <v>120</v>
      </c>
      <c r="M9" s="88">
        <v>19</v>
      </c>
      <c r="N9" s="83">
        <f t="shared" si="1"/>
        <v>2258.0000000000082</v>
      </c>
      <c r="O9" s="87">
        <f t="shared" si="2"/>
        <v>118.84210526315833</v>
      </c>
      <c r="P9" s="89">
        <f t="shared" si="3"/>
        <v>-1</v>
      </c>
      <c r="Q9" s="90">
        <f t="shared" si="4"/>
        <v>-1.1578947368416692</v>
      </c>
      <c r="R9" s="91">
        <f t="shared" si="5"/>
        <v>0.99035087719298609</v>
      </c>
      <c r="S9" s="659"/>
      <c r="T9" s="92">
        <v>0.49097222222222214</v>
      </c>
      <c r="U9" s="92">
        <v>0.4951388888888888</v>
      </c>
      <c r="V9" s="65">
        <v>7</v>
      </c>
      <c r="W9" s="85">
        <f t="shared" si="8"/>
        <v>5.9999999999999787</v>
      </c>
      <c r="X9" s="95"/>
      <c r="Y9" s="95"/>
      <c r="Z9" s="96"/>
      <c r="AA9" s="96"/>
      <c r="AB9" s="644"/>
      <c r="AC9" s="644"/>
      <c r="AD9" s="97"/>
      <c r="AE9" s="97"/>
      <c r="AF9" s="89">
        <f t="shared" si="6"/>
        <v>-141.99999999999181</v>
      </c>
      <c r="AG9" s="91">
        <f t="shared" si="7"/>
        <v>0.94083333333333674</v>
      </c>
      <c r="AH9" s="659"/>
    </row>
    <row r="10" spans="1:34" ht="18" customHeight="1">
      <c r="A10" s="694"/>
      <c r="B10" s="78" t="s">
        <v>247</v>
      </c>
      <c r="C10" s="79"/>
      <c r="D10" s="80" t="s">
        <v>112</v>
      </c>
      <c r="E10" s="81"/>
      <c r="F10" s="82">
        <v>54.25</v>
      </c>
      <c r="G10" s="83">
        <v>703.5</v>
      </c>
      <c r="H10" s="84">
        <f t="shared" si="0"/>
        <v>38164.875</v>
      </c>
      <c r="I10" s="85">
        <v>2</v>
      </c>
      <c r="J10" s="86">
        <v>21</v>
      </c>
      <c r="K10" s="83">
        <v>1385</v>
      </c>
      <c r="L10" s="87">
        <v>65.952380952380949</v>
      </c>
      <c r="M10" s="88">
        <v>20</v>
      </c>
      <c r="N10" s="83">
        <f t="shared" si="1"/>
        <v>1140.8108108108099</v>
      </c>
      <c r="O10" s="87">
        <f t="shared" si="2"/>
        <v>57.040540540540498</v>
      </c>
      <c r="P10" s="89">
        <f t="shared" si="3"/>
        <v>-1</v>
      </c>
      <c r="Q10" s="90">
        <f t="shared" si="4"/>
        <v>-8.9118404118404513</v>
      </c>
      <c r="R10" s="91">
        <f t="shared" si="5"/>
        <v>0.86487462191433251</v>
      </c>
      <c r="S10" s="662"/>
      <c r="T10" s="92">
        <v>0.50069444444444433</v>
      </c>
      <c r="U10" s="92">
        <v>0.5263888888888888</v>
      </c>
      <c r="V10" s="65">
        <v>8</v>
      </c>
      <c r="W10" s="85">
        <f t="shared" si="8"/>
        <v>37.000000000000028</v>
      </c>
      <c r="X10" s="95"/>
      <c r="Y10" s="95"/>
      <c r="Z10" s="96"/>
      <c r="AA10" s="96"/>
      <c r="AB10" s="644"/>
      <c r="AC10" s="644"/>
      <c r="AD10" s="97"/>
      <c r="AE10" s="97"/>
      <c r="AF10" s="89">
        <f t="shared" si="6"/>
        <v>-244.18918918919007</v>
      </c>
      <c r="AG10" s="91">
        <f t="shared" si="7"/>
        <v>0.82369011610888798</v>
      </c>
      <c r="AH10" s="662"/>
    </row>
    <row r="11" spans="1:34" ht="18" customHeight="1">
      <c r="A11" s="694"/>
      <c r="B11" s="78" t="s">
        <v>248</v>
      </c>
      <c r="C11" s="79"/>
      <c r="D11" s="80" t="s">
        <v>113</v>
      </c>
      <c r="E11" s="81"/>
      <c r="F11" s="82">
        <v>38.39</v>
      </c>
      <c r="G11" s="83">
        <v>919</v>
      </c>
      <c r="H11" s="84">
        <f t="shared" si="0"/>
        <v>35280.410000000003</v>
      </c>
      <c r="I11" s="85">
        <v>2</v>
      </c>
      <c r="J11" s="86">
        <v>17</v>
      </c>
      <c r="K11" s="83">
        <v>1636</v>
      </c>
      <c r="L11" s="87">
        <v>96.235294117647058</v>
      </c>
      <c r="M11" s="88">
        <v>18</v>
      </c>
      <c r="N11" s="83">
        <f t="shared" si="1"/>
        <v>1312.8571428571424</v>
      </c>
      <c r="O11" s="87">
        <f t="shared" si="2"/>
        <v>72.936507936507908</v>
      </c>
      <c r="P11" s="89">
        <f t="shared" si="3"/>
        <v>1</v>
      </c>
      <c r="Q11" s="90">
        <f t="shared" si="4"/>
        <v>-23.29878618113915</v>
      </c>
      <c r="R11" s="91">
        <f t="shared" si="5"/>
        <v>0.75789769860674483</v>
      </c>
      <c r="S11" s="662"/>
      <c r="T11" s="92">
        <v>0.52986111111111101</v>
      </c>
      <c r="U11" s="92">
        <v>0.55902777777777768</v>
      </c>
      <c r="V11" s="65">
        <v>5</v>
      </c>
      <c r="W11" s="85">
        <f t="shared" si="8"/>
        <v>42.000000000000014</v>
      </c>
      <c r="X11" s="95"/>
      <c r="Y11" s="95"/>
      <c r="Z11" s="96"/>
      <c r="AA11" s="96"/>
      <c r="AB11" s="644"/>
      <c r="AC11" s="644"/>
      <c r="AD11" s="97"/>
      <c r="AE11" s="97"/>
      <c r="AF11" s="89">
        <f t="shared" si="6"/>
        <v>-323.14285714285757</v>
      </c>
      <c r="AG11" s="91">
        <f t="shared" si="7"/>
        <v>0.80247991617184744</v>
      </c>
      <c r="AH11" s="662"/>
    </row>
    <row r="12" spans="1:34" ht="18" customHeight="1">
      <c r="A12" s="694"/>
      <c r="B12" s="78">
        <v>0</v>
      </c>
      <c r="C12" s="79"/>
      <c r="D12" s="80"/>
      <c r="E12" s="81"/>
      <c r="F12" s="82" t="s">
        <v>253</v>
      </c>
      <c r="G12" s="83"/>
      <c r="H12" s="84">
        <f t="shared" si="0"/>
        <v>0</v>
      </c>
      <c r="I12" s="85"/>
      <c r="J12" s="86"/>
      <c r="K12" s="83"/>
      <c r="L12" s="87"/>
      <c r="M12" s="88"/>
      <c r="N12" s="83"/>
      <c r="O12" s="87"/>
      <c r="P12" s="89"/>
      <c r="Q12" s="90"/>
      <c r="R12" s="91"/>
      <c r="S12" s="662"/>
      <c r="T12" s="92"/>
      <c r="U12" s="92"/>
      <c r="V12" s="65"/>
      <c r="W12" s="85"/>
      <c r="X12" s="95"/>
      <c r="Y12" s="95"/>
      <c r="Z12" s="96"/>
      <c r="AA12" s="96"/>
      <c r="AB12" s="644"/>
      <c r="AC12" s="644"/>
      <c r="AD12" s="97"/>
      <c r="AE12" s="97"/>
      <c r="AF12" s="89"/>
      <c r="AG12" s="91"/>
      <c r="AH12" s="662"/>
    </row>
    <row r="13" spans="1:34" ht="18" customHeight="1">
      <c r="A13" s="694"/>
      <c r="B13" s="78">
        <v>0</v>
      </c>
      <c r="C13" s="101"/>
      <c r="D13" s="102"/>
      <c r="E13" s="103"/>
      <c r="F13" s="82" t="s">
        <v>253</v>
      </c>
      <c r="G13" s="104"/>
      <c r="H13" s="84">
        <f t="shared" si="0"/>
        <v>0</v>
      </c>
      <c r="I13" s="105"/>
      <c r="J13" s="86"/>
      <c r="K13" s="83"/>
      <c r="L13" s="87"/>
      <c r="M13" s="106"/>
      <c r="N13" s="83"/>
      <c r="O13" s="87"/>
      <c r="P13" s="89"/>
      <c r="Q13" s="90"/>
      <c r="R13" s="91"/>
      <c r="S13" s="662"/>
      <c r="T13" s="107"/>
      <c r="U13" s="107"/>
      <c r="V13" s="105"/>
      <c r="W13" s="85">
        <f t="shared" si="8"/>
        <v>0</v>
      </c>
      <c r="X13" s="108"/>
      <c r="Y13" s="108"/>
      <c r="Z13" s="96"/>
      <c r="AA13" s="96"/>
      <c r="AB13" s="641"/>
      <c r="AC13" s="642"/>
      <c r="AD13" s="97"/>
      <c r="AE13" s="97"/>
      <c r="AF13" s="118"/>
      <c r="AG13" s="125"/>
      <c r="AH13" s="662"/>
    </row>
    <row r="14" spans="1:34" ht="18" customHeight="1">
      <c r="A14" s="694"/>
      <c r="B14" s="78">
        <v>0</v>
      </c>
      <c r="C14" s="109"/>
      <c r="D14" s="80"/>
      <c r="E14" s="81"/>
      <c r="F14" s="82" t="s">
        <v>253</v>
      </c>
      <c r="G14" s="104"/>
      <c r="H14" s="84">
        <f t="shared" si="0"/>
        <v>0</v>
      </c>
      <c r="I14" s="105"/>
      <c r="J14" s="86"/>
      <c r="K14" s="83"/>
      <c r="L14" s="87"/>
      <c r="M14" s="106"/>
      <c r="N14" s="83"/>
      <c r="O14" s="87"/>
      <c r="P14" s="89"/>
      <c r="Q14" s="90"/>
      <c r="R14" s="91"/>
      <c r="S14" s="662"/>
      <c r="T14" s="107"/>
      <c r="U14" s="107"/>
      <c r="V14" s="105"/>
      <c r="W14" s="85">
        <f t="shared" si="8"/>
        <v>0</v>
      </c>
      <c r="X14" s="108"/>
      <c r="Y14" s="108"/>
      <c r="Z14" s="96"/>
      <c r="AA14" s="96"/>
      <c r="AB14" s="641"/>
      <c r="AC14" s="642"/>
      <c r="AD14" s="97"/>
      <c r="AE14" s="97"/>
      <c r="AF14" s="118"/>
      <c r="AG14" s="125"/>
      <c r="AH14" s="662"/>
    </row>
    <row r="15" spans="1:34" ht="18" customHeight="1">
      <c r="A15" s="694"/>
      <c r="B15" s="110">
        <v>0</v>
      </c>
      <c r="C15" s="101"/>
      <c r="D15" s="102"/>
      <c r="E15" s="103"/>
      <c r="F15" s="82" t="s">
        <v>253</v>
      </c>
      <c r="G15" s="104"/>
      <c r="H15" s="84">
        <f t="shared" si="0"/>
        <v>0</v>
      </c>
      <c r="I15" s="105"/>
      <c r="J15" s="86"/>
      <c r="K15" s="83"/>
      <c r="L15" s="87"/>
      <c r="M15" s="106"/>
      <c r="N15" s="111"/>
      <c r="O15" s="87"/>
      <c r="P15" s="89"/>
      <c r="Q15" s="90"/>
      <c r="R15" s="91"/>
      <c r="S15" s="662"/>
      <c r="T15" s="107"/>
      <c r="U15" s="107"/>
      <c r="V15" s="105"/>
      <c r="W15" s="85">
        <f t="shared" si="8"/>
        <v>0</v>
      </c>
      <c r="X15" s="108"/>
      <c r="Y15" s="108"/>
      <c r="Z15" s="96"/>
      <c r="AA15" s="96"/>
      <c r="AB15" s="641"/>
      <c r="AC15" s="642"/>
      <c r="AD15" s="97"/>
      <c r="AE15" s="97"/>
      <c r="AF15" s="118"/>
      <c r="AG15" s="125"/>
      <c r="AH15" s="662"/>
    </row>
    <row r="16" spans="1:34" ht="18" customHeight="1">
      <c r="A16" s="694"/>
      <c r="B16" s="110">
        <v>0</v>
      </c>
      <c r="C16" s="101"/>
      <c r="D16" s="102"/>
      <c r="E16" s="103"/>
      <c r="F16" s="82" t="s">
        <v>253</v>
      </c>
      <c r="G16" s="104"/>
      <c r="H16" s="84">
        <f t="shared" si="0"/>
        <v>0</v>
      </c>
      <c r="I16" s="105"/>
      <c r="J16" s="86"/>
      <c r="K16" s="83"/>
      <c r="L16" s="87"/>
      <c r="M16" s="106"/>
      <c r="N16" s="111"/>
      <c r="O16" s="87"/>
      <c r="P16" s="89"/>
      <c r="Q16" s="90"/>
      <c r="R16" s="91"/>
      <c r="S16" s="662"/>
      <c r="T16" s="107"/>
      <c r="U16" s="107"/>
      <c r="V16" s="105"/>
      <c r="W16" s="85">
        <f t="shared" si="8"/>
        <v>0</v>
      </c>
      <c r="X16" s="108"/>
      <c r="Y16" s="108"/>
      <c r="Z16" s="96"/>
      <c r="AA16" s="96"/>
      <c r="AB16" s="641"/>
      <c r="AC16" s="642"/>
      <c r="AD16" s="97"/>
      <c r="AE16" s="97"/>
      <c r="AF16" s="118"/>
      <c r="AG16" s="125"/>
      <c r="AH16" s="662"/>
    </row>
    <row r="17" spans="1:34" ht="18" customHeight="1">
      <c r="A17" s="694"/>
      <c r="B17" s="112">
        <v>0</v>
      </c>
      <c r="C17" s="112" t="s">
        <v>13</v>
      </c>
      <c r="D17" s="635" t="s">
        <v>220</v>
      </c>
      <c r="E17" s="635"/>
      <c r="F17" s="113"/>
      <c r="G17" s="114"/>
      <c r="H17" s="115"/>
      <c r="I17" s="116"/>
      <c r="J17" s="114">
        <v>19</v>
      </c>
      <c r="K17" s="114">
        <v>2403</v>
      </c>
      <c r="L17" s="117">
        <v>127.63082074935235</v>
      </c>
      <c r="M17" s="114">
        <f t="shared" ref="M17:O17" si="9">AVERAGE(M5:M16)</f>
        <v>19</v>
      </c>
      <c r="N17" s="114">
        <f t="shared" si="9"/>
        <v>2060.7282940638438</v>
      </c>
      <c r="O17" s="117">
        <f t="shared" si="9"/>
        <v>108.57890244994643</v>
      </c>
      <c r="P17" s="118">
        <f t="shared" ref="P17:P22" si="10">M17-J17</f>
        <v>0</v>
      </c>
      <c r="Q17" s="119">
        <f t="shared" ref="Q17:Q22" si="11">O17-L17</f>
        <v>-19.051918299405926</v>
      </c>
      <c r="R17" s="120">
        <f>O17/L17</f>
        <v>0.8507263513033344</v>
      </c>
      <c r="S17" s="662"/>
      <c r="T17" s="107"/>
      <c r="U17" s="107"/>
      <c r="V17" s="105"/>
      <c r="W17" s="121">
        <f t="shared" si="8"/>
        <v>0</v>
      </c>
      <c r="X17" s="122"/>
      <c r="Y17" s="122"/>
      <c r="Z17" s="123">
        <f>SUM(Z5:Z16)</f>
        <v>0</v>
      </c>
      <c r="AA17" s="123">
        <f>SUM(AA5:AA16)</f>
        <v>0</v>
      </c>
      <c r="AB17" s="637"/>
      <c r="AC17" s="637"/>
      <c r="AD17" s="124">
        <f>SUM(AD5:AD16)</f>
        <v>0</v>
      </c>
      <c r="AE17" s="124">
        <f>SUM(AE5:AE16)</f>
        <v>0</v>
      </c>
      <c r="AF17" s="118">
        <f t="shared" si="6"/>
        <v>-342.2717059361562</v>
      </c>
      <c r="AG17" s="125">
        <f t="shared" si="7"/>
        <v>0.85756483315182852</v>
      </c>
      <c r="AH17" s="662"/>
    </row>
    <row r="18" spans="1:34" ht="18" customHeight="1">
      <c r="A18" s="631" t="s">
        <v>221</v>
      </c>
      <c r="B18" s="346" t="s">
        <v>246</v>
      </c>
      <c r="C18" s="127"/>
      <c r="D18" s="168" t="s">
        <v>115</v>
      </c>
      <c r="E18" s="169"/>
      <c r="F18" s="347">
        <v>36.86</v>
      </c>
      <c r="G18" s="100">
        <v>951</v>
      </c>
      <c r="H18" s="129">
        <f t="shared" ref="H18:H29" si="12">F18*G18</f>
        <v>35053.86</v>
      </c>
      <c r="I18" s="97"/>
      <c r="J18" s="348">
        <v>20</v>
      </c>
      <c r="K18" s="100">
        <v>2250</v>
      </c>
      <c r="L18" s="131">
        <v>112.5</v>
      </c>
      <c r="M18" s="130">
        <v>20</v>
      </c>
      <c r="N18" s="100">
        <f t="shared" ref="N18:N22" si="13">G18/W18*60</f>
        <v>1967.5862068965507</v>
      </c>
      <c r="O18" s="131">
        <f t="shared" ref="O18:O22" si="14">N18/M18</f>
        <v>98.37931034482753</v>
      </c>
      <c r="P18" s="96">
        <f t="shared" si="10"/>
        <v>0</v>
      </c>
      <c r="Q18" s="132">
        <f t="shared" si="11"/>
        <v>-14.12068965517247</v>
      </c>
      <c r="R18" s="133">
        <f t="shared" ref="R18:R22" si="15">O18/L18</f>
        <v>0.87448275862068914</v>
      </c>
      <c r="S18" s="632">
        <f>R30</f>
        <v>0.83984354072572542</v>
      </c>
      <c r="T18" s="134">
        <v>0.16666666666666666</v>
      </c>
      <c r="U18" s="134">
        <v>0.18680555555555556</v>
      </c>
      <c r="V18" s="97">
        <v>5</v>
      </c>
      <c r="W18" s="135">
        <f>(U18-T18)*24*60</f>
        <v>29.000000000000018</v>
      </c>
      <c r="X18" s="131"/>
      <c r="Y18" s="131"/>
      <c r="Z18" s="96"/>
      <c r="AA18" s="96"/>
      <c r="AB18" s="664"/>
      <c r="AC18" s="707"/>
      <c r="AD18" s="97"/>
      <c r="AE18" s="97"/>
      <c r="AF18" s="349">
        <f t="shared" si="6"/>
        <v>-282.41379310344928</v>
      </c>
      <c r="AG18" s="350">
        <f t="shared" si="7"/>
        <v>0.87448275862068925</v>
      </c>
      <c r="AH18" s="708">
        <f>AG30</f>
        <v>0.84120653321490713</v>
      </c>
    </row>
    <row r="19" spans="1:34" ht="18" customHeight="1">
      <c r="A19" s="631"/>
      <c r="B19" s="351" t="s">
        <v>248</v>
      </c>
      <c r="C19" s="219"/>
      <c r="D19" s="168" t="s">
        <v>116</v>
      </c>
      <c r="E19" s="169"/>
      <c r="F19" s="82">
        <v>56.43</v>
      </c>
      <c r="G19" s="100">
        <v>2043</v>
      </c>
      <c r="H19" s="129">
        <f t="shared" si="12"/>
        <v>115286.49</v>
      </c>
      <c r="I19" s="97"/>
      <c r="J19" s="352">
        <v>18</v>
      </c>
      <c r="K19" s="83">
        <v>1500</v>
      </c>
      <c r="L19" s="87">
        <v>83.333333333333329</v>
      </c>
      <c r="M19" s="130">
        <v>18</v>
      </c>
      <c r="N19" s="151">
        <f t="shared" si="13"/>
        <v>1318.0645161290324</v>
      </c>
      <c r="O19" s="154">
        <f t="shared" si="14"/>
        <v>73.225806451612911</v>
      </c>
      <c r="P19" s="96">
        <f t="shared" si="10"/>
        <v>0</v>
      </c>
      <c r="Q19" s="132">
        <f t="shared" si="11"/>
        <v>-10.107526881720418</v>
      </c>
      <c r="R19" s="133">
        <f t="shared" si="15"/>
        <v>0.87870967741935502</v>
      </c>
      <c r="S19" s="632"/>
      <c r="T19" s="134">
        <v>0.20208333333333334</v>
      </c>
      <c r="U19" s="134">
        <v>0.26666666666666666</v>
      </c>
      <c r="V19" s="97">
        <v>22</v>
      </c>
      <c r="W19" s="135">
        <f>(U19-T19)*24*60</f>
        <v>92.999999999999986</v>
      </c>
      <c r="X19" s="136">
        <v>0.19027777777777777</v>
      </c>
      <c r="Y19" s="136">
        <v>0.19930555555555554</v>
      </c>
      <c r="Z19" s="96"/>
      <c r="AA19" s="96"/>
      <c r="AB19" s="642"/>
      <c r="AC19" s="644"/>
      <c r="AD19" s="97"/>
      <c r="AE19" s="97"/>
      <c r="AF19" s="89">
        <f t="shared" si="6"/>
        <v>-181.93548387096757</v>
      </c>
      <c r="AG19" s="91">
        <f t="shared" si="7"/>
        <v>0.87870967741935491</v>
      </c>
      <c r="AH19" s="709"/>
    </row>
    <row r="20" spans="1:34" ht="18" customHeight="1">
      <c r="A20" s="631"/>
      <c r="B20" s="351" t="s">
        <v>248</v>
      </c>
      <c r="C20" s="98"/>
      <c r="D20" s="80" t="s">
        <v>113</v>
      </c>
      <c r="E20" s="169"/>
      <c r="F20" s="82">
        <v>38.39</v>
      </c>
      <c r="G20" s="100">
        <v>2757</v>
      </c>
      <c r="H20" s="129">
        <f t="shared" si="12"/>
        <v>105841.23</v>
      </c>
      <c r="I20" s="97"/>
      <c r="J20" s="352">
        <v>17</v>
      </c>
      <c r="K20" s="83">
        <v>1636</v>
      </c>
      <c r="L20" s="87">
        <v>96.235294117647058</v>
      </c>
      <c r="M20" s="130">
        <v>18</v>
      </c>
      <c r="N20" s="151">
        <f t="shared" si="13"/>
        <v>1312.8571428571427</v>
      </c>
      <c r="O20" s="154">
        <f t="shared" si="14"/>
        <v>72.936507936507923</v>
      </c>
      <c r="P20" s="96">
        <f t="shared" si="10"/>
        <v>1</v>
      </c>
      <c r="Q20" s="132">
        <f t="shared" si="11"/>
        <v>-23.298786181139135</v>
      </c>
      <c r="R20" s="133">
        <f t="shared" si="15"/>
        <v>0.75789769860674494</v>
      </c>
      <c r="S20" s="632"/>
      <c r="T20" s="134">
        <v>0.28125</v>
      </c>
      <c r="U20" s="134">
        <v>0.36875000000000002</v>
      </c>
      <c r="V20" s="97">
        <v>21</v>
      </c>
      <c r="W20" s="135">
        <f t="shared" ref="W20:W29" si="16">(U20-T20)*24*60</f>
        <v>126.00000000000003</v>
      </c>
      <c r="X20" s="136">
        <v>0.27013888888888887</v>
      </c>
      <c r="Y20" s="136">
        <v>0.27847222222222223</v>
      </c>
      <c r="Z20" s="96"/>
      <c r="AA20" s="96"/>
      <c r="AB20" s="642"/>
      <c r="AC20" s="644"/>
      <c r="AD20" s="97"/>
      <c r="AE20" s="97"/>
      <c r="AF20" s="89">
        <f t="shared" si="6"/>
        <v>-323.14285714285734</v>
      </c>
      <c r="AG20" s="91">
        <f t="shared" si="7"/>
        <v>0.80247991617184755</v>
      </c>
      <c r="AH20" s="709"/>
    </row>
    <row r="21" spans="1:34" ht="18" customHeight="1">
      <c r="A21" s="631"/>
      <c r="B21" s="351" t="s">
        <v>247</v>
      </c>
      <c r="C21" s="176"/>
      <c r="D21" s="165" t="s">
        <v>117</v>
      </c>
      <c r="E21" s="81"/>
      <c r="F21" s="82">
        <v>43.14</v>
      </c>
      <c r="G21" s="83">
        <v>459</v>
      </c>
      <c r="H21" s="129">
        <f t="shared" si="12"/>
        <v>19801.260000000002</v>
      </c>
      <c r="I21" s="65"/>
      <c r="J21" s="352">
        <v>17</v>
      </c>
      <c r="K21" s="83">
        <v>1440</v>
      </c>
      <c r="L21" s="87">
        <v>84.705882352941174</v>
      </c>
      <c r="M21" s="88">
        <v>17</v>
      </c>
      <c r="N21" s="151">
        <f t="shared" si="13"/>
        <v>1101.6000000000004</v>
      </c>
      <c r="O21" s="154">
        <f t="shared" si="14"/>
        <v>64.800000000000026</v>
      </c>
      <c r="P21" s="96">
        <f t="shared" si="10"/>
        <v>0</v>
      </c>
      <c r="Q21" s="132">
        <f t="shared" si="11"/>
        <v>-19.905882352941148</v>
      </c>
      <c r="R21" s="133">
        <f t="shared" si="15"/>
        <v>0.76500000000000035</v>
      </c>
      <c r="S21" s="632"/>
      <c r="T21" s="134">
        <v>0.40902777777777777</v>
      </c>
      <c r="U21" s="134">
        <v>0.42638888888888887</v>
      </c>
      <c r="V21" s="97">
        <v>5</v>
      </c>
      <c r="W21" s="135">
        <f t="shared" si="16"/>
        <v>24.999999999999993</v>
      </c>
      <c r="X21" s="136"/>
      <c r="Y21" s="136"/>
      <c r="Z21" s="96"/>
      <c r="AA21" s="96"/>
      <c r="AB21" s="642"/>
      <c r="AC21" s="644"/>
      <c r="AD21" s="97"/>
      <c r="AE21" s="97"/>
      <c r="AF21" s="89">
        <f t="shared" si="6"/>
        <v>-338.39999999999964</v>
      </c>
      <c r="AG21" s="91">
        <f t="shared" si="7"/>
        <v>0.76500000000000024</v>
      </c>
      <c r="AH21" s="710"/>
    </row>
    <row r="22" spans="1:34" ht="18" customHeight="1">
      <c r="A22" s="631"/>
      <c r="B22" s="351" t="s">
        <v>248</v>
      </c>
      <c r="C22" s="176"/>
      <c r="D22" s="80" t="s">
        <v>118</v>
      </c>
      <c r="E22" s="81"/>
      <c r="F22" s="82">
        <v>44.3</v>
      </c>
      <c r="G22" s="83">
        <v>1560</v>
      </c>
      <c r="H22" s="129">
        <f t="shared" si="12"/>
        <v>69108</v>
      </c>
      <c r="I22" s="65"/>
      <c r="J22" s="352">
        <v>18</v>
      </c>
      <c r="K22" s="83">
        <v>1636</v>
      </c>
      <c r="L22" s="87">
        <v>90.888888888888886</v>
      </c>
      <c r="M22" s="130">
        <v>17</v>
      </c>
      <c r="N22" s="151">
        <f t="shared" si="13"/>
        <v>1418.1818181818182</v>
      </c>
      <c r="O22" s="154">
        <f t="shared" si="14"/>
        <v>83.422459893048128</v>
      </c>
      <c r="P22" s="96">
        <f t="shared" si="10"/>
        <v>-1</v>
      </c>
      <c r="Q22" s="132">
        <f t="shared" si="11"/>
        <v>-7.4664289958407579</v>
      </c>
      <c r="R22" s="133">
        <f t="shared" si="15"/>
        <v>0.91785102571813348</v>
      </c>
      <c r="S22" s="632"/>
      <c r="T22" s="134">
        <v>0.43194444444444441</v>
      </c>
      <c r="U22" s="134">
        <v>0.47777777777777775</v>
      </c>
      <c r="V22" s="97">
        <v>8</v>
      </c>
      <c r="W22" s="135">
        <f t="shared" si="16"/>
        <v>66</v>
      </c>
      <c r="X22" s="136"/>
      <c r="Y22" s="136"/>
      <c r="Z22" s="96"/>
      <c r="AA22" s="96"/>
      <c r="AB22" s="642"/>
      <c r="AC22" s="644"/>
      <c r="AD22" s="97"/>
      <c r="AE22" s="97"/>
      <c r="AF22" s="89">
        <f t="shared" si="6"/>
        <v>-217.81818181818176</v>
      </c>
      <c r="AG22" s="91">
        <f t="shared" si="7"/>
        <v>0.86685930206712603</v>
      </c>
      <c r="AH22" s="710"/>
    </row>
    <row r="23" spans="1:34" ht="18" customHeight="1">
      <c r="A23" s="631"/>
      <c r="B23" s="351">
        <v>0</v>
      </c>
      <c r="C23" s="176"/>
      <c r="D23" s="80"/>
      <c r="E23" s="81"/>
      <c r="F23" s="82" t="s">
        <v>253</v>
      </c>
      <c r="G23" s="83"/>
      <c r="H23" s="129">
        <f t="shared" si="12"/>
        <v>0</v>
      </c>
      <c r="I23" s="65"/>
      <c r="J23" s="352"/>
      <c r="K23" s="83"/>
      <c r="L23" s="87"/>
      <c r="M23" s="130"/>
      <c r="N23" s="151"/>
      <c r="O23" s="154"/>
      <c r="P23" s="96"/>
      <c r="Q23" s="132"/>
      <c r="R23" s="133"/>
      <c r="S23" s="632"/>
      <c r="T23" s="134"/>
      <c r="U23" s="134"/>
      <c r="V23" s="97"/>
      <c r="W23" s="135"/>
      <c r="X23" s="136"/>
      <c r="Y23" s="136"/>
      <c r="Z23" s="96"/>
      <c r="AA23" s="96"/>
      <c r="AB23" s="642"/>
      <c r="AC23" s="644"/>
      <c r="AD23" s="97"/>
      <c r="AE23" s="97"/>
      <c r="AF23" s="89"/>
      <c r="AG23" s="91"/>
      <c r="AH23" s="710"/>
    </row>
    <row r="24" spans="1:34" ht="18" customHeight="1">
      <c r="A24" s="631"/>
      <c r="B24" s="351">
        <v>0</v>
      </c>
      <c r="C24" s="127"/>
      <c r="D24" s="168"/>
      <c r="E24" s="169"/>
      <c r="F24" s="82" t="s">
        <v>253</v>
      </c>
      <c r="G24" s="100"/>
      <c r="H24" s="129">
        <f t="shared" si="12"/>
        <v>0</v>
      </c>
      <c r="I24" s="135"/>
      <c r="J24" s="352"/>
      <c r="K24" s="83"/>
      <c r="L24" s="87"/>
      <c r="M24" s="130"/>
      <c r="N24" s="151"/>
      <c r="O24" s="154"/>
      <c r="P24" s="96"/>
      <c r="Q24" s="132"/>
      <c r="R24" s="133"/>
      <c r="S24" s="632"/>
      <c r="T24" s="134"/>
      <c r="U24" s="134"/>
      <c r="V24" s="97"/>
      <c r="W24" s="135"/>
      <c r="X24" s="97"/>
      <c r="Y24" s="97"/>
      <c r="Z24" s="96"/>
      <c r="AA24" s="96"/>
      <c r="AB24" s="642"/>
      <c r="AC24" s="644"/>
      <c r="AD24" s="97"/>
      <c r="AE24" s="97"/>
      <c r="AF24" s="89">
        <f t="shared" si="6"/>
        <v>0</v>
      </c>
      <c r="AG24" s="91"/>
      <c r="AH24" s="710"/>
    </row>
    <row r="25" spans="1:34" ht="18" customHeight="1">
      <c r="A25" s="631"/>
      <c r="B25" s="351">
        <v>0</v>
      </c>
      <c r="C25" s="127"/>
      <c r="D25" s="168"/>
      <c r="E25" s="169"/>
      <c r="F25" s="82" t="s">
        <v>253</v>
      </c>
      <c r="G25" s="100"/>
      <c r="H25" s="129"/>
      <c r="I25" s="135"/>
      <c r="J25" s="130"/>
      <c r="K25" s="100"/>
      <c r="L25" s="131"/>
      <c r="M25" s="130"/>
      <c r="N25" s="100"/>
      <c r="O25" s="131"/>
      <c r="P25" s="96"/>
      <c r="Q25" s="132"/>
      <c r="R25" s="133"/>
      <c r="S25" s="632"/>
      <c r="T25" s="134"/>
      <c r="U25" s="134"/>
      <c r="V25" s="97"/>
      <c r="W25" s="135">
        <f t="shared" si="16"/>
        <v>0</v>
      </c>
      <c r="X25" s="97"/>
      <c r="Y25" s="97"/>
      <c r="Z25" s="96"/>
      <c r="AA25" s="96"/>
      <c r="AB25" s="642"/>
      <c r="AC25" s="644"/>
      <c r="AD25" s="97"/>
      <c r="AE25" s="97"/>
      <c r="AF25" s="89">
        <f t="shared" si="6"/>
        <v>0</v>
      </c>
      <c r="AG25" s="91"/>
      <c r="AH25" s="710"/>
    </row>
    <row r="26" spans="1:34" ht="18" customHeight="1">
      <c r="A26" s="631"/>
      <c r="B26" s="351">
        <v>0</v>
      </c>
      <c r="C26" s="127"/>
      <c r="D26" s="168"/>
      <c r="E26" s="169"/>
      <c r="F26" s="82" t="s">
        <v>253</v>
      </c>
      <c r="G26" s="100"/>
      <c r="H26" s="84"/>
      <c r="I26" s="135"/>
      <c r="J26" s="130"/>
      <c r="K26" s="100"/>
      <c r="L26" s="131"/>
      <c r="M26" s="130"/>
      <c r="N26" s="100"/>
      <c r="O26" s="131"/>
      <c r="P26" s="96"/>
      <c r="Q26" s="132"/>
      <c r="R26" s="133"/>
      <c r="S26" s="632"/>
      <c r="T26" s="134"/>
      <c r="U26" s="134"/>
      <c r="V26" s="97"/>
      <c r="W26" s="135">
        <f t="shared" si="16"/>
        <v>0</v>
      </c>
      <c r="X26" s="97"/>
      <c r="Y26" s="97"/>
      <c r="Z26" s="96"/>
      <c r="AA26" s="96"/>
      <c r="AB26" s="642"/>
      <c r="AC26" s="644"/>
      <c r="AD26" s="97"/>
      <c r="AE26" s="97"/>
      <c r="AF26" s="89">
        <f t="shared" si="6"/>
        <v>0</v>
      </c>
      <c r="AG26" s="91"/>
      <c r="AH26" s="710"/>
    </row>
    <row r="27" spans="1:34" ht="18" customHeight="1">
      <c r="A27" s="631"/>
      <c r="B27" s="346">
        <v>0</v>
      </c>
      <c r="C27" s="127"/>
      <c r="D27" s="168"/>
      <c r="E27" s="169"/>
      <c r="F27" s="128" t="s">
        <v>253</v>
      </c>
      <c r="G27" s="100"/>
      <c r="H27" s="129">
        <f t="shared" si="12"/>
        <v>0</v>
      </c>
      <c r="I27" s="135"/>
      <c r="J27" s="130"/>
      <c r="K27" s="100"/>
      <c r="L27" s="131"/>
      <c r="M27" s="130"/>
      <c r="N27" s="100"/>
      <c r="O27" s="131"/>
      <c r="P27" s="96"/>
      <c r="Q27" s="132"/>
      <c r="R27" s="133"/>
      <c r="S27" s="632"/>
      <c r="T27" s="134"/>
      <c r="U27" s="134"/>
      <c r="V27" s="97"/>
      <c r="W27" s="135">
        <f t="shared" si="16"/>
        <v>0</v>
      </c>
      <c r="X27" s="97"/>
      <c r="Y27" s="97"/>
      <c r="Z27" s="96"/>
      <c r="AA27" s="96"/>
      <c r="AB27" s="642"/>
      <c r="AC27" s="644"/>
      <c r="AD27" s="97"/>
      <c r="AE27" s="97"/>
      <c r="AF27" s="89">
        <f t="shared" si="6"/>
        <v>0</v>
      </c>
      <c r="AG27" s="91"/>
      <c r="AH27" s="710"/>
    </row>
    <row r="28" spans="1:34" ht="18" customHeight="1">
      <c r="A28" s="631"/>
      <c r="B28" s="346">
        <v>0</v>
      </c>
      <c r="C28" s="127"/>
      <c r="D28" s="168"/>
      <c r="E28" s="169"/>
      <c r="F28" s="128" t="s">
        <v>253</v>
      </c>
      <c r="G28" s="100"/>
      <c r="H28" s="129">
        <f t="shared" si="12"/>
        <v>0</v>
      </c>
      <c r="I28" s="135"/>
      <c r="J28" s="130"/>
      <c r="K28" s="100"/>
      <c r="L28" s="131"/>
      <c r="M28" s="130"/>
      <c r="N28" s="100"/>
      <c r="O28" s="131"/>
      <c r="P28" s="96"/>
      <c r="Q28" s="132"/>
      <c r="R28" s="133"/>
      <c r="S28" s="632"/>
      <c r="T28" s="134"/>
      <c r="U28" s="134"/>
      <c r="V28" s="97"/>
      <c r="W28" s="135">
        <f t="shared" si="16"/>
        <v>0</v>
      </c>
      <c r="X28" s="97"/>
      <c r="Y28" s="97"/>
      <c r="Z28" s="96"/>
      <c r="AA28" s="96"/>
      <c r="AB28" s="642"/>
      <c r="AC28" s="644"/>
      <c r="AD28" s="97"/>
      <c r="AE28" s="97"/>
      <c r="AF28" s="89">
        <f t="shared" si="6"/>
        <v>0</v>
      </c>
      <c r="AG28" s="91"/>
      <c r="AH28" s="710"/>
    </row>
    <row r="29" spans="1:34" ht="18" customHeight="1">
      <c r="A29" s="631"/>
      <c r="B29" s="346">
        <v>0</v>
      </c>
      <c r="C29" s="127"/>
      <c r="D29" s="168"/>
      <c r="E29" s="169"/>
      <c r="F29" s="128" t="s">
        <v>253</v>
      </c>
      <c r="G29" s="100"/>
      <c r="H29" s="129">
        <f t="shared" si="12"/>
        <v>0</v>
      </c>
      <c r="I29" s="135"/>
      <c r="J29" s="130"/>
      <c r="K29" s="100"/>
      <c r="L29" s="131"/>
      <c r="M29" s="130"/>
      <c r="N29" s="100"/>
      <c r="O29" s="131"/>
      <c r="P29" s="96"/>
      <c r="Q29" s="132"/>
      <c r="R29" s="133"/>
      <c r="S29" s="632"/>
      <c r="T29" s="134"/>
      <c r="U29" s="134"/>
      <c r="V29" s="97"/>
      <c r="W29" s="135">
        <f t="shared" si="16"/>
        <v>0</v>
      </c>
      <c r="X29" s="97"/>
      <c r="Y29" s="97"/>
      <c r="Z29" s="96"/>
      <c r="AA29" s="96"/>
      <c r="AB29" s="642"/>
      <c r="AC29" s="644"/>
      <c r="AD29" s="97"/>
      <c r="AE29" s="97"/>
      <c r="AF29" s="89">
        <f t="shared" si="6"/>
        <v>0</v>
      </c>
      <c r="AG29" s="91"/>
      <c r="AH29" s="710"/>
    </row>
    <row r="30" spans="1:34" ht="18" customHeight="1">
      <c r="A30" s="631"/>
      <c r="B30" s="353">
        <v>0</v>
      </c>
      <c r="C30" s="138" t="s">
        <v>222</v>
      </c>
      <c r="D30" s="685" t="s">
        <v>220</v>
      </c>
      <c r="E30" s="685"/>
      <c r="F30" s="139"/>
      <c r="G30" s="140"/>
      <c r="H30" s="141"/>
      <c r="I30" s="142"/>
      <c r="J30" s="140">
        <v>18</v>
      </c>
      <c r="K30" s="140">
        <v>1692.4</v>
      </c>
      <c r="L30" s="143">
        <v>93.532679738562095</v>
      </c>
      <c r="M30" s="140">
        <f t="shared" ref="M30:O30" si="17">AVERAGE(M18:M29)</f>
        <v>18</v>
      </c>
      <c r="N30" s="140">
        <f t="shared" si="17"/>
        <v>1423.6579368129089</v>
      </c>
      <c r="O30" s="143">
        <f t="shared" si="17"/>
        <v>78.552816925199309</v>
      </c>
      <c r="P30" s="96">
        <f t="shared" ref="P30:P37" si="18">M30-J30</f>
        <v>0</v>
      </c>
      <c r="Q30" s="132">
        <f t="shared" ref="Q30:Q37" si="19">O30-L30</f>
        <v>-14.979862813362786</v>
      </c>
      <c r="R30" s="144">
        <f t="shared" ref="R30:R37" si="20">O30/L30</f>
        <v>0.83984354072572542</v>
      </c>
      <c r="S30" s="632"/>
      <c r="T30" s="134"/>
      <c r="U30" s="134"/>
      <c r="V30" s="100"/>
      <c r="W30" s="100"/>
      <c r="X30" s="131"/>
      <c r="Y30" s="131"/>
      <c r="Z30" s="145">
        <f>SUM(Z18:Z29)</f>
        <v>0</v>
      </c>
      <c r="AA30" s="145">
        <f>SUM(AA18:AA29)</f>
        <v>0</v>
      </c>
      <c r="AB30" s="706"/>
      <c r="AC30" s="657"/>
      <c r="AD30" s="146">
        <f>SUM(AD18:AD29)</f>
        <v>0</v>
      </c>
      <c r="AE30" s="146">
        <f>SUM(AE18:AE29)</f>
        <v>0</v>
      </c>
      <c r="AF30" s="238">
        <f t="shared" si="6"/>
        <v>-268.74206318709116</v>
      </c>
      <c r="AG30" s="240">
        <f t="shared" ref="AG30" si="21">N30/K30</f>
        <v>0.84120653321490713</v>
      </c>
      <c r="AH30" s="711"/>
    </row>
    <row r="31" spans="1:34" ht="18" customHeight="1">
      <c r="A31" s="682" t="s">
        <v>223</v>
      </c>
      <c r="B31" s="147" t="s">
        <v>249</v>
      </c>
      <c r="C31" s="109"/>
      <c r="D31" s="148" t="s">
        <v>119</v>
      </c>
      <c r="E31" s="149"/>
      <c r="F31" s="150">
        <v>34.229999999999997</v>
      </c>
      <c r="G31" s="151">
        <v>1547</v>
      </c>
      <c r="H31" s="152">
        <f t="shared" ref="H31:H40" si="22">F31*G31</f>
        <v>52953.81</v>
      </c>
      <c r="I31" s="94"/>
      <c r="J31" s="153">
        <v>14</v>
      </c>
      <c r="K31" s="151">
        <v>2118</v>
      </c>
      <c r="L31" s="154">
        <v>151.28571428571428</v>
      </c>
      <c r="M31" s="155">
        <v>14</v>
      </c>
      <c r="N31" s="156">
        <f t="shared" ref="N31:N37" si="23">G31/W31*60</f>
        <v>1974.8936170212771</v>
      </c>
      <c r="O31" s="157">
        <f t="shared" ref="O31:O37" si="24">N31/M31</f>
        <v>141.06382978723408</v>
      </c>
      <c r="P31" s="158">
        <f t="shared" si="18"/>
        <v>0</v>
      </c>
      <c r="Q31" s="159">
        <f t="shared" si="19"/>
        <v>-10.221884498480193</v>
      </c>
      <c r="R31" s="160">
        <f t="shared" si="20"/>
        <v>0.93243324694111296</v>
      </c>
      <c r="S31" s="684">
        <f>R43</f>
        <v>0.89305238219920002</v>
      </c>
      <c r="T31" s="161">
        <v>0.16666666666666666</v>
      </c>
      <c r="U31" s="161">
        <v>0.19930555555555554</v>
      </c>
      <c r="V31" s="94">
        <v>5</v>
      </c>
      <c r="W31" s="162">
        <f t="shared" ref="W31:W42" si="25">(U31-T31)*24*60</f>
        <v>46.999999999999993</v>
      </c>
      <c r="X31" s="94"/>
      <c r="Y31" s="94"/>
      <c r="Z31" s="93"/>
      <c r="AA31" s="93"/>
      <c r="AB31" s="645"/>
      <c r="AC31" s="654"/>
      <c r="AD31" s="94"/>
      <c r="AE31" s="94"/>
      <c r="AF31" s="158">
        <f t="shared" si="6"/>
        <v>-143.10638297872288</v>
      </c>
      <c r="AG31" s="163">
        <f t="shared" si="7"/>
        <v>0.93243324694111285</v>
      </c>
      <c r="AH31" s="661">
        <f>AG43</f>
        <v>0.86681357242797952</v>
      </c>
    </row>
    <row r="32" spans="1:34" ht="18" customHeight="1">
      <c r="A32" s="683"/>
      <c r="B32" s="126" t="s">
        <v>250</v>
      </c>
      <c r="C32" s="164"/>
      <c r="D32" s="165" t="s">
        <v>120</v>
      </c>
      <c r="E32" s="81"/>
      <c r="F32" s="82">
        <v>35.33</v>
      </c>
      <c r="G32" s="83">
        <v>1929</v>
      </c>
      <c r="H32" s="129">
        <f t="shared" si="22"/>
        <v>68151.569999999992</v>
      </c>
      <c r="I32" s="85"/>
      <c r="J32" s="86">
        <v>13</v>
      </c>
      <c r="K32" s="83">
        <v>2118</v>
      </c>
      <c r="L32" s="87">
        <v>162.92307692307693</v>
      </c>
      <c r="M32" s="88">
        <v>13</v>
      </c>
      <c r="N32" s="83">
        <f t="shared" si="23"/>
        <v>1995.5172413793105</v>
      </c>
      <c r="O32" s="87">
        <f t="shared" si="24"/>
        <v>153.50132625994695</v>
      </c>
      <c r="P32" s="89">
        <f t="shared" si="18"/>
        <v>0</v>
      </c>
      <c r="Q32" s="90">
        <f t="shared" si="19"/>
        <v>-9.4217506631299841</v>
      </c>
      <c r="R32" s="91">
        <f t="shared" si="20"/>
        <v>0.94217055778059977</v>
      </c>
      <c r="S32" s="632"/>
      <c r="T32" s="134">
        <v>0.20347222222222222</v>
      </c>
      <c r="U32" s="134">
        <v>0.24374999999999999</v>
      </c>
      <c r="V32" s="97">
        <v>6</v>
      </c>
      <c r="W32" s="135">
        <f t="shared" si="25"/>
        <v>57.999999999999993</v>
      </c>
      <c r="X32" s="166"/>
      <c r="Y32" s="166"/>
      <c r="Z32" s="167"/>
      <c r="AA32" s="167"/>
      <c r="AB32" s="642"/>
      <c r="AC32" s="644"/>
      <c r="AD32" s="97"/>
      <c r="AE32" s="97"/>
      <c r="AF32" s="89">
        <f t="shared" si="6"/>
        <v>-122.48275862068954</v>
      </c>
      <c r="AG32" s="91">
        <f t="shared" si="7"/>
        <v>0.94217055778059988</v>
      </c>
      <c r="AH32" s="659"/>
    </row>
    <row r="33" spans="1:34" ht="18" customHeight="1">
      <c r="A33" s="683"/>
      <c r="B33" s="126" t="s">
        <v>250</v>
      </c>
      <c r="C33" s="97"/>
      <c r="D33" s="168" t="s">
        <v>121</v>
      </c>
      <c r="E33" s="169"/>
      <c r="F33" s="82">
        <v>36.409999999999997</v>
      </c>
      <c r="G33" s="100">
        <v>2892.15</v>
      </c>
      <c r="H33" s="129">
        <f t="shared" si="22"/>
        <v>105303.18149999999</v>
      </c>
      <c r="I33" s="97"/>
      <c r="J33" s="86">
        <v>11</v>
      </c>
      <c r="K33" s="83">
        <v>2118</v>
      </c>
      <c r="L33" s="87">
        <v>192.54545454545453</v>
      </c>
      <c r="M33" s="137">
        <v>11</v>
      </c>
      <c r="N33" s="83">
        <f t="shared" si="23"/>
        <v>1971.9204545454547</v>
      </c>
      <c r="O33" s="87">
        <f t="shared" si="24"/>
        <v>179.26549586776861</v>
      </c>
      <c r="P33" s="89">
        <f t="shared" si="18"/>
        <v>0</v>
      </c>
      <c r="Q33" s="90">
        <f t="shared" si="19"/>
        <v>-13.279958677685926</v>
      </c>
      <c r="R33" s="91">
        <f t="shared" si="20"/>
        <v>0.93102948750965764</v>
      </c>
      <c r="S33" s="632"/>
      <c r="T33" s="134">
        <v>0.25902777777777775</v>
      </c>
      <c r="U33" s="134">
        <v>0.32013888888888886</v>
      </c>
      <c r="V33" s="97">
        <v>22</v>
      </c>
      <c r="W33" s="135">
        <f t="shared" si="25"/>
        <v>88</v>
      </c>
      <c r="X33" s="166">
        <v>0.24722222222222223</v>
      </c>
      <c r="Y33" s="166">
        <v>0.25625000000000003</v>
      </c>
      <c r="Z33" s="167"/>
      <c r="AA33" s="167"/>
      <c r="AB33" s="642"/>
      <c r="AC33" s="644"/>
      <c r="AD33" s="97"/>
      <c r="AE33" s="97"/>
      <c r="AF33" s="89">
        <f t="shared" si="6"/>
        <v>-146.07954545454527</v>
      </c>
      <c r="AG33" s="170">
        <f t="shared" si="7"/>
        <v>0.93102948750965753</v>
      </c>
      <c r="AH33" s="659"/>
    </row>
    <row r="34" spans="1:34" ht="18" customHeight="1">
      <c r="A34" s="683"/>
      <c r="B34" s="126" t="s">
        <v>247</v>
      </c>
      <c r="C34" s="171"/>
      <c r="D34" s="168" t="s">
        <v>122</v>
      </c>
      <c r="E34" s="169"/>
      <c r="F34" s="82">
        <v>29.113149847094796</v>
      </c>
      <c r="G34" s="100">
        <v>1990.56</v>
      </c>
      <c r="H34" s="129">
        <f t="shared" si="22"/>
        <v>57951.471559633013</v>
      </c>
      <c r="I34" s="97"/>
      <c r="J34" s="86">
        <v>19</v>
      </c>
      <c r="K34" s="83">
        <v>1500</v>
      </c>
      <c r="L34" s="87">
        <v>78.94736842105263</v>
      </c>
      <c r="M34" s="137">
        <v>18</v>
      </c>
      <c r="N34" s="83">
        <f t="shared" si="23"/>
        <v>1244.1000000000004</v>
      </c>
      <c r="O34" s="87">
        <f t="shared" si="24"/>
        <v>69.116666666666688</v>
      </c>
      <c r="P34" s="89">
        <f t="shared" si="18"/>
        <v>-1</v>
      </c>
      <c r="Q34" s="90">
        <f t="shared" si="19"/>
        <v>-9.8307017543859416</v>
      </c>
      <c r="R34" s="91">
        <f t="shared" si="20"/>
        <v>0.87547777777777802</v>
      </c>
      <c r="S34" s="632"/>
      <c r="T34" s="134">
        <v>0.3347222222222222</v>
      </c>
      <c r="U34" s="134">
        <v>0.40138888888888885</v>
      </c>
      <c r="V34" s="97">
        <v>21</v>
      </c>
      <c r="W34" s="135">
        <f t="shared" si="25"/>
        <v>95.999999999999972</v>
      </c>
      <c r="X34" s="166">
        <v>0.32361111111111113</v>
      </c>
      <c r="Y34" s="166">
        <v>0.33194444444444443</v>
      </c>
      <c r="Z34" s="167"/>
      <c r="AA34" s="167"/>
      <c r="AB34" s="642"/>
      <c r="AC34" s="644"/>
      <c r="AD34" s="97"/>
      <c r="AE34" s="97"/>
      <c r="AF34" s="89">
        <f t="shared" si="6"/>
        <v>-255.89999999999964</v>
      </c>
      <c r="AG34" s="170">
        <f t="shared" si="7"/>
        <v>0.82940000000000025</v>
      </c>
      <c r="AH34" s="659"/>
    </row>
    <row r="35" spans="1:34" ht="18" customHeight="1">
      <c r="A35" s="683"/>
      <c r="B35" s="126" t="s">
        <v>248</v>
      </c>
      <c r="C35" s="79"/>
      <c r="D35" s="80" t="s">
        <v>123</v>
      </c>
      <c r="E35" s="81"/>
      <c r="F35" s="82">
        <v>49.9</v>
      </c>
      <c r="G35" s="172">
        <v>457</v>
      </c>
      <c r="H35" s="129">
        <f t="shared" si="22"/>
        <v>22804.3</v>
      </c>
      <c r="I35" s="65"/>
      <c r="J35" s="86">
        <v>18</v>
      </c>
      <c r="K35" s="83">
        <v>1500</v>
      </c>
      <c r="L35" s="87">
        <v>83.333333333333329</v>
      </c>
      <c r="M35" s="137">
        <v>18</v>
      </c>
      <c r="N35" s="83">
        <f t="shared" si="23"/>
        <v>1142.5000000000002</v>
      </c>
      <c r="O35" s="87">
        <f t="shared" si="24"/>
        <v>63.472222222222236</v>
      </c>
      <c r="P35" s="89">
        <f t="shared" si="18"/>
        <v>0</v>
      </c>
      <c r="Q35" s="90">
        <f t="shared" si="19"/>
        <v>-19.861111111111093</v>
      </c>
      <c r="R35" s="91">
        <f t="shared" si="20"/>
        <v>0.76166666666666683</v>
      </c>
      <c r="S35" s="632"/>
      <c r="T35" s="134">
        <v>0.44305555555555548</v>
      </c>
      <c r="U35" s="134">
        <v>0.45972222222222214</v>
      </c>
      <c r="V35" s="97">
        <v>7</v>
      </c>
      <c r="W35" s="135">
        <f t="shared" si="25"/>
        <v>23.999999999999993</v>
      </c>
      <c r="X35" s="166"/>
      <c r="Y35" s="166"/>
      <c r="Z35" s="167"/>
      <c r="AA35" s="167"/>
      <c r="AB35" s="642"/>
      <c r="AC35" s="644"/>
      <c r="AD35" s="97"/>
      <c r="AE35" s="97"/>
      <c r="AF35" s="89">
        <f t="shared" si="6"/>
        <v>-357.49999999999977</v>
      </c>
      <c r="AG35" s="170">
        <f t="shared" si="7"/>
        <v>0.76166666666666683</v>
      </c>
      <c r="AH35" s="662"/>
    </row>
    <row r="36" spans="1:34" ht="18" customHeight="1">
      <c r="A36" s="683"/>
      <c r="B36" s="126" t="s">
        <v>248</v>
      </c>
      <c r="C36" s="173"/>
      <c r="D36" s="80" t="s">
        <v>124</v>
      </c>
      <c r="E36" s="169"/>
      <c r="F36" s="82">
        <v>57.3</v>
      </c>
      <c r="G36" s="100">
        <v>428</v>
      </c>
      <c r="H36" s="129">
        <f t="shared" si="22"/>
        <v>24524.399999999998</v>
      </c>
      <c r="I36" s="97"/>
      <c r="J36" s="86">
        <v>19</v>
      </c>
      <c r="K36" s="83">
        <v>1385</v>
      </c>
      <c r="L36" s="87">
        <v>72.89473684210526</v>
      </c>
      <c r="M36" s="137">
        <v>18</v>
      </c>
      <c r="N36" s="83">
        <f t="shared" si="23"/>
        <v>1027.2000000000003</v>
      </c>
      <c r="O36" s="87">
        <f t="shared" si="24"/>
        <v>57.066666666666684</v>
      </c>
      <c r="P36" s="89">
        <f t="shared" si="18"/>
        <v>-1</v>
      </c>
      <c r="Q36" s="90">
        <f t="shared" si="19"/>
        <v>-15.828070175438576</v>
      </c>
      <c r="R36" s="91">
        <f t="shared" si="20"/>
        <v>0.78286401925391125</v>
      </c>
      <c r="S36" s="632"/>
      <c r="T36" s="134">
        <v>0.4638888888888888</v>
      </c>
      <c r="U36" s="134">
        <v>0.4812499999999999</v>
      </c>
      <c r="V36" s="97">
        <v>6</v>
      </c>
      <c r="W36" s="135">
        <f t="shared" si="25"/>
        <v>24.999999999999993</v>
      </c>
      <c r="X36" s="166"/>
      <c r="Y36" s="166"/>
      <c r="Z36" s="167"/>
      <c r="AA36" s="167"/>
      <c r="AB36" s="642"/>
      <c r="AC36" s="644"/>
      <c r="AD36" s="97"/>
      <c r="AE36" s="97"/>
      <c r="AF36" s="89">
        <f t="shared" si="6"/>
        <v>-357.79999999999973</v>
      </c>
      <c r="AG36" s="170">
        <f t="shared" si="7"/>
        <v>0.74166064981949475</v>
      </c>
      <c r="AH36" s="662"/>
    </row>
    <row r="37" spans="1:34" ht="18" customHeight="1">
      <c r="A37" s="683"/>
      <c r="B37" s="126" t="s">
        <v>247</v>
      </c>
      <c r="C37" s="173"/>
      <c r="D37" s="168" t="s">
        <v>122</v>
      </c>
      <c r="E37" s="169"/>
      <c r="F37" s="82">
        <v>29.113149847094796</v>
      </c>
      <c r="G37" s="100">
        <v>271.44</v>
      </c>
      <c r="H37" s="129">
        <f t="shared" si="22"/>
        <v>7902.4733944954114</v>
      </c>
      <c r="I37" s="97">
        <v>2</v>
      </c>
      <c r="J37" s="86">
        <v>19</v>
      </c>
      <c r="K37" s="83">
        <v>1500</v>
      </c>
      <c r="L37" s="87">
        <v>78.94736842105263</v>
      </c>
      <c r="M37" s="137">
        <v>18</v>
      </c>
      <c r="N37" s="83">
        <f t="shared" si="23"/>
        <v>1252.7999999999968</v>
      </c>
      <c r="O37" s="87">
        <f t="shared" si="24"/>
        <v>69.599999999999824</v>
      </c>
      <c r="P37" s="89">
        <f t="shared" si="18"/>
        <v>-1</v>
      </c>
      <c r="Q37" s="90">
        <f t="shared" si="19"/>
        <v>-9.3473684210528063</v>
      </c>
      <c r="R37" s="91">
        <f t="shared" si="20"/>
        <v>0.88159999999999783</v>
      </c>
      <c r="S37" s="632"/>
      <c r="T37" s="134">
        <v>0.48402777777777767</v>
      </c>
      <c r="U37" s="134">
        <v>0.49305555555555547</v>
      </c>
      <c r="V37" s="97">
        <v>4</v>
      </c>
      <c r="W37" s="135">
        <f t="shared" si="25"/>
        <v>13.000000000000034</v>
      </c>
      <c r="X37" s="166"/>
      <c r="Y37" s="166"/>
      <c r="Z37" s="167"/>
      <c r="AA37" s="167"/>
      <c r="AB37" s="642"/>
      <c r="AC37" s="644"/>
      <c r="AD37" s="97"/>
      <c r="AE37" s="97"/>
      <c r="AF37" s="89">
        <f t="shared" si="6"/>
        <v>-247.20000000000323</v>
      </c>
      <c r="AG37" s="170">
        <f t="shared" si="7"/>
        <v>0.83519999999999783</v>
      </c>
      <c r="AH37" s="662"/>
    </row>
    <row r="38" spans="1:34" ht="18" customHeight="1">
      <c r="A38" s="683"/>
      <c r="B38" s="126">
        <v>0</v>
      </c>
      <c r="C38" s="173"/>
      <c r="D38" s="168"/>
      <c r="E38" s="169"/>
      <c r="F38" s="82" t="s">
        <v>253</v>
      </c>
      <c r="G38" s="100"/>
      <c r="H38" s="129">
        <f t="shared" si="22"/>
        <v>0</v>
      </c>
      <c r="I38" s="97"/>
      <c r="J38" s="86"/>
      <c r="K38" s="83"/>
      <c r="L38" s="87"/>
      <c r="M38" s="137"/>
      <c r="N38" s="83"/>
      <c r="O38" s="87"/>
      <c r="P38" s="89"/>
      <c r="Q38" s="90"/>
      <c r="R38" s="91"/>
      <c r="S38" s="632"/>
      <c r="T38" s="134"/>
      <c r="U38" s="134"/>
      <c r="V38" s="97"/>
      <c r="W38" s="135"/>
      <c r="X38" s="166"/>
      <c r="Y38" s="166"/>
      <c r="Z38" s="167"/>
      <c r="AA38" s="167"/>
      <c r="AB38" s="642"/>
      <c r="AC38" s="644"/>
      <c r="AD38" s="97"/>
      <c r="AE38" s="97"/>
      <c r="AF38" s="89">
        <f t="shared" si="6"/>
        <v>0</v>
      </c>
      <c r="AG38" s="170" t="e">
        <f t="shared" si="7"/>
        <v>#DIV/0!</v>
      </c>
      <c r="AH38" s="662"/>
    </row>
    <row r="39" spans="1:34" ht="18" customHeight="1">
      <c r="A39" s="683"/>
      <c r="B39" s="126">
        <v>0</v>
      </c>
      <c r="C39" s="171"/>
      <c r="D39" s="80"/>
      <c r="E39" s="81"/>
      <c r="F39" s="82" t="s">
        <v>253</v>
      </c>
      <c r="G39" s="100"/>
      <c r="H39" s="129">
        <f t="shared" si="22"/>
        <v>0</v>
      </c>
      <c r="I39" s="97"/>
      <c r="J39" s="86"/>
      <c r="K39" s="83"/>
      <c r="L39" s="87"/>
      <c r="M39" s="137"/>
      <c r="N39" s="83"/>
      <c r="O39" s="87"/>
      <c r="P39" s="89"/>
      <c r="Q39" s="90"/>
      <c r="R39" s="91"/>
      <c r="S39" s="632"/>
      <c r="T39" s="134"/>
      <c r="U39" s="134"/>
      <c r="V39" s="97"/>
      <c r="W39" s="135"/>
      <c r="X39" s="166"/>
      <c r="Y39" s="166"/>
      <c r="Z39" s="167"/>
      <c r="AA39" s="167"/>
      <c r="AB39" s="642"/>
      <c r="AC39" s="644"/>
      <c r="AD39" s="97"/>
      <c r="AE39" s="97"/>
      <c r="AF39" s="89"/>
      <c r="AG39" s="174"/>
      <c r="AH39" s="662"/>
    </row>
    <row r="40" spans="1:34" ht="18" customHeight="1">
      <c r="A40" s="683"/>
      <c r="B40" s="175">
        <v>0</v>
      </c>
      <c r="C40" s="176"/>
      <c r="D40" s="80"/>
      <c r="E40" s="81"/>
      <c r="F40" s="82" t="s">
        <v>253</v>
      </c>
      <c r="G40" s="83"/>
      <c r="H40" s="129">
        <f t="shared" si="22"/>
        <v>0</v>
      </c>
      <c r="I40" s="65"/>
      <c r="J40" s="177"/>
      <c r="K40" s="178"/>
      <c r="L40" s="179"/>
      <c r="M40" s="88"/>
      <c r="N40" s="83"/>
      <c r="O40" s="87"/>
      <c r="P40" s="89"/>
      <c r="Q40" s="90"/>
      <c r="R40" s="91"/>
      <c r="S40" s="632"/>
      <c r="T40" s="134"/>
      <c r="U40" s="134"/>
      <c r="V40" s="97"/>
      <c r="W40" s="135">
        <f t="shared" si="25"/>
        <v>0</v>
      </c>
      <c r="X40" s="166"/>
      <c r="Y40" s="166"/>
      <c r="Z40" s="167"/>
      <c r="AA40" s="167"/>
      <c r="AB40" s="642"/>
      <c r="AC40" s="644"/>
      <c r="AD40" s="97"/>
      <c r="AE40" s="97"/>
      <c r="AF40" s="89"/>
      <c r="AG40" s="174"/>
      <c r="AH40" s="662"/>
    </row>
    <row r="41" spans="1:34" ht="18" customHeight="1">
      <c r="A41" s="683"/>
      <c r="B41" s="97">
        <v>0</v>
      </c>
      <c r="C41" s="98"/>
      <c r="D41" s="168"/>
      <c r="E41" s="169"/>
      <c r="F41" s="82" t="s">
        <v>253</v>
      </c>
      <c r="G41" s="100"/>
      <c r="H41" s="129"/>
      <c r="I41" s="97"/>
      <c r="J41" s="130"/>
      <c r="K41" s="100"/>
      <c r="L41" s="131"/>
      <c r="M41" s="137"/>
      <c r="N41" s="100"/>
      <c r="O41" s="131"/>
      <c r="P41" s="96"/>
      <c r="Q41" s="132"/>
      <c r="R41" s="133"/>
      <c r="S41" s="632"/>
      <c r="T41" s="134"/>
      <c r="U41" s="134"/>
      <c r="V41" s="97"/>
      <c r="W41" s="135">
        <f t="shared" si="25"/>
        <v>0</v>
      </c>
      <c r="X41" s="166"/>
      <c r="Y41" s="166"/>
      <c r="Z41" s="167"/>
      <c r="AA41" s="167"/>
      <c r="AB41" s="642"/>
      <c r="AC41" s="644"/>
      <c r="AD41" s="97"/>
      <c r="AE41" s="97"/>
      <c r="AF41" s="89"/>
      <c r="AG41" s="174"/>
      <c r="AH41" s="662"/>
    </row>
    <row r="42" spans="1:34" ht="18" customHeight="1">
      <c r="A42" s="683"/>
      <c r="B42" s="97">
        <v>0</v>
      </c>
      <c r="C42" s="98"/>
      <c r="D42" s="168"/>
      <c r="E42" s="169"/>
      <c r="F42" s="180" t="s">
        <v>253</v>
      </c>
      <c r="G42" s="100"/>
      <c r="H42" s="129">
        <f>F42*G42</f>
        <v>0</v>
      </c>
      <c r="I42" s="97"/>
      <c r="J42" s="130"/>
      <c r="K42" s="100"/>
      <c r="L42" s="131"/>
      <c r="M42" s="137"/>
      <c r="N42" s="100"/>
      <c r="O42" s="131"/>
      <c r="P42" s="96"/>
      <c r="Q42" s="132"/>
      <c r="R42" s="133"/>
      <c r="S42" s="632"/>
      <c r="T42" s="134"/>
      <c r="U42" s="134"/>
      <c r="V42" s="97"/>
      <c r="W42" s="135">
        <f t="shared" si="25"/>
        <v>0</v>
      </c>
      <c r="X42" s="166"/>
      <c r="Y42" s="166"/>
      <c r="Z42" s="167"/>
      <c r="AA42" s="167"/>
      <c r="AB42" s="642"/>
      <c r="AC42" s="644"/>
      <c r="AD42" s="97"/>
      <c r="AE42" s="97"/>
      <c r="AF42" s="89"/>
      <c r="AG42" s="174"/>
      <c r="AH42" s="662"/>
    </row>
    <row r="43" spans="1:34" ht="18" customHeight="1">
      <c r="A43" s="683"/>
      <c r="B43" s="126">
        <v>0</v>
      </c>
      <c r="C43" s="138" t="s">
        <v>15</v>
      </c>
      <c r="D43" s="630" t="s">
        <v>220</v>
      </c>
      <c r="E43" s="630"/>
      <c r="F43" s="139"/>
      <c r="G43" s="140"/>
      <c r="H43" s="141"/>
      <c r="I43" s="142"/>
      <c r="J43" s="140">
        <v>16.142857142857142</v>
      </c>
      <c r="K43" s="140">
        <v>1748.4285714285713</v>
      </c>
      <c r="L43" s="143">
        <v>117.26815039596995</v>
      </c>
      <c r="M43" s="140">
        <f t="shared" ref="M43:O43" si="26">AVERAGE(M31:M42)</f>
        <v>15.714285714285714</v>
      </c>
      <c r="N43" s="140">
        <f t="shared" si="26"/>
        <v>1515.5616161351486</v>
      </c>
      <c r="O43" s="143">
        <f t="shared" si="26"/>
        <v>104.72660106721503</v>
      </c>
      <c r="P43" s="96">
        <f>M43-J43</f>
        <v>-0.42857142857142883</v>
      </c>
      <c r="Q43" s="132">
        <f>N43-K43</f>
        <v>-232.86695529342273</v>
      </c>
      <c r="R43" s="144">
        <f t="shared" ref="R43:R50" si="27">O43/L43</f>
        <v>0.89305238219920002</v>
      </c>
      <c r="S43" s="632"/>
      <c r="T43" s="134"/>
      <c r="U43" s="134"/>
      <c r="V43" s="97"/>
      <c r="W43" s="97"/>
      <c r="X43" s="166"/>
      <c r="Y43" s="166"/>
      <c r="Z43" s="181">
        <f>SUM(Z31:Z42)</f>
        <v>0</v>
      </c>
      <c r="AA43" s="181">
        <f>SUM(AA31:AA42)</f>
        <v>0</v>
      </c>
      <c r="AB43" s="642"/>
      <c r="AC43" s="644"/>
      <c r="AD43" s="146">
        <f>SUM(AD31:AD42)</f>
        <v>0</v>
      </c>
      <c r="AE43" s="146">
        <f>SUM(AE31:AE42)</f>
        <v>0</v>
      </c>
      <c r="AF43" s="89">
        <f t="shared" ref="AF43:AF52" si="28">N43-K43</f>
        <v>-232.86695529342273</v>
      </c>
      <c r="AG43" s="125">
        <f t="shared" si="7"/>
        <v>0.86681357242797952</v>
      </c>
      <c r="AH43" s="662"/>
    </row>
    <row r="44" spans="1:34" s="196" customFormat="1" ht="18" customHeight="1">
      <c r="A44" s="678" t="s">
        <v>224</v>
      </c>
      <c r="B44" s="176" t="s">
        <v>250</v>
      </c>
      <c r="C44" s="182"/>
      <c r="D44" s="80" t="s">
        <v>125</v>
      </c>
      <c r="E44" s="81"/>
      <c r="F44" s="183">
        <v>24.73</v>
      </c>
      <c r="G44" s="184">
        <v>1811</v>
      </c>
      <c r="H44" s="84">
        <f>F44*G44</f>
        <v>44786.03</v>
      </c>
      <c r="I44" s="185"/>
      <c r="J44" s="186">
        <v>4</v>
      </c>
      <c r="K44" s="187">
        <v>2000</v>
      </c>
      <c r="L44" s="188">
        <v>500</v>
      </c>
      <c r="M44" s="106">
        <v>5</v>
      </c>
      <c r="N44" s="187">
        <f>G44/W44*60</f>
        <v>2173.1999999999989</v>
      </c>
      <c r="O44" s="188">
        <f>N44/M44</f>
        <v>434.63999999999976</v>
      </c>
      <c r="P44" s="93">
        <f>M44-J44</f>
        <v>1</v>
      </c>
      <c r="Q44" s="189">
        <f>O44-L44</f>
        <v>-65.360000000000241</v>
      </c>
      <c r="R44" s="190">
        <f t="shared" si="27"/>
        <v>0.8692799999999995</v>
      </c>
      <c r="S44" s="659">
        <f>R56</f>
        <v>0.82735302070041927</v>
      </c>
      <c r="T44" s="191">
        <v>0.16666666666666666</v>
      </c>
      <c r="U44" s="191">
        <v>0.2013888888888889</v>
      </c>
      <c r="V44" s="192">
        <v>5</v>
      </c>
      <c r="W44" s="193">
        <f t="shared" ref="W44:W56" si="29">(U44-T44)*24*60</f>
        <v>50.000000000000021</v>
      </c>
      <c r="X44" s="166"/>
      <c r="Y44" s="166"/>
      <c r="Z44" s="167"/>
      <c r="AA44" s="167"/>
      <c r="AB44" s="644"/>
      <c r="AC44" s="644"/>
      <c r="AD44" s="97"/>
      <c r="AE44" s="97"/>
      <c r="AF44" s="194">
        <f t="shared" si="28"/>
        <v>173.19999999999891</v>
      </c>
      <c r="AG44" s="195">
        <f t="shared" si="7"/>
        <v>1.0865999999999993</v>
      </c>
      <c r="AH44" s="681">
        <f>AG56</f>
        <v>0.95980766368094195</v>
      </c>
    </row>
    <row r="45" spans="1:34" s="196" customFormat="1" ht="18" customHeight="1">
      <c r="A45" s="679"/>
      <c r="B45" s="176" t="s">
        <v>250</v>
      </c>
      <c r="C45" s="182"/>
      <c r="D45" s="80" t="s">
        <v>126</v>
      </c>
      <c r="E45" s="81"/>
      <c r="F45" s="183">
        <v>24.73</v>
      </c>
      <c r="G45" s="184">
        <v>1750</v>
      </c>
      <c r="H45" s="84">
        <f>F45*G45</f>
        <v>43277.5</v>
      </c>
      <c r="I45" s="197"/>
      <c r="J45" s="186">
        <v>4</v>
      </c>
      <c r="K45" s="187">
        <v>2000</v>
      </c>
      <c r="L45" s="188">
        <v>500</v>
      </c>
      <c r="M45" s="106">
        <v>5</v>
      </c>
      <c r="N45" s="187">
        <f>G45/W45*60</f>
        <v>2187.5000000000005</v>
      </c>
      <c r="O45" s="188">
        <f>N45/M45</f>
        <v>437.50000000000011</v>
      </c>
      <c r="P45" s="93">
        <f>M45-J45</f>
        <v>1</v>
      </c>
      <c r="Q45" s="189">
        <f>O45-L45</f>
        <v>-62.499999999999886</v>
      </c>
      <c r="R45" s="190">
        <f t="shared" si="27"/>
        <v>0.87500000000000022</v>
      </c>
      <c r="S45" s="659"/>
      <c r="T45" s="191">
        <v>0.2048611111111111</v>
      </c>
      <c r="U45" s="191">
        <v>0.23819444444444443</v>
      </c>
      <c r="V45" s="192">
        <v>5</v>
      </c>
      <c r="W45" s="193">
        <f t="shared" si="29"/>
        <v>47.999999999999986</v>
      </c>
      <c r="X45" s="166"/>
      <c r="Y45" s="166"/>
      <c r="Z45" s="167"/>
      <c r="AA45" s="167"/>
      <c r="AB45" s="644"/>
      <c r="AC45" s="644"/>
      <c r="AD45" s="97"/>
      <c r="AE45" s="97"/>
      <c r="AF45" s="194">
        <f t="shared" si="28"/>
        <v>187.50000000000045</v>
      </c>
      <c r="AG45" s="195">
        <f t="shared" si="7"/>
        <v>1.0937500000000002</v>
      </c>
      <c r="AH45" s="681"/>
    </row>
    <row r="46" spans="1:34" s="196" customFormat="1" ht="18" customHeight="1">
      <c r="A46" s="679"/>
      <c r="B46" s="176" t="s">
        <v>250</v>
      </c>
      <c r="C46" s="182"/>
      <c r="D46" s="80" t="s">
        <v>127</v>
      </c>
      <c r="E46" s="81"/>
      <c r="F46" s="183">
        <v>22.83</v>
      </c>
      <c r="G46" s="184">
        <v>569</v>
      </c>
      <c r="H46" s="84">
        <f t="shared" ref="H46:H51" si="30">F46*G46</f>
        <v>12990.269999999999</v>
      </c>
      <c r="I46" s="197"/>
      <c r="J46" s="186">
        <v>6</v>
      </c>
      <c r="K46" s="187">
        <v>2000</v>
      </c>
      <c r="L46" s="188">
        <v>333.33333333333331</v>
      </c>
      <c r="M46" s="106">
        <v>7</v>
      </c>
      <c r="N46" s="187">
        <f>G46/W46*60</f>
        <v>1484.3478260869565</v>
      </c>
      <c r="O46" s="188">
        <f>N46/M46</f>
        <v>212.04968944099377</v>
      </c>
      <c r="P46" s="93">
        <f>M46-J46</f>
        <v>1</v>
      </c>
      <c r="Q46" s="189">
        <f>O46-L46</f>
        <v>-121.28364389233954</v>
      </c>
      <c r="R46" s="190">
        <f t="shared" si="27"/>
        <v>0.63614906832298135</v>
      </c>
      <c r="S46" s="659"/>
      <c r="T46" s="191">
        <v>0.24166666666666664</v>
      </c>
      <c r="U46" s="191">
        <v>0.25763888888888886</v>
      </c>
      <c r="V46" s="192">
        <v>5</v>
      </c>
      <c r="W46" s="193">
        <f t="shared" si="29"/>
        <v>23</v>
      </c>
      <c r="X46" s="166"/>
      <c r="Y46" s="166"/>
      <c r="Z46" s="167"/>
      <c r="AA46" s="167"/>
      <c r="AB46" s="644"/>
      <c r="AC46" s="644"/>
      <c r="AD46" s="97">
        <v>1</v>
      </c>
      <c r="AE46" s="97">
        <v>2</v>
      </c>
      <c r="AF46" s="194">
        <f t="shared" si="28"/>
        <v>-515.6521739130435</v>
      </c>
      <c r="AG46" s="195">
        <f t="shared" si="7"/>
        <v>0.74217391304347824</v>
      </c>
      <c r="AH46" s="681"/>
    </row>
    <row r="47" spans="1:34" s="196" customFormat="1" ht="18" customHeight="1">
      <c r="A47" s="679"/>
      <c r="B47" s="176" t="s">
        <v>247</v>
      </c>
      <c r="C47" s="182"/>
      <c r="D47" s="198" t="s">
        <v>128</v>
      </c>
      <c r="E47" s="199"/>
      <c r="F47" s="183">
        <v>11.6</v>
      </c>
      <c r="G47" s="187">
        <v>1968</v>
      </c>
      <c r="H47" s="84">
        <f t="shared" si="30"/>
        <v>22828.799999999999</v>
      </c>
      <c r="I47" s="197"/>
      <c r="J47" s="186">
        <v>6</v>
      </c>
      <c r="K47" s="187">
        <v>1500</v>
      </c>
      <c r="L47" s="188">
        <v>250</v>
      </c>
      <c r="M47" s="200">
        <v>7</v>
      </c>
      <c r="N47" s="187">
        <f t="shared" ref="N47:N50" si="31">G47/W47*60</f>
        <v>1439.9999999999995</v>
      </c>
      <c r="O47" s="188">
        <f t="shared" ref="O47:O50" si="32">N47/M47</f>
        <v>205.71428571428564</v>
      </c>
      <c r="P47" s="93">
        <f t="shared" ref="P47:P50" si="33">M47-J47</f>
        <v>1</v>
      </c>
      <c r="Q47" s="189">
        <f t="shared" ref="Q47:Q50" si="34">O47-L47</f>
        <v>-44.285714285714363</v>
      </c>
      <c r="R47" s="190">
        <f t="shared" si="27"/>
        <v>0.82285714285714251</v>
      </c>
      <c r="S47" s="659"/>
      <c r="T47" s="191">
        <v>0.27499999999999997</v>
      </c>
      <c r="U47" s="191">
        <v>0.33194444444444443</v>
      </c>
      <c r="V47" s="187">
        <v>25</v>
      </c>
      <c r="W47" s="193">
        <f t="shared" si="29"/>
        <v>82.000000000000028</v>
      </c>
      <c r="X47" s="166">
        <v>0.26111111111111113</v>
      </c>
      <c r="Y47" s="166">
        <v>0.2722222222222222</v>
      </c>
      <c r="Z47" s="167"/>
      <c r="AA47" s="167"/>
      <c r="AB47" s="644"/>
      <c r="AC47" s="644"/>
      <c r="AD47" s="97"/>
      <c r="AE47" s="97"/>
      <c r="AF47" s="194">
        <f t="shared" si="28"/>
        <v>-60.000000000000455</v>
      </c>
      <c r="AG47" s="195">
        <f t="shared" si="7"/>
        <v>0.95999999999999974</v>
      </c>
      <c r="AH47" s="681"/>
    </row>
    <row r="48" spans="1:34" s="196" customFormat="1" ht="18" customHeight="1">
      <c r="A48" s="679"/>
      <c r="B48" s="176" t="s">
        <v>251</v>
      </c>
      <c r="C48" s="182"/>
      <c r="D48" s="201" t="s">
        <v>129</v>
      </c>
      <c r="E48" s="199"/>
      <c r="F48" s="183">
        <v>10.09</v>
      </c>
      <c r="G48" s="187">
        <v>3313.44</v>
      </c>
      <c r="H48" s="84">
        <f t="shared" si="30"/>
        <v>33432.609600000003</v>
      </c>
      <c r="I48" s="197"/>
      <c r="J48" s="186">
        <v>6</v>
      </c>
      <c r="K48" s="187">
        <v>1500</v>
      </c>
      <c r="L48" s="188">
        <v>250</v>
      </c>
      <c r="M48" s="200">
        <v>6</v>
      </c>
      <c r="N48" s="187">
        <f t="shared" si="31"/>
        <v>1420.0457142857147</v>
      </c>
      <c r="O48" s="188">
        <f t="shared" si="32"/>
        <v>236.67428571428579</v>
      </c>
      <c r="P48" s="93">
        <f t="shared" si="33"/>
        <v>0</v>
      </c>
      <c r="Q48" s="189">
        <f t="shared" si="34"/>
        <v>-13.325714285714213</v>
      </c>
      <c r="R48" s="190">
        <f t="shared" si="27"/>
        <v>0.94669714285714313</v>
      </c>
      <c r="S48" s="659"/>
      <c r="T48" s="191">
        <v>0.33749999999999997</v>
      </c>
      <c r="U48" s="191">
        <v>0.43472222222222218</v>
      </c>
      <c r="V48" s="187">
        <v>8</v>
      </c>
      <c r="W48" s="193">
        <f t="shared" si="29"/>
        <v>139.99999999999997</v>
      </c>
      <c r="X48" s="166"/>
      <c r="Y48" s="166"/>
      <c r="Z48" s="167"/>
      <c r="AA48" s="167"/>
      <c r="AB48" s="644"/>
      <c r="AC48" s="644"/>
      <c r="AD48" s="97"/>
      <c r="AE48" s="97"/>
      <c r="AF48" s="194">
        <f t="shared" si="28"/>
        <v>-79.954285714285334</v>
      </c>
      <c r="AG48" s="195">
        <f t="shared" si="7"/>
        <v>0.94669714285714313</v>
      </c>
      <c r="AH48" s="681"/>
    </row>
    <row r="49" spans="1:34" s="196" customFormat="1" ht="18" customHeight="1">
      <c r="A49" s="679"/>
      <c r="B49" s="176" t="s">
        <v>251</v>
      </c>
      <c r="C49" s="182"/>
      <c r="D49" s="201" t="s">
        <v>129</v>
      </c>
      <c r="E49" s="199"/>
      <c r="F49" s="183">
        <v>10.09</v>
      </c>
      <c r="G49" s="187">
        <v>3175.38</v>
      </c>
      <c r="H49" s="84">
        <f t="shared" si="30"/>
        <v>32039.584200000001</v>
      </c>
      <c r="I49" s="197"/>
      <c r="J49" s="186">
        <v>6</v>
      </c>
      <c r="K49" s="187">
        <v>1500</v>
      </c>
      <c r="L49" s="188">
        <v>250</v>
      </c>
      <c r="M49" s="200">
        <v>6</v>
      </c>
      <c r="N49" s="187">
        <f t="shared" si="31"/>
        <v>1432.502255639097</v>
      </c>
      <c r="O49" s="188">
        <f t="shared" si="32"/>
        <v>238.7503759398495</v>
      </c>
      <c r="P49" s="93">
        <f t="shared" si="33"/>
        <v>0</v>
      </c>
      <c r="Q49" s="189">
        <f t="shared" si="34"/>
        <v>-11.249624060150495</v>
      </c>
      <c r="R49" s="190">
        <f t="shared" si="27"/>
        <v>0.95500150375939807</v>
      </c>
      <c r="S49" s="659"/>
      <c r="T49" s="202">
        <v>0.47708333333333325</v>
      </c>
      <c r="U49" s="202">
        <v>0.56944444444444442</v>
      </c>
      <c r="V49" s="184">
        <v>8</v>
      </c>
      <c r="W49" s="193">
        <f t="shared" si="29"/>
        <v>133.00000000000009</v>
      </c>
      <c r="X49" s="166"/>
      <c r="Y49" s="166"/>
      <c r="Z49" s="167"/>
      <c r="AA49" s="167"/>
      <c r="AB49" s="644"/>
      <c r="AC49" s="644"/>
      <c r="AD49" s="97"/>
      <c r="AE49" s="97"/>
      <c r="AF49" s="194">
        <f t="shared" si="28"/>
        <v>-67.497744360902971</v>
      </c>
      <c r="AG49" s="195">
        <f t="shared" si="7"/>
        <v>0.95500150375939807</v>
      </c>
      <c r="AH49" s="681"/>
    </row>
    <row r="50" spans="1:34" s="196" customFormat="1" ht="18" customHeight="1">
      <c r="A50" s="679"/>
      <c r="B50" s="176" t="s">
        <v>250</v>
      </c>
      <c r="C50" s="182"/>
      <c r="D50" s="201" t="s">
        <v>130</v>
      </c>
      <c r="E50" s="199"/>
      <c r="F50" s="183">
        <v>21.74</v>
      </c>
      <c r="G50" s="184">
        <v>465</v>
      </c>
      <c r="H50" s="84">
        <f t="shared" si="30"/>
        <v>10109.099999999999</v>
      </c>
      <c r="I50" s="197"/>
      <c r="J50" s="186">
        <v>4</v>
      </c>
      <c r="K50" s="187">
        <v>2000</v>
      </c>
      <c r="L50" s="188">
        <v>500</v>
      </c>
      <c r="M50" s="200">
        <v>5</v>
      </c>
      <c r="N50" s="187">
        <f t="shared" si="31"/>
        <v>1860.0000000000066</v>
      </c>
      <c r="O50" s="188">
        <f t="shared" si="32"/>
        <v>372.00000000000131</v>
      </c>
      <c r="P50" s="93">
        <f t="shared" si="33"/>
        <v>1</v>
      </c>
      <c r="Q50" s="189">
        <f t="shared" si="34"/>
        <v>-127.99999999999869</v>
      </c>
      <c r="R50" s="190">
        <f t="shared" si="27"/>
        <v>0.74400000000000266</v>
      </c>
      <c r="S50" s="659"/>
      <c r="T50" s="202">
        <v>0.57222222222222219</v>
      </c>
      <c r="U50" s="202">
        <v>0.58263888888888882</v>
      </c>
      <c r="V50" s="184">
        <v>4</v>
      </c>
      <c r="W50" s="193">
        <f t="shared" si="29"/>
        <v>14.999999999999947</v>
      </c>
      <c r="X50" s="203"/>
      <c r="Y50" s="203"/>
      <c r="Z50" s="204"/>
      <c r="AA50" s="204"/>
      <c r="AB50" s="644"/>
      <c r="AC50" s="644"/>
      <c r="AD50" s="97"/>
      <c r="AE50" s="97"/>
      <c r="AF50" s="194">
        <f t="shared" si="28"/>
        <v>-139.99999999999341</v>
      </c>
      <c r="AG50" s="195">
        <f t="shared" si="7"/>
        <v>0.93000000000000327</v>
      </c>
      <c r="AH50" s="681"/>
    </row>
    <row r="51" spans="1:34" s="196" customFormat="1" ht="18" customHeight="1">
      <c r="A51" s="679"/>
      <c r="B51" s="176">
        <v>0</v>
      </c>
      <c r="C51" s="182"/>
      <c r="D51" s="201"/>
      <c r="E51" s="199"/>
      <c r="F51" s="183" t="s">
        <v>253</v>
      </c>
      <c r="G51" s="184"/>
      <c r="H51" s="84">
        <f t="shared" si="30"/>
        <v>0</v>
      </c>
      <c r="I51" s="197"/>
      <c r="J51" s="186"/>
      <c r="K51" s="187"/>
      <c r="L51" s="188"/>
      <c r="M51" s="200"/>
      <c r="N51" s="187"/>
      <c r="O51" s="188"/>
      <c r="P51" s="93"/>
      <c r="Q51" s="189"/>
      <c r="R51" s="190"/>
      <c r="S51" s="659"/>
      <c r="T51" s="202"/>
      <c r="U51" s="202"/>
      <c r="V51" s="184"/>
      <c r="W51" s="193"/>
      <c r="X51" s="203"/>
      <c r="Y51" s="203"/>
      <c r="Z51" s="204"/>
      <c r="AA51" s="204"/>
      <c r="AB51" s="644"/>
      <c r="AC51" s="644"/>
      <c r="AD51" s="97"/>
      <c r="AE51" s="97"/>
      <c r="AF51" s="194">
        <f t="shared" si="28"/>
        <v>0</v>
      </c>
      <c r="AG51" s="195" t="e">
        <f t="shared" si="7"/>
        <v>#DIV/0!</v>
      </c>
      <c r="AH51" s="681"/>
    </row>
    <row r="52" spans="1:34" s="196" customFormat="1" ht="18" customHeight="1">
      <c r="A52" s="679"/>
      <c r="B52" s="176">
        <v>0</v>
      </c>
      <c r="C52" s="182"/>
      <c r="D52" s="201"/>
      <c r="E52" s="199"/>
      <c r="F52" s="183" t="s">
        <v>253</v>
      </c>
      <c r="G52" s="184"/>
      <c r="H52" s="205">
        <f>F52*G52</f>
        <v>0</v>
      </c>
      <c r="I52" s="197"/>
      <c r="J52" s="200"/>
      <c r="K52" s="184"/>
      <c r="L52" s="206"/>
      <c r="M52" s="200"/>
      <c r="N52" s="184"/>
      <c r="O52" s="206"/>
      <c r="P52" s="96"/>
      <c r="Q52" s="132"/>
      <c r="R52" s="133"/>
      <c r="S52" s="659"/>
      <c r="T52" s="202"/>
      <c r="U52" s="202"/>
      <c r="V52" s="184"/>
      <c r="W52" s="193">
        <f t="shared" si="29"/>
        <v>0</v>
      </c>
      <c r="X52" s="203"/>
      <c r="Y52" s="203"/>
      <c r="Z52" s="204"/>
      <c r="AA52" s="204"/>
      <c r="AB52" s="644"/>
      <c r="AC52" s="644"/>
      <c r="AD52" s="97"/>
      <c r="AE52" s="97"/>
      <c r="AF52" s="194">
        <f t="shared" si="28"/>
        <v>0</v>
      </c>
      <c r="AG52" s="195" t="e">
        <f t="shared" si="7"/>
        <v>#DIV/0!</v>
      </c>
      <c r="AH52" s="681"/>
    </row>
    <row r="53" spans="1:34" s="196" customFormat="1" ht="18" customHeight="1">
      <c r="A53" s="679"/>
      <c r="B53" s="207">
        <v>0</v>
      </c>
      <c r="C53" s="182"/>
      <c r="D53" s="201"/>
      <c r="E53" s="199"/>
      <c r="F53" s="183" t="s">
        <v>253</v>
      </c>
      <c r="G53" s="184"/>
      <c r="H53" s="205">
        <f>F53*G53</f>
        <v>0</v>
      </c>
      <c r="I53" s="197"/>
      <c r="J53" s="200"/>
      <c r="K53" s="184"/>
      <c r="L53" s="206"/>
      <c r="M53" s="200"/>
      <c r="N53" s="184"/>
      <c r="O53" s="206"/>
      <c r="P53" s="96"/>
      <c r="Q53" s="132"/>
      <c r="R53" s="133"/>
      <c r="S53" s="659"/>
      <c r="T53" s="202"/>
      <c r="U53" s="202"/>
      <c r="V53" s="184"/>
      <c r="W53" s="193">
        <f t="shared" si="29"/>
        <v>0</v>
      </c>
      <c r="X53" s="203"/>
      <c r="Y53" s="203"/>
      <c r="Z53" s="204"/>
      <c r="AA53" s="204"/>
      <c r="AB53" s="644"/>
      <c r="AC53" s="644"/>
      <c r="AD53" s="97"/>
      <c r="AE53" s="97"/>
      <c r="AF53" s="194"/>
      <c r="AG53" s="195"/>
      <c r="AH53" s="681"/>
    </row>
    <row r="54" spans="1:34" s="196" customFormat="1" ht="18" customHeight="1">
      <c r="A54" s="679"/>
      <c r="B54" s="207">
        <v>0</v>
      </c>
      <c r="C54" s="182"/>
      <c r="D54" s="201"/>
      <c r="E54" s="199"/>
      <c r="F54" s="208" t="s">
        <v>253</v>
      </c>
      <c r="G54" s="184"/>
      <c r="H54" s="205">
        <f>F54*G54</f>
        <v>0</v>
      </c>
      <c r="I54" s="197"/>
      <c r="J54" s="200"/>
      <c r="K54" s="184"/>
      <c r="L54" s="206"/>
      <c r="M54" s="200"/>
      <c r="N54" s="184"/>
      <c r="O54" s="206"/>
      <c r="P54" s="96"/>
      <c r="Q54" s="132"/>
      <c r="R54" s="133"/>
      <c r="S54" s="659"/>
      <c r="T54" s="202"/>
      <c r="U54" s="202"/>
      <c r="V54" s="184"/>
      <c r="W54" s="193">
        <f t="shared" si="29"/>
        <v>0</v>
      </c>
      <c r="X54" s="203"/>
      <c r="Y54" s="203"/>
      <c r="Z54" s="204"/>
      <c r="AA54" s="204"/>
      <c r="AB54" s="644"/>
      <c r="AC54" s="644"/>
      <c r="AD54" s="97"/>
      <c r="AE54" s="97"/>
      <c r="AF54" s="194"/>
      <c r="AG54" s="195"/>
      <c r="AH54" s="681"/>
    </row>
    <row r="55" spans="1:34" s="196" customFormat="1" ht="18" customHeight="1">
      <c r="A55" s="679"/>
      <c r="B55" s="207">
        <v>0</v>
      </c>
      <c r="C55" s="182"/>
      <c r="D55" s="201"/>
      <c r="E55" s="199"/>
      <c r="F55" s="208" t="s">
        <v>253</v>
      </c>
      <c r="G55" s="184"/>
      <c r="H55" s="205">
        <f>F55*G55</f>
        <v>0</v>
      </c>
      <c r="I55" s="197"/>
      <c r="J55" s="200"/>
      <c r="K55" s="184"/>
      <c r="L55" s="206"/>
      <c r="M55" s="200"/>
      <c r="N55" s="184"/>
      <c r="O55" s="206"/>
      <c r="P55" s="96"/>
      <c r="Q55" s="132"/>
      <c r="R55" s="133"/>
      <c r="S55" s="659"/>
      <c r="T55" s="202"/>
      <c r="U55" s="202"/>
      <c r="V55" s="184"/>
      <c r="W55" s="193">
        <f t="shared" si="29"/>
        <v>0</v>
      </c>
      <c r="X55" s="203"/>
      <c r="Y55" s="203"/>
      <c r="Z55" s="204"/>
      <c r="AA55" s="204"/>
      <c r="AB55" s="644"/>
      <c r="AC55" s="644"/>
      <c r="AD55" s="97"/>
      <c r="AE55" s="97"/>
      <c r="AF55" s="194"/>
      <c r="AG55" s="195"/>
      <c r="AH55" s="681"/>
    </row>
    <row r="56" spans="1:34" ht="18" customHeight="1">
      <c r="A56" s="680"/>
      <c r="B56" s="209">
        <v>0</v>
      </c>
      <c r="C56" s="138" t="s">
        <v>16</v>
      </c>
      <c r="D56" s="630" t="s">
        <v>220</v>
      </c>
      <c r="E56" s="630"/>
      <c r="F56" s="139"/>
      <c r="G56" s="140"/>
      <c r="H56" s="141"/>
      <c r="I56" s="142"/>
      <c r="J56" s="140">
        <v>5.1428571428571432</v>
      </c>
      <c r="K56" s="140">
        <v>1785.7142857142858</v>
      </c>
      <c r="L56" s="143">
        <v>369.04761904761898</v>
      </c>
      <c r="M56" s="140">
        <f t="shared" ref="M56:O56" si="35">AVERAGE(M44:M55)</f>
        <v>5.8571428571428568</v>
      </c>
      <c r="N56" s="140">
        <f t="shared" si="35"/>
        <v>1713.9422565731106</v>
      </c>
      <c r="O56" s="143">
        <f t="shared" si="35"/>
        <v>305.33266240134515</v>
      </c>
      <c r="P56" s="210">
        <f>M56-J56</f>
        <v>0.71428571428571352</v>
      </c>
      <c r="Q56" s="159">
        <f>N56-K56</f>
        <v>-71.772029141175153</v>
      </c>
      <c r="R56" s="211">
        <f t="shared" ref="R56:R61" si="36">O56/L56</f>
        <v>0.82735302070041927</v>
      </c>
      <c r="S56" s="659"/>
      <c r="T56" s="212"/>
      <c r="U56" s="212"/>
      <c r="V56" s="213"/>
      <c r="W56" s="193">
        <f t="shared" si="29"/>
        <v>0</v>
      </c>
      <c r="X56" s="214"/>
      <c r="Y56" s="214"/>
      <c r="Z56" s="145">
        <f>SUM(Z44:Z55)</f>
        <v>0</v>
      </c>
      <c r="AA56" s="145">
        <f>SUM(AA44:AA55)</f>
        <v>0</v>
      </c>
      <c r="AB56" s="644"/>
      <c r="AC56" s="644"/>
      <c r="AD56" s="146">
        <f>SUM(AD44:AD55)</f>
        <v>1</v>
      </c>
      <c r="AE56" s="146">
        <f>SUM(AE44:AE55)</f>
        <v>2</v>
      </c>
      <c r="AF56" s="215">
        <f>N56-K56</f>
        <v>-71.772029141175153</v>
      </c>
      <c r="AG56" s="133">
        <f>N56/K56</f>
        <v>0.95980766368094195</v>
      </c>
      <c r="AH56" s="681"/>
    </row>
    <row r="57" spans="1:34" ht="18" customHeight="1">
      <c r="A57" s="676" t="s">
        <v>225</v>
      </c>
      <c r="B57" s="176" t="s">
        <v>247</v>
      </c>
      <c r="C57" s="216"/>
      <c r="D57" s="217" t="s">
        <v>131</v>
      </c>
      <c r="E57" s="149"/>
      <c r="F57" s="82">
        <v>28.26</v>
      </c>
      <c r="G57" s="184">
        <v>1457</v>
      </c>
      <c r="H57" s="129">
        <f t="shared" ref="H57:H66" si="37">F57*G57</f>
        <v>41174.82</v>
      </c>
      <c r="I57" s="97"/>
      <c r="J57" s="130">
        <v>6</v>
      </c>
      <c r="K57" s="100">
        <v>1500</v>
      </c>
      <c r="L57" s="131">
        <v>250</v>
      </c>
      <c r="M57" s="137">
        <v>6</v>
      </c>
      <c r="N57" s="100">
        <f t="shared" ref="N57:N61" si="38">G57/W57*60</f>
        <v>1344.9230769230767</v>
      </c>
      <c r="O57" s="131">
        <f t="shared" ref="O57:O61" si="39">N57/M57</f>
        <v>224.1538461538461</v>
      </c>
      <c r="P57" s="218">
        <f t="shared" ref="P57:P61" si="40">M57-J57</f>
        <v>0</v>
      </c>
      <c r="Q57" s="90">
        <f t="shared" ref="Q57:Q61" si="41">O57-L57</f>
        <v>-25.846153846153896</v>
      </c>
      <c r="R57" s="91">
        <f t="shared" si="36"/>
        <v>0.89661538461538437</v>
      </c>
      <c r="S57" s="659">
        <f>R69</f>
        <v>0.95349603345468514</v>
      </c>
      <c r="T57" s="191">
        <v>0.16666666666666666</v>
      </c>
      <c r="U57" s="191">
        <v>0.21180555555555555</v>
      </c>
      <c r="V57" s="65">
        <v>5</v>
      </c>
      <c r="W57" s="85">
        <f>(U57-T57)*24*60</f>
        <v>65.000000000000014</v>
      </c>
      <c r="X57" s="95"/>
      <c r="Y57" s="95"/>
      <c r="Z57" s="96"/>
      <c r="AA57" s="96"/>
      <c r="AB57" s="644"/>
      <c r="AC57" s="644"/>
      <c r="AD57" s="97"/>
      <c r="AE57" s="97"/>
      <c r="AF57" s="89">
        <f t="shared" si="6"/>
        <v>-155.07692307692332</v>
      </c>
      <c r="AG57" s="160">
        <f t="shared" si="7"/>
        <v>0.89661538461538448</v>
      </c>
      <c r="AH57" s="661">
        <f>AG69</f>
        <v>0.95349603345468492</v>
      </c>
    </row>
    <row r="58" spans="1:34" ht="18" customHeight="1">
      <c r="A58" s="677"/>
      <c r="B58" s="176" t="s">
        <v>247</v>
      </c>
      <c r="C58" s="219"/>
      <c r="D58" s="80" t="s">
        <v>132</v>
      </c>
      <c r="E58" s="81"/>
      <c r="F58" s="82">
        <v>27.88</v>
      </c>
      <c r="G58" s="184">
        <v>2187</v>
      </c>
      <c r="H58" s="84">
        <f t="shared" si="37"/>
        <v>60973.56</v>
      </c>
      <c r="I58" s="65"/>
      <c r="J58" s="86">
        <v>6</v>
      </c>
      <c r="K58" s="83">
        <v>1500</v>
      </c>
      <c r="L58" s="131">
        <v>250</v>
      </c>
      <c r="M58" s="88">
        <v>6</v>
      </c>
      <c r="N58" s="83">
        <f t="shared" si="38"/>
        <v>1474.38202247191</v>
      </c>
      <c r="O58" s="87">
        <f t="shared" si="39"/>
        <v>245.73033707865167</v>
      </c>
      <c r="P58" s="218">
        <f t="shared" si="40"/>
        <v>0</v>
      </c>
      <c r="Q58" s="90">
        <f t="shared" si="41"/>
        <v>-4.2696629213483277</v>
      </c>
      <c r="R58" s="91">
        <f t="shared" si="36"/>
        <v>0.98292134831460665</v>
      </c>
      <c r="S58" s="659"/>
      <c r="T58" s="220">
        <v>0.21736111111111112</v>
      </c>
      <c r="U58" s="220">
        <v>0.27916666666666667</v>
      </c>
      <c r="V58" s="65">
        <v>8</v>
      </c>
      <c r="W58" s="85">
        <f>(U58-T58)*24*60</f>
        <v>89</v>
      </c>
      <c r="X58" s="95"/>
      <c r="Y58" s="95"/>
      <c r="Z58" s="96"/>
      <c r="AA58" s="96"/>
      <c r="AB58" s="641"/>
      <c r="AC58" s="642"/>
      <c r="AD58" s="97"/>
      <c r="AE58" s="97"/>
      <c r="AF58" s="89">
        <f t="shared" si="6"/>
        <v>-25.617977528090023</v>
      </c>
      <c r="AG58" s="91">
        <f t="shared" si="7"/>
        <v>0.98292134831460665</v>
      </c>
      <c r="AH58" s="659"/>
    </row>
    <row r="59" spans="1:34" ht="18" customHeight="1">
      <c r="A59" s="677"/>
      <c r="B59" s="176" t="s">
        <v>247</v>
      </c>
      <c r="C59" s="219"/>
      <c r="D59" s="80" t="s">
        <v>133</v>
      </c>
      <c r="E59" s="81"/>
      <c r="F59" s="82">
        <v>28</v>
      </c>
      <c r="G59" s="184">
        <v>2541</v>
      </c>
      <c r="H59" s="84">
        <f t="shared" si="37"/>
        <v>71148</v>
      </c>
      <c r="I59" s="65"/>
      <c r="J59" s="86">
        <v>6</v>
      </c>
      <c r="K59" s="83">
        <v>1500</v>
      </c>
      <c r="L59" s="131">
        <v>250</v>
      </c>
      <c r="M59" s="88">
        <v>6</v>
      </c>
      <c r="N59" s="83">
        <f t="shared" si="38"/>
        <v>1451.9999999999995</v>
      </c>
      <c r="O59" s="87">
        <f t="shared" si="39"/>
        <v>241.99999999999991</v>
      </c>
      <c r="P59" s="218">
        <f t="shared" si="40"/>
        <v>0</v>
      </c>
      <c r="Q59" s="90">
        <f t="shared" si="41"/>
        <v>-8.0000000000000853</v>
      </c>
      <c r="R59" s="91">
        <f t="shared" si="36"/>
        <v>0.96799999999999964</v>
      </c>
      <c r="S59" s="659"/>
      <c r="T59" s="220">
        <v>0.2951388888888889</v>
      </c>
      <c r="U59" s="220">
        <v>0.36805555555555558</v>
      </c>
      <c r="V59" s="192">
        <v>23</v>
      </c>
      <c r="W59" s="85">
        <f>(U59-T59)*24*60</f>
        <v>105.00000000000003</v>
      </c>
      <c r="X59" s="95">
        <v>0.28263888888888888</v>
      </c>
      <c r="Y59" s="95">
        <v>0.29236111111111113</v>
      </c>
      <c r="Z59" s="96"/>
      <c r="AA59" s="96"/>
      <c r="AB59" s="644"/>
      <c r="AC59" s="644"/>
      <c r="AD59" s="97"/>
      <c r="AE59" s="97"/>
      <c r="AF59" s="89">
        <f t="shared" si="6"/>
        <v>-48.000000000000455</v>
      </c>
      <c r="AG59" s="91">
        <f t="shared" si="7"/>
        <v>0.96799999999999975</v>
      </c>
      <c r="AH59" s="659"/>
    </row>
    <row r="60" spans="1:34" ht="18" customHeight="1">
      <c r="A60" s="677"/>
      <c r="B60" s="176" t="s">
        <v>251</v>
      </c>
      <c r="C60" s="219"/>
      <c r="D60" s="80" t="s">
        <v>129</v>
      </c>
      <c r="E60" s="81"/>
      <c r="F60" s="82">
        <v>10.09</v>
      </c>
      <c r="G60" s="184">
        <v>3865.6800000000003</v>
      </c>
      <c r="H60" s="84">
        <f t="shared" si="37"/>
        <v>39004.711200000005</v>
      </c>
      <c r="I60" s="65"/>
      <c r="J60" s="221">
        <v>6</v>
      </c>
      <c r="K60" s="104">
        <v>1500</v>
      </c>
      <c r="L60" s="131">
        <v>250</v>
      </c>
      <c r="M60" s="106">
        <v>6</v>
      </c>
      <c r="N60" s="83">
        <f t="shared" si="38"/>
        <v>1431.7333333333338</v>
      </c>
      <c r="O60" s="87">
        <f t="shared" si="39"/>
        <v>238.62222222222229</v>
      </c>
      <c r="P60" s="218">
        <f t="shared" si="40"/>
        <v>0</v>
      </c>
      <c r="Q60" s="90">
        <f t="shared" si="41"/>
        <v>-11.377777777777709</v>
      </c>
      <c r="R60" s="91">
        <f t="shared" si="36"/>
        <v>0.95448888888888916</v>
      </c>
      <c r="S60" s="659"/>
      <c r="T60" s="220">
        <v>0.38333333333333336</v>
      </c>
      <c r="U60" s="220">
        <v>0.49583333333333335</v>
      </c>
      <c r="V60" s="192">
        <v>22</v>
      </c>
      <c r="W60" s="85">
        <f>(U60-T60)*24*60</f>
        <v>161.99999999999997</v>
      </c>
      <c r="X60" s="95">
        <v>0.37152777777777773</v>
      </c>
      <c r="Y60" s="95">
        <v>0.38055555555555554</v>
      </c>
      <c r="Z60" s="96"/>
      <c r="AA60" s="96"/>
      <c r="AB60" s="644"/>
      <c r="AC60" s="644"/>
      <c r="AD60" s="97"/>
      <c r="AE60" s="97"/>
      <c r="AF60" s="89">
        <f t="shared" si="6"/>
        <v>-68.266666666666197</v>
      </c>
      <c r="AG60" s="160">
        <f t="shared" si="7"/>
        <v>0.95448888888888916</v>
      </c>
      <c r="AH60" s="659"/>
    </row>
    <row r="61" spans="1:34" ht="18" customHeight="1">
      <c r="A61" s="677"/>
      <c r="B61" s="176" t="s">
        <v>251</v>
      </c>
      <c r="C61" s="219"/>
      <c r="D61" s="80" t="s">
        <v>129</v>
      </c>
      <c r="E61" s="81"/>
      <c r="F61" s="82">
        <v>10.09</v>
      </c>
      <c r="G61" s="184">
        <v>3451.5</v>
      </c>
      <c r="H61" s="84">
        <f t="shared" si="37"/>
        <v>34825.635000000002</v>
      </c>
      <c r="I61" s="65"/>
      <c r="J61" s="86">
        <v>6</v>
      </c>
      <c r="K61" s="83">
        <v>1500</v>
      </c>
      <c r="L61" s="131">
        <v>250</v>
      </c>
      <c r="M61" s="106">
        <v>6</v>
      </c>
      <c r="N61" s="83">
        <f t="shared" si="38"/>
        <v>1448.1818181818185</v>
      </c>
      <c r="O61" s="87">
        <f t="shared" si="39"/>
        <v>241.3636363636364</v>
      </c>
      <c r="P61" s="218">
        <f t="shared" si="40"/>
        <v>0</v>
      </c>
      <c r="Q61" s="90">
        <f t="shared" si="41"/>
        <v>-8.6363636363635976</v>
      </c>
      <c r="R61" s="91">
        <f t="shared" si="36"/>
        <v>0.96545454545454557</v>
      </c>
      <c r="S61" s="659"/>
      <c r="T61" s="220">
        <v>0.53611111111111109</v>
      </c>
      <c r="U61" s="220">
        <v>0.63541666666666663</v>
      </c>
      <c r="V61" s="192">
        <v>5</v>
      </c>
      <c r="W61" s="85">
        <f>(U61-T61)*24*60</f>
        <v>142.99999999999997</v>
      </c>
      <c r="X61" s="95"/>
      <c r="Y61" s="95"/>
      <c r="Z61" s="96"/>
      <c r="AA61" s="96"/>
      <c r="AB61" s="644"/>
      <c r="AC61" s="644"/>
      <c r="AD61" s="97"/>
      <c r="AE61" s="97"/>
      <c r="AF61" s="89">
        <f t="shared" si="6"/>
        <v>-51.818181818181529</v>
      </c>
      <c r="AG61" s="160">
        <f t="shared" si="7"/>
        <v>0.96545454545454568</v>
      </c>
      <c r="AH61" s="659"/>
    </row>
    <row r="62" spans="1:34" ht="18" customHeight="1">
      <c r="A62" s="677"/>
      <c r="B62" s="176">
        <v>0</v>
      </c>
      <c r="C62" s="219"/>
      <c r="D62" s="80"/>
      <c r="E62" s="81"/>
      <c r="F62" s="82" t="s">
        <v>253</v>
      </c>
      <c r="G62" s="184"/>
      <c r="H62" s="84">
        <f t="shared" si="37"/>
        <v>0</v>
      </c>
      <c r="I62" s="65"/>
      <c r="J62" s="221"/>
      <c r="K62" s="104"/>
      <c r="L62" s="131"/>
      <c r="M62" s="106"/>
      <c r="N62" s="83"/>
      <c r="O62" s="87"/>
      <c r="P62" s="218"/>
      <c r="Q62" s="90"/>
      <c r="R62" s="91"/>
      <c r="S62" s="659"/>
      <c r="T62" s="220"/>
      <c r="U62" s="220"/>
      <c r="V62" s="192"/>
      <c r="W62" s="85"/>
      <c r="X62" s="95"/>
      <c r="Y62" s="95"/>
      <c r="Z62" s="96"/>
      <c r="AA62" s="96"/>
      <c r="AB62" s="644"/>
      <c r="AC62" s="644"/>
      <c r="AD62" s="97"/>
      <c r="AE62" s="97"/>
      <c r="AF62" s="89">
        <f t="shared" si="6"/>
        <v>0</v>
      </c>
      <c r="AG62" s="160" t="e">
        <f t="shared" si="7"/>
        <v>#DIV/0!</v>
      </c>
      <c r="AH62" s="659"/>
    </row>
    <row r="63" spans="1:34" ht="18" customHeight="1">
      <c r="A63" s="677"/>
      <c r="B63" s="176">
        <v>0</v>
      </c>
      <c r="C63" s="219"/>
      <c r="D63" s="80"/>
      <c r="E63" s="81"/>
      <c r="F63" s="82" t="s">
        <v>253</v>
      </c>
      <c r="G63" s="184"/>
      <c r="H63" s="84">
        <f t="shared" si="37"/>
        <v>0</v>
      </c>
      <c r="I63" s="65"/>
      <c r="J63" s="86"/>
      <c r="K63" s="83"/>
      <c r="L63" s="131"/>
      <c r="M63" s="106"/>
      <c r="N63" s="83"/>
      <c r="O63" s="87"/>
      <c r="P63" s="218"/>
      <c r="Q63" s="90"/>
      <c r="R63" s="91"/>
      <c r="S63" s="659"/>
      <c r="T63" s="220"/>
      <c r="U63" s="220"/>
      <c r="V63" s="192"/>
      <c r="W63" s="85"/>
      <c r="X63" s="95"/>
      <c r="Y63" s="95"/>
      <c r="Z63" s="96"/>
      <c r="AA63" s="96"/>
      <c r="AB63" s="644"/>
      <c r="AC63" s="644"/>
      <c r="AD63" s="97"/>
      <c r="AE63" s="97"/>
      <c r="AF63" s="89">
        <f t="shared" si="6"/>
        <v>0</v>
      </c>
      <c r="AG63" s="160" t="e">
        <f t="shared" si="7"/>
        <v>#DIV/0!</v>
      </c>
      <c r="AH63" s="659"/>
    </row>
    <row r="64" spans="1:34" ht="18" customHeight="1">
      <c r="A64" s="677"/>
      <c r="B64" s="176">
        <v>0</v>
      </c>
      <c r="C64" s="219"/>
      <c r="D64" s="80"/>
      <c r="E64" s="81"/>
      <c r="F64" s="82" t="s">
        <v>253</v>
      </c>
      <c r="G64" s="184"/>
      <c r="H64" s="84">
        <f t="shared" si="37"/>
        <v>0</v>
      </c>
      <c r="I64" s="65"/>
      <c r="J64" s="221"/>
      <c r="K64" s="104"/>
      <c r="L64" s="131"/>
      <c r="M64" s="106"/>
      <c r="N64" s="83"/>
      <c r="O64" s="87"/>
      <c r="P64" s="218"/>
      <c r="Q64" s="90"/>
      <c r="R64" s="91"/>
      <c r="S64" s="659"/>
      <c r="T64" s="220"/>
      <c r="U64" s="220"/>
      <c r="V64" s="192"/>
      <c r="W64" s="85"/>
      <c r="X64" s="65"/>
      <c r="Y64" s="65"/>
      <c r="Z64" s="96"/>
      <c r="AA64" s="96"/>
      <c r="AB64" s="644"/>
      <c r="AC64" s="644"/>
      <c r="AD64" s="97"/>
      <c r="AE64" s="97"/>
      <c r="AF64" s="89">
        <f t="shared" si="6"/>
        <v>0</v>
      </c>
      <c r="AG64" s="160" t="e">
        <f t="shared" si="7"/>
        <v>#DIV/0!</v>
      </c>
      <c r="AH64" s="659"/>
    </row>
    <row r="65" spans="1:34" ht="18" customHeight="1">
      <c r="A65" s="677"/>
      <c r="B65" s="176">
        <v>0</v>
      </c>
      <c r="C65" s="219"/>
      <c r="D65" s="80"/>
      <c r="E65" s="81"/>
      <c r="F65" s="82" t="s">
        <v>253</v>
      </c>
      <c r="G65" s="184"/>
      <c r="H65" s="84">
        <f t="shared" si="37"/>
        <v>0</v>
      </c>
      <c r="I65" s="65"/>
      <c r="J65" s="221"/>
      <c r="K65" s="104"/>
      <c r="L65" s="131"/>
      <c r="M65" s="106"/>
      <c r="N65" s="104"/>
      <c r="O65" s="122"/>
      <c r="P65" s="89"/>
      <c r="Q65" s="90"/>
      <c r="R65" s="91"/>
      <c r="S65" s="659"/>
      <c r="T65" s="220"/>
      <c r="U65" s="220"/>
      <c r="V65" s="192"/>
      <c r="W65" s="85">
        <f t="shared" ref="W65:W69" si="42">(U65-T65)*24*60</f>
        <v>0</v>
      </c>
      <c r="X65" s="65"/>
      <c r="Y65" s="65"/>
      <c r="Z65" s="96"/>
      <c r="AA65" s="96"/>
      <c r="AB65" s="644"/>
      <c r="AC65" s="644"/>
      <c r="AD65" s="97"/>
      <c r="AE65" s="97"/>
      <c r="AF65" s="89">
        <f t="shared" si="6"/>
        <v>0</v>
      </c>
      <c r="AG65" s="160" t="e">
        <f t="shared" si="7"/>
        <v>#DIV/0!</v>
      </c>
      <c r="AH65" s="659"/>
    </row>
    <row r="66" spans="1:34" ht="18" customHeight="1">
      <c r="A66" s="677"/>
      <c r="B66" s="176">
        <v>0</v>
      </c>
      <c r="C66" s="219"/>
      <c r="D66" s="80"/>
      <c r="E66" s="81"/>
      <c r="F66" s="82" t="s">
        <v>253</v>
      </c>
      <c r="G66" s="184"/>
      <c r="H66" s="84">
        <f t="shared" si="37"/>
        <v>0</v>
      </c>
      <c r="I66" s="65"/>
      <c r="J66" s="221"/>
      <c r="K66" s="104"/>
      <c r="L66" s="131"/>
      <c r="M66" s="106"/>
      <c r="N66" s="104"/>
      <c r="O66" s="122"/>
      <c r="P66" s="89"/>
      <c r="Q66" s="90"/>
      <c r="R66" s="91"/>
      <c r="S66" s="659"/>
      <c r="T66" s="220"/>
      <c r="U66" s="220"/>
      <c r="V66" s="192"/>
      <c r="W66" s="85">
        <f t="shared" si="42"/>
        <v>0</v>
      </c>
      <c r="X66" s="65"/>
      <c r="Y66" s="65"/>
      <c r="Z66" s="96"/>
      <c r="AA66" s="96"/>
      <c r="AB66" s="644"/>
      <c r="AC66" s="644"/>
      <c r="AD66" s="97"/>
      <c r="AE66" s="97"/>
      <c r="AF66" s="89">
        <f t="shared" si="6"/>
        <v>0</v>
      </c>
      <c r="AG66" s="160" t="e">
        <f t="shared" si="7"/>
        <v>#DIV/0!</v>
      </c>
      <c r="AH66" s="659"/>
    </row>
    <row r="67" spans="1:34" ht="18" customHeight="1">
      <c r="A67" s="677"/>
      <c r="B67" s="176">
        <v>0</v>
      </c>
      <c r="C67" s="219"/>
      <c r="D67" s="80"/>
      <c r="E67" s="81"/>
      <c r="F67" s="82" t="s">
        <v>253</v>
      </c>
      <c r="G67" s="184"/>
      <c r="H67" s="84">
        <f>F67*G67</f>
        <v>0</v>
      </c>
      <c r="I67" s="65"/>
      <c r="J67" s="221"/>
      <c r="K67" s="104"/>
      <c r="L67" s="131"/>
      <c r="M67" s="106"/>
      <c r="N67" s="104"/>
      <c r="O67" s="122"/>
      <c r="P67" s="89"/>
      <c r="Q67" s="90"/>
      <c r="R67" s="91"/>
      <c r="S67" s="659"/>
      <c r="T67" s="220"/>
      <c r="U67" s="220"/>
      <c r="V67" s="192"/>
      <c r="W67" s="85">
        <f t="shared" si="42"/>
        <v>0</v>
      </c>
      <c r="X67" s="65"/>
      <c r="Y67" s="65"/>
      <c r="Z67" s="96"/>
      <c r="AA67" s="96"/>
      <c r="AB67" s="644"/>
      <c r="AC67" s="644"/>
      <c r="AD67" s="97"/>
      <c r="AE67" s="97"/>
      <c r="AF67" s="89">
        <f t="shared" si="6"/>
        <v>0</v>
      </c>
      <c r="AG67" s="160" t="e">
        <f t="shared" si="7"/>
        <v>#DIV/0!</v>
      </c>
      <c r="AH67" s="659"/>
    </row>
    <row r="68" spans="1:34" ht="18" customHeight="1">
      <c r="A68" s="677"/>
      <c r="B68" s="65">
        <v>0</v>
      </c>
      <c r="C68" s="219"/>
      <c r="D68" s="80"/>
      <c r="E68" s="81"/>
      <c r="F68" s="183" t="s">
        <v>253</v>
      </c>
      <c r="G68" s="184"/>
      <c r="H68" s="84">
        <f>F68*G68</f>
        <v>0</v>
      </c>
      <c r="I68" s="65"/>
      <c r="J68" s="221"/>
      <c r="K68" s="104"/>
      <c r="L68" s="131"/>
      <c r="M68" s="106"/>
      <c r="N68" s="104"/>
      <c r="O68" s="122"/>
      <c r="P68" s="89"/>
      <c r="Q68" s="90"/>
      <c r="R68" s="91"/>
      <c r="S68" s="659"/>
      <c r="T68" s="220"/>
      <c r="U68" s="220"/>
      <c r="V68" s="192"/>
      <c r="W68" s="85">
        <f t="shared" si="42"/>
        <v>0</v>
      </c>
      <c r="X68" s="65"/>
      <c r="Y68" s="65"/>
      <c r="Z68" s="96"/>
      <c r="AA68" s="96"/>
      <c r="AB68" s="644"/>
      <c r="AC68" s="644"/>
      <c r="AD68" s="97"/>
      <c r="AE68" s="97"/>
      <c r="AF68" s="89"/>
      <c r="AG68" s="91"/>
      <c r="AH68" s="659"/>
    </row>
    <row r="69" spans="1:34" ht="18" customHeight="1">
      <c r="A69" s="677"/>
      <c r="B69" s="222">
        <v>0</v>
      </c>
      <c r="C69" s="12" t="s">
        <v>226</v>
      </c>
      <c r="D69" s="630" t="s">
        <v>220</v>
      </c>
      <c r="E69" s="630"/>
      <c r="F69" s="223"/>
      <c r="G69" s="224"/>
      <c r="H69" s="225"/>
      <c r="I69" s="226"/>
      <c r="J69" s="114">
        <v>6</v>
      </c>
      <c r="K69" s="114">
        <v>1500</v>
      </c>
      <c r="L69" s="117">
        <v>250</v>
      </c>
      <c r="M69" s="114">
        <f t="shared" ref="M69:O69" si="43">AVERAGE(M57:M68)</f>
        <v>6</v>
      </c>
      <c r="N69" s="114">
        <f t="shared" si="43"/>
        <v>1430.2440501820274</v>
      </c>
      <c r="O69" s="117">
        <f t="shared" si="43"/>
        <v>238.37400836367129</v>
      </c>
      <c r="P69" s="89">
        <f>M69-J69</f>
        <v>0</v>
      </c>
      <c r="Q69" s="90">
        <f>N69-K69</f>
        <v>-69.755949817972578</v>
      </c>
      <c r="R69" s="227">
        <f t="shared" ref="R69:R70" si="44">O69/L69</f>
        <v>0.95349603345468514</v>
      </c>
      <c r="S69" s="659"/>
      <c r="T69" s="191"/>
      <c r="U69" s="191"/>
      <c r="V69" s="83"/>
      <c r="W69" s="85">
        <f t="shared" si="42"/>
        <v>0</v>
      </c>
      <c r="X69" s="87"/>
      <c r="Y69" s="87"/>
      <c r="Z69" s="145">
        <f>SUM(Z57:Z68)</f>
        <v>0</v>
      </c>
      <c r="AA69" s="145">
        <f>SUM(AA57:AA68)</f>
        <v>0</v>
      </c>
      <c r="AB69" s="644"/>
      <c r="AC69" s="644"/>
      <c r="AD69" s="146">
        <f>SUM(AD57:AD68)</f>
        <v>0</v>
      </c>
      <c r="AE69" s="146">
        <f>SUM(AE57:AE68)</f>
        <v>0</v>
      </c>
      <c r="AF69" s="89">
        <f t="shared" si="6"/>
        <v>-69.755949817972578</v>
      </c>
      <c r="AG69" s="91">
        <f t="shared" si="7"/>
        <v>0.95349603345468492</v>
      </c>
      <c r="AH69" s="659"/>
    </row>
    <row r="70" spans="1:34" ht="15.65" customHeight="1">
      <c r="A70" s="674" t="s">
        <v>227</v>
      </c>
      <c r="B70" s="65" t="s">
        <v>248</v>
      </c>
      <c r="C70" s="176"/>
      <c r="D70" s="80" t="s">
        <v>134</v>
      </c>
      <c r="E70" s="81"/>
      <c r="F70" s="82">
        <v>62.13</v>
      </c>
      <c r="G70" s="83">
        <v>529</v>
      </c>
      <c r="H70" s="84">
        <f>F70*G70</f>
        <v>32866.770000000004</v>
      </c>
      <c r="I70" s="65"/>
      <c r="J70" s="86">
        <v>14</v>
      </c>
      <c r="K70" s="83">
        <v>1500</v>
      </c>
      <c r="L70" s="87">
        <v>107.14285714285714</v>
      </c>
      <c r="M70" s="88">
        <v>12</v>
      </c>
      <c r="N70" s="83">
        <f t="shared" ref="N70:N77" si="45">G70/W70*60</f>
        <v>1133.5714285714294</v>
      </c>
      <c r="O70" s="87">
        <f t="shared" ref="O70:O77" si="46">N70/M70</f>
        <v>94.464285714285779</v>
      </c>
      <c r="P70" s="89">
        <f t="shared" ref="P70:P77" si="47">M70-J70</f>
        <v>-2</v>
      </c>
      <c r="Q70" s="90">
        <f t="shared" ref="Q70" si="48">O70-L70</f>
        <v>-12.67857142857136</v>
      </c>
      <c r="R70" s="91">
        <f t="shared" si="44"/>
        <v>0.88166666666666726</v>
      </c>
      <c r="S70" s="659">
        <f>R82</f>
        <v>0.83623756376909408</v>
      </c>
      <c r="T70" s="92">
        <v>0.29166666666666669</v>
      </c>
      <c r="U70" s="92">
        <v>0.31111111111111112</v>
      </c>
      <c r="V70" s="65">
        <v>5</v>
      </c>
      <c r="W70" s="85">
        <f>(U70-T70)*24*60</f>
        <v>27.999999999999979</v>
      </c>
      <c r="X70" s="65"/>
      <c r="Y70" s="65"/>
      <c r="Z70" s="96"/>
      <c r="AA70" s="96"/>
      <c r="AB70" s="644"/>
      <c r="AC70" s="644"/>
      <c r="AD70" s="97"/>
      <c r="AE70" s="97"/>
      <c r="AF70" s="89">
        <f t="shared" si="6"/>
        <v>-366.42857142857065</v>
      </c>
      <c r="AG70" s="91">
        <f t="shared" si="7"/>
        <v>0.75571428571428623</v>
      </c>
      <c r="AH70" s="659">
        <f>AG82</f>
        <v>0.82379582131939944</v>
      </c>
    </row>
    <row r="71" spans="1:34" ht="17.399999999999999" customHeight="1">
      <c r="A71" s="674"/>
      <c r="B71" s="65" t="s">
        <v>252</v>
      </c>
      <c r="C71" s="79"/>
      <c r="D71" s="228" t="s">
        <v>135</v>
      </c>
      <c r="E71" s="81"/>
      <c r="F71" s="82">
        <v>47.65</v>
      </c>
      <c r="G71" s="83">
        <v>1433.25</v>
      </c>
      <c r="H71" s="84">
        <f>F71*G71</f>
        <v>68294.362500000003</v>
      </c>
      <c r="I71" s="65"/>
      <c r="J71" s="86">
        <v>18</v>
      </c>
      <c r="K71" s="229">
        <v>1440</v>
      </c>
      <c r="L71" s="87">
        <v>80</v>
      </c>
      <c r="M71" s="137">
        <v>18</v>
      </c>
      <c r="N71" s="83">
        <f t="shared" si="45"/>
        <v>1246.304347826087</v>
      </c>
      <c r="O71" s="87">
        <f t="shared" si="46"/>
        <v>69.239130434782609</v>
      </c>
      <c r="P71" s="89">
        <f t="shared" si="47"/>
        <v>0</v>
      </c>
      <c r="Q71" s="90">
        <f>O71-L71</f>
        <v>-10.760869565217391</v>
      </c>
      <c r="R71" s="91">
        <f>O71/L71</f>
        <v>0.86548913043478259</v>
      </c>
      <c r="S71" s="659"/>
      <c r="T71" s="92">
        <v>0.32708333333333334</v>
      </c>
      <c r="U71" s="92">
        <v>0.375</v>
      </c>
      <c r="V71" s="65">
        <v>23</v>
      </c>
      <c r="W71" s="85">
        <f t="shared" ref="W71:W81" si="49">(U71-T71)*24*60</f>
        <v>69</v>
      </c>
      <c r="X71" s="95">
        <v>0.31458333333333333</v>
      </c>
      <c r="Y71" s="95">
        <v>0.32430555555555557</v>
      </c>
      <c r="Z71" s="96"/>
      <c r="AA71" s="96"/>
      <c r="AB71" s="644"/>
      <c r="AC71" s="644"/>
      <c r="AD71" s="97"/>
      <c r="AE71" s="97"/>
      <c r="AF71" s="89">
        <f>N71-K71</f>
        <v>-193.695652173913</v>
      </c>
      <c r="AG71" s="91">
        <f>N71/K71</f>
        <v>0.86548913043478259</v>
      </c>
      <c r="AH71" s="659"/>
    </row>
    <row r="72" spans="1:34" ht="17.399999999999999" customHeight="1">
      <c r="A72" s="674"/>
      <c r="B72" s="65" t="s">
        <v>252</v>
      </c>
      <c r="C72" s="109"/>
      <c r="D72" s="228" t="s">
        <v>136</v>
      </c>
      <c r="E72" s="81"/>
      <c r="F72" s="82">
        <v>47.51</v>
      </c>
      <c r="G72" s="100">
        <v>2300</v>
      </c>
      <c r="H72" s="84">
        <f t="shared" ref="H72:H80" si="50">F72*G72</f>
        <v>109273</v>
      </c>
      <c r="I72" s="65"/>
      <c r="J72" s="130">
        <v>17</v>
      </c>
      <c r="K72" s="100">
        <v>1440</v>
      </c>
      <c r="L72" s="131">
        <v>84.705882352941174</v>
      </c>
      <c r="M72" s="88">
        <v>17</v>
      </c>
      <c r="N72" s="83">
        <f t="shared" si="45"/>
        <v>1266.0550458715595</v>
      </c>
      <c r="O72" s="87">
        <f t="shared" si="46"/>
        <v>74.473826227738797</v>
      </c>
      <c r="P72" s="89">
        <f t="shared" si="47"/>
        <v>0</v>
      </c>
      <c r="Q72" s="90">
        <f>O72-L72</f>
        <v>-10.232056125202377</v>
      </c>
      <c r="R72" s="91">
        <f>O72/L72</f>
        <v>0.87920489296636084</v>
      </c>
      <c r="S72" s="659"/>
      <c r="T72" s="92">
        <v>0.3888888888888889</v>
      </c>
      <c r="U72" s="92">
        <v>0.46458333333333335</v>
      </c>
      <c r="V72" s="65">
        <v>20</v>
      </c>
      <c r="W72" s="85">
        <f t="shared" si="49"/>
        <v>109.00000000000001</v>
      </c>
      <c r="X72" s="95">
        <v>0.37847222222222227</v>
      </c>
      <c r="Y72" s="95">
        <v>0.38611111111111113</v>
      </c>
      <c r="Z72" s="96"/>
      <c r="AA72" s="96"/>
      <c r="AB72" s="644"/>
      <c r="AC72" s="644"/>
      <c r="AD72" s="97"/>
      <c r="AE72" s="97"/>
      <c r="AF72" s="89">
        <f>N72-K72</f>
        <v>-173.94495412844049</v>
      </c>
      <c r="AG72" s="91">
        <f>N72/K72</f>
        <v>0.87920489296636073</v>
      </c>
      <c r="AH72" s="659"/>
    </row>
    <row r="73" spans="1:34" ht="17.399999999999999" customHeight="1">
      <c r="A73" s="674"/>
      <c r="B73" s="65" t="s">
        <v>252</v>
      </c>
      <c r="C73" s="230"/>
      <c r="D73" s="231" t="s">
        <v>137</v>
      </c>
      <c r="E73" s="232"/>
      <c r="F73" s="82">
        <v>64.97</v>
      </c>
      <c r="G73" s="100">
        <v>274</v>
      </c>
      <c r="H73" s="84">
        <f t="shared" si="50"/>
        <v>17801.78</v>
      </c>
      <c r="I73" s="97"/>
      <c r="J73" s="233">
        <v>16</v>
      </c>
      <c r="K73" s="234">
        <v>1440</v>
      </c>
      <c r="L73" s="131">
        <v>90</v>
      </c>
      <c r="M73" s="137">
        <v>17</v>
      </c>
      <c r="N73" s="83">
        <f t="shared" si="45"/>
        <v>1096.0000000000041</v>
      </c>
      <c r="O73" s="87">
        <f t="shared" si="46"/>
        <v>64.470588235294358</v>
      </c>
      <c r="P73" s="89">
        <f t="shared" si="47"/>
        <v>1</v>
      </c>
      <c r="Q73" s="90">
        <f>O73-L73</f>
        <v>-25.529411764705642</v>
      </c>
      <c r="R73" s="91">
        <f>O73/L73</f>
        <v>0.71633986928104842</v>
      </c>
      <c r="S73" s="659"/>
      <c r="T73" s="92">
        <v>0.50555555555555554</v>
      </c>
      <c r="U73" s="92">
        <v>0.51597222222222217</v>
      </c>
      <c r="V73" s="65">
        <v>6</v>
      </c>
      <c r="W73" s="85">
        <f t="shared" si="49"/>
        <v>14.999999999999947</v>
      </c>
      <c r="X73" s="235"/>
      <c r="Y73" s="235"/>
      <c r="Z73" s="167"/>
      <c r="AA73" s="167"/>
      <c r="AB73" s="644"/>
      <c r="AC73" s="644"/>
      <c r="AD73" s="97"/>
      <c r="AE73" s="97"/>
      <c r="AF73" s="89">
        <f>N73-K73</f>
        <v>-343.99999999999591</v>
      </c>
      <c r="AG73" s="91">
        <f>N73/K73</f>
        <v>0.76111111111111396</v>
      </c>
      <c r="AH73" s="659"/>
    </row>
    <row r="74" spans="1:34" ht="17.399999999999999" customHeight="1">
      <c r="A74" s="674"/>
      <c r="B74" s="65" t="s">
        <v>252</v>
      </c>
      <c r="C74" s="230"/>
      <c r="D74" s="231" t="s">
        <v>138</v>
      </c>
      <c r="E74" s="232"/>
      <c r="F74" s="82">
        <v>59.54</v>
      </c>
      <c r="G74" s="229">
        <v>1200</v>
      </c>
      <c r="H74" s="84">
        <f t="shared" si="50"/>
        <v>71448</v>
      </c>
      <c r="I74" s="65"/>
      <c r="J74" s="130">
        <v>17</v>
      </c>
      <c r="K74" s="100">
        <v>1385</v>
      </c>
      <c r="L74" s="131">
        <v>81.470588235294116</v>
      </c>
      <c r="M74" s="88">
        <v>17</v>
      </c>
      <c r="N74" s="83">
        <f t="shared" si="45"/>
        <v>1220.3389830508486</v>
      </c>
      <c r="O74" s="87">
        <f t="shared" si="46"/>
        <v>71.784646061814627</v>
      </c>
      <c r="P74" s="89">
        <f t="shared" si="47"/>
        <v>0</v>
      </c>
      <c r="Q74" s="90">
        <f>O74-L74</f>
        <v>-9.6859421734794893</v>
      </c>
      <c r="R74" s="91">
        <f>O74/L74</f>
        <v>0.88111117909808567</v>
      </c>
      <c r="S74" s="659"/>
      <c r="T74" s="92">
        <v>0.52083333333333326</v>
      </c>
      <c r="U74" s="92">
        <v>0.56180555555555545</v>
      </c>
      <c r="V74" s="65">
        <v>7</v>
      </c>
      <c r="W74" s="85">
        <f t="shared" si="49"/>
        <v>58.99999999999995</v>
      </c>
      <c r="X74" s="235"/>
      <c r="Y74" s="235"/>
      <c r="Z74" s="167"/>
      <c r="AA74" s="167"/>
      <c r="AB74" s="644"/>
      <c r="AC74" s="644"/>
      <c r="AD74" s="97"/>
      <c r="AE74" s="97"/>
      <c r="AF74" s="89">
        <f>N74-K74</f>
        <v>-164.66101694915142</v>
      </c>
      <c r="AG74" s="91">
        <f>N74/K74</f>
        <v>0.88111117909808567</v>
      </c>
      <c r="AH74" s="659"/>
    </row>
    <row r="75" spans="1:34" ht="17.399999999999999" customHeight="1">
      <c r="A75" s="674"/>
      <c r="B75" s="65" t="s">
        <v>252</v>
      </c>
      <c r="C75" s="109"/>
      <c r="D75" s="228" t="s">
        <v>139</v>
      </c>
      <c r="E75" s="81"/>
      <c r="F75" s="82">
        <v>71.55</v>
      </c>
      <c r="G75" s="100">
        <v>635</v>
      </c>
      <c r="H75" s="84">
        <f t="shared" si="50"/>
        <v>45434.25</v>
      </c>
      <c r="I75" s="65"/>
      <c r="J75" s="233">
        <v>19</v>
      </c>
      <c r="K75" s="234">
        <v>1385</v>
      </c>
      <c r="L75" s="131">
        <v>72.89473684210526</v>
      </c>
      <c r="M75" s="88">
        <v>19</v>
      </c>
      <c r="N75" s="83">
        <f t="shared" si="45"/>
        <v>1190.6249999999984</v>
      </c>
      <c r="O75" s="87">
        <f t="shared" si="46"/>
        <v>62.664473684210442</v>
      </c>
      <c r="P75" s="89">
        <f t="shared" si="47"/>
        <v>0</v>
      </c>
      <c r="Q75" s="90">
        <f>O75-L75</f>
        <v>-10.230263157894818</v>
      </c>
      <c r="R75" s="91">
        <f>O75/L75</f>
        <v>0.85965703971119023</v>
      </c>
      <c r="S75" s="659"/>
      <c r="T75" s="92">
        <v>0.5659722222222221</v>
      </c>
      <c r="U75" s="92">
        <v>0.58819444444444435</v>
      </c>
      <c r="V75" s="65">
        <v>6</v>
      </c>
      <c r="W75" s="85">
        <f t="shared" si="49"/>
        <v>32.000000000000043</v>
      </c>
      <c r="X75" s="235"/>
      <c r="Y75" s="235"/>
      <c r="Z75" s="167"/>
      <c r="AA75" s="167"/>
      <c r="AB75" s="644"/>
      <c r="AC75" s="644"/>
      <c r="AD75" s="97"/>
      <c r="AE75" s="97"/>
      <c r="AF75" s="89">
        <f>N75-K75</f>
        <v>-194.37500000000159</v>
      </c>
      <c r="AG75" s="91">
        <f>N75/K75</f>
        <v>0.85965703971119023</v>
      </c>
      <c r="AH75" s="659"/>
    </row>
    <row r="76" spans="1:34" ht="17.399999999999999" customHeight="1">
      <c r="A76" s="674"/>
      <c r="B76" s="65" t="s">
        <v>252</v>
      </c>
      <c r="C76" s="230"/>
      <c r="D76" s="231" t="s">
        <v>135</v>
      </c>
      <c r="E76" s="232"/>
      <c r="F76" s="82">
        <v>47.65</v>
      </c>
      <c r="G76" s="229">
        <v>477.75</v>
      </c>
      <c r="H76" s="84">
        <f t="shared" si="50"/>
        <v>22764.787499999999</v>
      </c>
      <c r="I76" s="65"/>
      <c r="J76" s="130">
        <v>18</v>
      </c>
      <c r="K76" s="100">
        <v>1440</v>
      </c>
      <c r="L76" s="131">
        <v>80</v>
      </c>
      <c r="M76" s="137">
        <v>18</v>
      </c>
      <c r="N76" s="83">
        <f t="shared" si="45"/>
        <v>1246.3043478260827</v>
      </c>
      <c r="O76" s="87">
        <f t="shared" si="46"/>
        <v>69.239130434782368</v>
      </c>
      <c r="P76" s="89">
        <f t="shared" si="47"/>
        <v>0</v>
      </c>
      <c r="Q76" s="90">
        <f t="shared" ref="Q76:Q77" si="51">O76-L76</f>
        <v>-10.760869565217632</v>
      </c>
      <c r="R76" s="91">
        <f t="shared" ref="R76:R77" si="52">O76/L76</f>
        <v>0.8654891304347796</v>
      </c>
      <c r="S76" s="659"/>
      <c r="T76" s="92">
        <v>0.59166666666666656</v>
      </c>
      <c r="U76" s="92">
        <v>0.60763888888888884</v>
      </c>
      <c r="V76" s="65">
        <v>5</v>
      </c>
      <c r="W76" s="85">
        <f t="shared" si="49"/>
        <v>23.000000000000078</v>
      </c>
      <c r="X76" s="235"/>
      <c r="Y76" s="235"/>
      <c r="Z76" s="167"/>
      <c r="AA76" s="167"/>
      <c r="AB76" s="644"/>
      <c r="AC76" s="644"/>
      <c r="AD76" s="97"/>
      <c r="AE76" s="97"/>
      <c r="AF76" s="89">
        <f t="shared" ref="AF76:AF80" si="53">N76-K76</f>
        <v>-193.69565217391732</v>
      </c>
      <c r="AG76" s="91">
        <f t="shared" ref="AG76:AG80" si="54">N76/K76</f>
        <v>0.8654891304347796</v>
      </c>
      <c r="AH76" s="659"/>
    </row>
    <row r="77" spans="1:34" ht="17.399999999999999" customHeight="1">
      <c r="A77" s="674"/>
      <c r="B77" s="65" t="s">
        <v>251</v>
      </c>
      <c r="C77" s="219"/>
      <c r="D77" s="236" t="s">
        <v>140</v>
      </c>
      <c r="E77" s="81"/>
      <c r="F77" s="82">
        <v>53.68</v>
      </c>
      <c r="G77" s="229">
        <v>1319</v>
      </c>
      <c r="H77" s="84">
        <f t="shared" si="50"/>
        <v>70803.92</v>
      </c>
      <c r="I77" s="97"/>
      <c r="J77" s="233">
        <v>20</v>
      </c>
      <c r="K77" s="234">
        <v>1500</v>
      </c>
      <c r="L77" s="131">
        <v>75</v>
      </c>
      <c r="M77" s="88">
        <v>20</v>
      </c>
      <c r="N77" s="83">
        <f t="shared" si="45"/>
        <v>1099.1666666666656</v>
      </c>
      <c r="O77" s="87">
        <f t="shared" si="46"/>
        <v>54.958333333333279</v>
      </c>
      <c r="P77" s="89">
        <f t="shared" si="47"/>
        <v>0</v>
      </c>
      <c r="Q77" s="90">
        <f t="shared" si="51"/>
        <v>-20.041666666666721</v>
      </c>
      <c r="R77" s="91">
        <f t="shared" si="52"/>
        <v>0.73277777777777708</v>
      </c>
      <c r="S77" s="659"/>
      <c r="T77" s="92">
        <v>0.70833333333333337</v>
      </c>
      <c r="U77" s="92">
        <v>0.75833333333333341</v>
      </c>
      <c r="V77" s="65">
        <v>5</v>
      </c>
      <c r="W77" s="85">
        <f t="shared" si="49"/>
        <v>72.000000000000057</v>
      </c>
      <c r="X77" s="235"/>
      <c r="Y77" s="235"/>
      <c r="Z77" s="167"/>
      <c r="AA77" s="167"/>
      <c r="AB77" s="644"/>
      <c r="AC77" s="644"/>
      <c r="AD77" s="97"/>
      <c r="AE77" s="97"/>
      <c r="AF77" s="89">
        <f t="shared" si="53"/>
        <v>-400.83333333333439</v>
      </c>
      <c r="AG77" s="91">
        <f t="shared" si="54"/>
        <v>0.73277777777777708</v>
      </c>
      <c r="AH77" s="659"/>
    </row>
    <row r="78" spans="1:34" ht="17.399999999999999" customHeight="1">
      <c r="A78" s="674"/>
      <c r="B78" s="65">
        <v>0</v>
      </c>
      <c r="C78" s="219"/>
      <c r="D78" s="80"/>
      <c r="E78" s="81"/>
      <c r="F78" s="82" t="s">
        <v>253</v>
      </c>
      <c r="G78" s="100"/>
      <c r="H78" s="84">
        <f t="shared" si="50"/>
        <v>0</v>
      </c>
      <c r="I78" s="97"/>
      <c r="J78" s="130"/>
      <c r="K78" s="100"/>
      <c r="L78" s="131"/>
      <c r="M78" s="137"/>
      <c r="N78" s="83"/>
      <c r="O78" s="87"/>
      <c r="P78" s="89"/>
      <c r="Q78" s="90"/>
      <c r="R78" s="91"/>
      <c r="S78" s="659"/>
      <c r="T78" s="92"/>
      <c r="U78" s="92"/>
      <c r="V78" s="65"/>
      <c r="W78" s="85"/>
      <c r="X78" s="235"/>
      <c r="Y78" s="235"/>
      <c r="Z78" s="167"/>
      <c r="AA78" s="167"/>
      <c r="AB78" s="644"/>
      <c r="AC78" s="644"/>
      <c r="AD78" s="97"/>
      <c r="AE78" s="97"/>
      <c r="AF78" s="89">
        <f t="shared" si="53"/>
        <v>0</v>
      </c>
      <c r="AG78" s="91" t="e">
        <f t="shared" si="54"/>
        <v>#DIV/0!</v>
      </c>
      <c r="AH78" s="659"/>
    </row>
    <row r="79" spans="1:34" ht="17.399999999999999" customHeight="1">
      <c r="A79" s="674"/>
      <c r="B79" s="65">
        <v>0</v>
      </c>
      <c r="C79" s="230"/>
      <c r="D79" s="231"/>
      <c r="E79" s="232"/>
      <c r="F79" s="82" t="s">
        <v>253</v>
      </c>
      <c r="G79" s="100"/>
      <c r="H79" s="84">
        <f t="shared" si="50"/>
        <v>0</v>
      </c>
      <c r="I79" s="97"/>
      <c r="J79" s="130"/>
      <c r="K79" s="100"/>
      <c r="L79" s="131"/>
      <c r="M79" s="137"/>
      <c r="N79" s="100"/>
      <c r="O79" s="237"/>
      <c r="P79" s="238"/>
      <c r="Q79" s="239"/>
      <c r="R79" s="240"/>
      <c r="S79" s="659"/>
      <c r="T79" s="92"/>
      <c r="U79" s="92"/>
      <c r="V79" s="65"/>
      <c r="W79" s="85">
        <f t="shared" si="49"/>
        <v>0</v>
      </c>
      <c r="X79" s="235"/>
      <c r="Y79" s="235"/>
      <c r="Z79" s="167"/>
      <c r="AA79" s="167"/>
      <c r="AB79" s="644"/>
      <c r="AC79" s="644"/>
      <c r="AD79" s="97"/>
      <c r="AE79" s="97"/>
      <c r="AF79" s="89">
        <f t="shared" si="53"/>
        <v>0</v>
      </c>
      <c r="AG79" s="91" t="e">
        <f t="shared" si="54"/>
        <v>#DIV/0!</v>
      </c>
      <c r="AH79" s="659"/>
    </row>
    <row r="80" spans="1:34" ht="17.399999999999999" customHeight="1">
      <c r="A80" s="674"/>
      <c r="B80" s="65">
        <v>0</v>
      </c>
      <c r="C80" s="219"/>
      <c r="D80" s="80"/>
      <c r="E80" s="81"/>
      <c r="F80" s="82"/>
      <c r="G80" s="100"/>
      <c r="H80" s="84">
        <f t="shared" si="50"/>
        <v>0</v>
      </c>
      <c r="I80" s="97"/>
      <c r="J80" s="130"/>
      <c r="K80" s="100"/>
      <c r="L80" s="131"/>
      <c r="M80" s="137"/>
      <c r="N80" s="100"/>
      <c r="O80" s="241"/>
      <c r="P80" s="96"/>
      <c r="Q80" s="132"/>
      <c r="R80" s="242"/>
      <c r="S80" s="659"/>
      <c r="T80" s="92"/>
      <c r="U80" s="92"/>
      <c r="V80" s="65"/>
      <c r="W80" s="85">
        <f t="shared" si="49"/>
        <v>0</v>
      </c>
      <c r="X80" s="235"/>
      <c r="Y80" s="235"/>
      <c r="Z80" s="167"/>
      <c r="AA80" s="167"/>
      <c r="AB80" s="644"/>
      <c r="AC80" s="644"/>
      <c r="AD80" s="97"/>
      <c r="AE80" s="97"/>
      <c r="AF80" s="89">
        <f t="shared" si="53"/>
        <v>0</v>
      </c>
      <c r="AG80" s="91" t="e">
        <f t="shared" si="54"/>
        <v>#DIV/0!</v>
      </c>
      <c r="AH80" s="659"/>
    </row>
    <row r="81" spans="1:34" ht="17.399999999999999" customHeight="1">
      <c r="A81" s="674"/>
      <c r="B81" s="65">
        <v>0</v>
      </c>
      <c r="C81" s="219"/>
      <c r="D81" s="80"/>
      <c r="E81" s="81"/>
      <c r="F81" s="183"/>
      <c r="G81" s="100"/>
      <c r="H81" s="129"/>
      <c r="I81" s="97"/>
      <c r="J81" s="130"/>
      <c r="K81" s="100"/>
      <c r="L81" s="131"/>
      <c r="M81" s="137"/>
      <c r="N81" s="100"/>
      <c r="O81" s="241"/>
      <c r="P81" s="96"/>
      <c r="Q81" s="132"/>
      <c r="R81" s="242"/>
      <c r="S81" s="659"/>
      <c r="T81" s="92"/>
      <c r="U81" s="92"/>
      <c r="V81" s="65"/>
      <c r="W81" s="85">
        <f t="shared" si="49"/>
        <v>0</v>
      </c>
      <c r="X81" s="235"/>
      <c r="Y81" s="235"/>
      <c r="Z81" s="167"/>
      <c r="AA81" s="167"/>
      <c r="AB81" s="644"/>
      <c r="AC81" s="644"/>
      <c r="AD81" s="97"/>
      <c r="AE81" s="97"/>
      <c r="AF81" s="89"/>
      <c r="AG81" s="170"/>
      <c r="AH81" s="659"/>
    </row>
    <row r="82" spans="1:34" ht="18" customHeight="1">
      <c r="A82" s="675"/>
      <c r="B82" s="222">
        <v>0</v>
      </c>
      <c r="C82" s="138" t="s">
        <v>18</v>
      </c>
      <c r="D82" s="630" t="s">
        <v>220</v>
      </c>
      <c r="E82" s="630"/>
      <c r="F82" s="243"/>
      <c r="G82" s="140"/>
      <c r="H82" s="141"/>
      <c r="I82" s="142"/>
      <c r="J82" s="140">
        <v>17.375</v>
      </c>
      <c r="K82" s="140">
        <v>1441.25</v>
      </c>
      <c r="L82" s="143">
        <v>83.901758071649709</v>
      </c>
      <c r="M82" s="140">
        <f t="shared" ref="M82:O82" si="55">AVERAGE(M70:M81)</f>
        <v>17.25</v>
      </c>
      <c r="N82" s="140">
        <f t="shared" si="55"/>
        <v>1187.2957274765845</v>
      </c>
      <c r="O82" s="244">
        <f t="shared" si="55"/>
        <v>70.161801765780282</v>
      </c>
      <c r="P82" s="158">
        <f>M82-J82</f>
        <v>-0.125</v>
      </c>
      <c r="Q82" s="159">
        <f>N82-K82</f>
        <v>-253.95427252341551</v>
      </c>
      <c r="R82" s="227">
        <f>O82/L82</f>
        <v>0.83623756376909408</v>
      </c>
      <c r="S82" s="659"/>
      <c r="T82" s="92"/>
      <c r="U82" s="92"/>
      <c r="V82" s="65"/>
      <c r="W82" s="83"/>
      <c r="X82" s="87"/>
      <c r="Y82" s="87"/>
      <c r="Z82" s="145">
        <f>SUM(Z70:Z81)</f>
        <v>0</v>
      </c>
      <c r="AA82" s="145">
        <f>SUM(AA70:AA81)</f>
        <v>0</v>
      </c>
      <c r="AB82" s="644"/>
      <c r="AC82" s="644"/>
      <c r="AD82" s="146">
        <f>SUM(AD70:AD81)</f>
        <v>0</v>
      </c>
      <c r="AE82" s="146">
        <f>SUM(AE70:AE81)</f>
        <v>0</v>
      </c>
      <c r="AF82" s="89">
        <f>N82-K82</f>
        <v>-253.95427252341551</v>
      </c>
      <c r="AG82" s="91">
        <f>N82/K82</f>
        <v>0.82379582131939944</v>
      </c>
      <c r="AH82" s="659"/>
    </row>
    <row r="83" spans="1:34" ht="18" customHeight="1">
      <c r="A83" s="672" t="s">
        <v>228</v>
      </c>
      <c r="B83" s="147" t="s">
        <v>247</v>
      </c>
      <c r="C83" s="109"/>
      <c r="D83" s="245" t="s">
        <v>112</v>
      </c>
      <c r="E83" s="81"/>
      <c r="F83" s="183">
        <v>54.25</v>
      </c>
      <c r="G83" s="100">
        <v>1641.5</v>
      </c>
      <c r="H83" s="129">
        <f t="shared" ref="H83:H94" si="56">F83*G83</f>
        <v>89051.375</v>
      </c>
      <c r="I83" s="97"/>
      <c r="J83" s="130">
        <v>21</v>
      </c>
      <c r="K83" s="100">
        <v>1385</v>
      </c>
      <c r="L83" s="131">
        <v>65.952380952380949</v>
      </c>
      <c r="M83" s="137">
        <v>20</v>
      </c>
      <c r="N83" s="100">
        <f t="shared" ref="N83:N91" si="57">G83/W83*60</f>
        <v>1094.3333333333333</v>
      </c>
      <c r="O83" s="241">
        <f t="shared" ref="O83:O91" si="58">N83/M83</f>
        <v>54.716666666666661</v>
      </c>
      <c r="P83" s="96">
        <f t="shared" ref="P83:P91" si="59">M83-J83</f>
        <v>-1</v>
      </c>
      <c r="Q83" s="132">
        <f t="shared" ref="Q83:Q91" si="60">O83-L83</f>
        <v>-11.235714285714288</v>
      </c>
      <c r="R83" s="246">
        <f t="shared" ref="R83:R91" si="61">O83/L83</f>
        <v>0.82963898916967505</v>
      </c>
      <c r="S83" s="659">
        <f>R95</f>
        <v>0.77557209153652973</v>
      </c>
      <c r="T83" s="92">
        <v>0.375</v>
      </c>
      <c r="U83" s="92">
        <v>0.4375</v>
      </c>
      <c r="V83" s="65">
        <v>5</v>
      </c>
      <c r="W83" s="85">
        <f t="shared" ref="W83:W93" si="62">(U83-T83)*24*60</f>
        <v>90</v>
      </c>
      <c r="X83" s="95"/>
      <c r="Y83" s="95"/>
      <c r="Z83" s="96"/>
      <c r="AA83" s="96"/>
      <c r="AB83" s="644"/>
      <c r="AC83" s="644"/>
      <c r="AD83" s="97"/>
      <c r="AE83" s="97"/>
      <c r="AF83" s="89">
        <f t="shared" ref="AF83:AF173" si="63">N83-K83</f>
        <v>-290.66666666666674</v>
      </c>
      <c r="AG83" s="91">
        <f t="shared" ref="AG83:AG173" si="64">N83/K83</f>
        <v>0.79013237063778574</v>
      </c>
      <c r="AH83" s="659">
        <f>AG95</f>
        <v>0.75606829074351378</v>
      </c>
    </row>
    <row r="84" spans="1:34" ht="18" customHeight="1">
      <c r="A84" s="673"/>
      <c r="B84" s="147" t="s">
        <v>247</v>
      </c>
      <c r="C84" s="219"/>
      <c r="D84" s="236" t="s">
        <v>141</v>
      </c>
      <c r="E84" s="81"/>
      <c r="F84" s="183">
        <v>57.73</v>
      </c>
      <c r="G84" s="83">
        <v>570</v>
      </c>
      <c r="H84" s="129">
        <f t="shared" si="56"/>
        <v>32906.1</v>
      </c>
      <c r="I84" s="65"/>
      <c r="J84" s="130">
        <v>21</v>
      </c>
      <c r="K84" s="100">
        <v>1385</v>
      </c>
      <c r="L84" s="131">
        <v>65.952380952380949</v>
      </c>
      <c r="M84" s="137">
        <v>20</v>
      </c>
      <c r="N84" s="100">
        <f t="shared" si="57"/>
        <v>949.99999999999932</v>
      </c>
      <c r="O84" s="241">
        <f t="shared" si="58"/>
        <v>47.499999999999964</v>
      </c>
      <c r="P84" s="96">
        <f t="shared" si="59"/>
        <v>-1</v>
      </c>
      <c r="Q84" s="132">
        <f t="shared" si="60"/>
        <v>-18.452380952380985</v>
      </c>
      <c r="R84" s="246">
        <f t="shared" si="61"/>
        <v>0.72021660649819441</v>
      </c>
      <c r="S84" s="659"/>
      <c r="T84" s="92">
        <v>0.45208333333333334</v>
      </c>
      <c r="U84" s="92">
        <v>0.47708333333333336</v>
      </c>
      <c r="V84" s="65">
        <v>21</v>
      </c>
      <c r="W84" s="85">
        <f t="shared" si="62"/>
        <v>36.000000000000028</v>
      </c>
      <c r="X84" s="95">
        <v>0.44097222222222227</v>
      </c>
      <c r="Y84" s="95">
        <v>0.44930555555555557</v>
      </c>
      <c r="Z84" s="96"/>
      <c r="AA84" s="96"/>
      <c r="AB84" s="644"/>
      <c r="AC84" s="644"/>
      <c r="AD84" s="97"/>
      <c r="AE84" s="97"/>
      <c r="AF84" s="89">
        <f t="shared" si="63"/>
        <v>-435.00000000000068</v>
      </c>
      <c r="AG84" s="91">
        <f t="shared" si="64"/>
        <v>0.68592057761732805</v>
      </c>
      <c r="AH84" s="659"/>
    </row>
    <row r="85" spans="1:34" ht="18" customHeight="1">
      <c r="A85" s="673"/>
      <c r="B85" s="147" t="s">
        <v>247</v>
      </c>
      <c r="C85" s="164"/>
      <c r="D85" s="236" t="s">
        <v>142</v>
      </c>
      <c r="E85" s="81"/>
      <c r="F85" s="183">
        <v>57.73</v>
      </c>
      <c r="G85" s="83">
        <v>422</v>
      </c>
      <c r="H85" s="129">
        <f t="shared" si="56"/>
        <v>24362.059999999998</v>
      </c>
      <c r="I85" s="97"/>
      <c r="J85" s="130">
        <v>21</v>
      </c>
      <c r="K85" s="100">
        <v>1385</v>
      </c>
      <c r="L85" s="131">
        <v>65.952380952380949</v>
      </c>
      <c r="M85" s="137">
        <v>20</v>
      </c>
      <c r="N85" s="100">
        <f t="shared" si="57"/>
        <v>937.77777777777555</v>
      </c>
      <c r="O85" s="241">
        <f t="shared" si="58"/>
        <v>46.888888888888779</v>
      </c>
      <c r="P85" s="96">
        <f t="shared" si="59"/>
        <v>-1</v>
      </c>
      <c r="Q85" s="132">
        <f t="shared" si="60"/>
        <v>-19.06349206349217</v>
      </c>
      <c r="R85" s="246">
        <f t="shared" si="61"/>
        <v>0.71095066185318734</v>
      </c>
      <c r="S85" s="659"/>
      <c r="T85" s="92">
        <v>0.51805555555555549</v>
      </c>
      <c r="U85" s="92">
        <v>0.53680555555555554</v>
      </c>
      <c r="V85" s="65">
        <v>6</v>
      </c>
      <c r="W85" s="85">
        <f t="shared" si="62"/>
        <v>27.000000000000064</v>
      </c>
      <c r="X85" s="95"/>
      <c r="Y85" s="95"/>
      <c r="Z85" s="96"/>
      <c r="AA85" s="96"/>
      <c r="AB85" s="641" t="s">
        <v>191</v>
      </c>
      <c r="AC85" s="642"/>
      <c r="AD85" s="97"/>
      <c r="AE85" s="97"/>
      <c r="AF85" s="89">
        <f t="shared" si="63"/>
        <v>-447.22222222222445</v>
      </c>
      <c r="AG85" s="91">
        <f t="shared" si="64"/>
        <v>0.67709586843160685</v>
      </c>
      <c r="AH85" s="659"/>
    </row>
    <row r="86" spans="1:34" ht="18" customHeight="1">
      <c r="A86" s="673"/>
      <c r="B86" s="147" t="s">
        <v>248</v>
      </c>
      <c r="C86" s="176"/>
      <c r="D86" s="236" t="s">
        <v>143</v>
      </c>
      <c r="E86" s="81"/>
      <c r="F86" s="183">
        <v>71.84</v>
      </c>
      <c r="G86" s="83">
        <v>427</v>
      </c>
      <c r="H86" s="129">
        <f t="shared" si="56"/>
        <v>30675.68</v>
      </c>
      <c r="I86" s="97"/>
      <c r="J86" s="130">
        <v>21</v>
      </c>
      <c r="K86" s="100">
        <v>1385</v>
      </c>
      <c r="L86" s="131">
        <v>65.952380952380949</v>
      </c>
      <c r="M86" s="137">
        <v>20</v>
      </c>
      <c r="N86" s="100">
        <f t="shared" si="57"/>
        <v>948.88888888888664</v>
      </c>
      <c r="O86" s="241">
        <f t="shared" si="58"/>
        <v>47.444444444444329</v>
      </c>
      <c r="P86" s="96">
        <f t="shared" si="59"/>
        <v>-1</v>
      </c>
      <c r="Q86" s="132">
        <f t="shared" si="60"/>
        <v>-18.50793650793662</v>
      </c>
      <c r="R86" s="246">
        <f t="shared" si="61"/>
        <v>0.71937424789410176</v>
      </c>
      <c r="S86" s="659"/>
      <c r="T86" s="92">
        <v>0.54166666666666663</v>
      </c>
      <c r="U86" s="92">
        <v>0.56041666666666667</v>
      </c>
      <c r="V86" s="65">
        <v>7</v>
      </c>
      <c r="W86" s="85">
        <f t="shared" si="62"/>
        <v>27.000000000000064</v>
      </c>
      <c r="X86" s="95"/>
      <c r="Y86" s="95"/>
      <c r="Z86" s="96"/>
      <c r="AA86" s="96"/>
      <c r="AB86" s="641" t="s">
        <v>191</v>
      </c>
      <c r="AC86" s="642"/>
      <c r="AD86" s="97"/>
      <c r="AE86" s="97"/>
      <c r="AF86" s="89">
        <f t="shared" si="63"/>
        <v>-436.11111111111336</v>
      </c>
      <c r="AG86" s="91">
        <f t="shared" si="64"/>
        <v>0.68511833132771593</v>
      </c>
      <c r="AH86" s="659"/>
    </row>
    <row r="87" spans="1:34" ht="18" customHeight="1">
      <c r="A87" s="673"/>
      <c r="B87" s="147" t="s">
        <v>248</v>
      </c>
      <c r="C87" s="176"/>
      <c r="D87" s="236" t="s">
        <v>144</v>
      </c>
      <c r="E87" s="81"/>
      <c r="F87" s="183">
        <v>72.400000000000006</v>
      </c>
      <c r="G87" s="83">
        <v>253</v>
      </c>
      <c r="H87" s="129">
        <f t="shared" si="56"/>
        <v>18317.2</v>
      </c>
      <c r="I87" s="97"/>
      <c r="J87" s="130">
        <v>21</v>
      </c>
      <c r="K87" s="100">
        <v>1385</v>
      </c>
      <c r="L87" s="131">
        <v>65.952380952380949</v>
      </c>
      <c r="M87" s="137">
        <v>20</v>
      </c>
      <c r="N87" s="100">
        <f t="shared" si="57"/>
        <v>1012.0000000000036</v>
      </c>
      <c r="O87" s="241">
        <f t="shared" si="58"/>
        <v>50.600000000000179</v>
      </c>
      <c r="P87" s="96">
        <f t="shared" si="59"/>
        <v>-1</v>
      </c>
      <c r="Q87" s="132">
        <f t="shared" si="60"/>
        <v>-15.35238095238077</v>
      </c>
      <c r="R87" s="246">
        <f t="shared" si="61"/>
        <v>0.76722021660650097</v>
      </c>
      <c r="S87" s="659"/>
      <c r="T87" s="92">
        <v>0.56458333333333333</v>
      </c>
      <c r="U87" s="92">
        <v>0.57499999999999996</v>
      </c>
      <c r="V87" s="65">
        <v>6</v>
      </c>
      <c r="W87" s="85">
        <f t="shared" si="62"/>
        <v>14.999999999999947</v>
      </c>
      <c r="X87" s="95"/>
      <c r="Y87" s="95"/>
      <c r="Z87" s="96"/>
      <c r="AA87" s="96"/>
      <c r="AB87" s="641" t="s">
        <v>191</v>
      </c>
      <c r="AC87" s="642"/>
      <c r="AD87" s="97"/>
      <c r="AE87" s="97"/>
      <c r="AF87" s="89">
        <f t="shared" si="63"/>
        <v>-372.99999999999636</v>
      </c>
      <c r="AG87" s="91">
        <f t="shared" si="64"/>
        <v>0.73068592057761994</v>
      </c>
      <c r="AH87" s="659"/>
    </row>
    <row r="88" spans="1:34" ht="18" customHeight="1">
      <c r="A88" s="673"/>
      <c r="B88" s="147" t="s">
        <v>248</v>
      </c>
      <c r="C88" s="219"/>
      <c r="D88" s="236" t="s">
        <v>145</v>
      </c>
      <c r="E88" s="81"/>
      <c r="F88" s="183">
        <v>72.400000000000006</v>
      </c>
      <c r="G88" s="100">
        <v>413</v>
      </c>
      <c r="H88" s="129">
        <f t="shared" si="56"/>
        <v>29901.200000000001</v>
      </c>
      <c r="I88" s="97"/>
      <c r="J88" s="130">
        <v>21</v>
      </c>
      <c r="K88" s="100">
        <v>1385</v>
      </c>
      <c r="L88" s="131">
        <v>65.952380952380949</v>
      </c>
      <c r="M88" s="137">
        <v>20</v>
      </c>
      <c r="N88" s="100">
        <f t="shared" si="57"/>
        <v>953.07692307692059</v>
      </c>
      <c r="O88" s="241">
        <f t="shared" si="58"/>
        <v>47.653846153846033</v>
      </c>
      <c r="P88" s="96">
        <f t="shared" si="59"/>
        <v>-1</v>
      </c>
      <c r="Q88" s="132">
        <f t="shared" si="60"/>
        <v>-18.298534798534916</v>
      </c>
      <c r="R88" s="246">
        <f t="shared" si="61"/>
        <v>0.72254929186336947</v>
      </c>
      <c r="S88" s="659"/>
      <c r="T88" s="92">
        <v>0.57847222222222217</v>
      </c>
      <c r="U88" s="92">
        <v>0.59652777777777777</v>
      </c>
      <c r="V88" s="65">
        <v>5</v>
      </c>
      <c r="W88" s="85">
        <f t="shared" si="62"/>
        <v>26.000000000000068</v>
      </c>
      <c r="X88" s="95"/>
      <c r="Y88" s="95"/>
      <c r="Z88" s="96"/>
      <c r="AA88" s="96"/>
      <c r="AB88" s="641" t="s">
        <v>191</v>
      </c>
      <c r="AC88" s="642"/>
      <c r="AD88" s="97"/>
      <c r="AE88" s="97"/>
      <c r="AF88" s="89">
        <f t="shared" si="63"/>
        <v>-431.92307692307941</v>
      </c>
      <c r="AG88" s="91">
        <f t="shared" si="64"/>
        <v>0.68814218272701844</v>
      </c>
      <c r="AH88" s="659"/>
    </row>
    <row r="89" spans="1:34" ht="18" customHeight="1">
      <c r="A89" s="673"/>
      <c r="B89" s="147" t="s">
        <v>251</v>
      </c>
      <c r="C89" s="219"/>
      <c r="D89" s="80" t="s">
        <v>146</v>
      </c>
      <c r="E89" s="81"/>
      <c r="F89" s="183">
        <v>55.56</v>
      </c>
      <c r="G89" s="156">
        <v>876</v>
      </c>
      <c r="H89" s="129">
        <f t="shared" si="56"/>
        <v>48670.560000000005</v>
      </c>
      <c r="I89" s="247"/>
      <c r="J89" s="130">
        <v>16</v>
      </c>
      <c r="K89" s="100">
        <v>1440</v>
      </c>
      <c r="L89" s="131">
        <v>90</v>
      </c>
      <c r="M89" s="137">
        <v>16</v>
      </c>
      <c r="N89" s="100">
        <f t="shared" si="57"/>
        <v>1281.9512195121947</v>
      </c>
      <c r="O89" s="241">
        <f t="shared" si="58"/>
        <v>80.121951219512169</v>
      </c>
      <c r="P89" s="96">
        <f t="shared" si="59"/>
        <v>0</v>
      </c>
      <c r="Q89" s="132">
        <f t="shared" si="60"/>
        <v>-9.8780487804878305</v>
      </c>
      <c r="R89" s="246">
        <f t="shared" si="61"/>
        <v>0.89024390243902407</v>
      </c>
      <c r="S89" s="659"/>
      <c r="T89" s="92">
        <v>0.70833333333333337</v>
      </c>
      <c r="U89" s="92">
        <v>0.7368055555555556</v>
      </c>
      <c r="V89" s="65">
        <v>5</v>
      </c>
      <c r="W89" s="85">
        <f t="shared" si="62"/>
        <v>41.000000000000014</v>
      </c>
      <c r="X89" s="95"/>
      <c r="Y89" s="95"/>
      <c r="Z89" s="96"/>
      <c r="AA89" s="96"/>
      <c r="AB89" s="644"/>
      <c r="AC89" s="644"/>
      <c r="AD89" s="97"/>
      <c r="AE89" s="97"/>
      <c r="AF89" s="89">
        <f t="shared" si="63"/>
        <v>-158.04878048780529</v>
      </c>
      <c r="AG89" s="91">
        <f t="shared" si="64"/>
        <v>0.89024390243902407</v>
      </c>
      <c r="AH89" s="659"/>
    </row>
    <row r="90" spans="1:34" ht="18" customHeight="1">
      <c r="A90" s="673"/>
      <c r="B90" s="147" t="s">
        <v>251</v>
      </c>
      <c r="C90" s="219"/>
      <c r="D90" s="80" t="s">
        <v>147</v>
      </c>
      <c r="E90" s="81"/>
      <c r="F90" s="183">
        <v>55.32</v>
      </c>
      <c r="G90" s="172">
        <v>552</v>
      </c>
      <c r="H90" s="129">
        <f t="shared" si="56"/>
        <v>30536.639999999999</v>
      </c>
      <c r="I90" s="248"/>
      <c r="J90" s="130">
        <v>14</v>
      </c>
      <c r="K90" s="100">
        <v>1440</v>
      </c>
      <c r="L90" s="131">
        <v>102.85714285714286</v>
      </c>
      <c r="M90" s="137">
        <v>15</v>
      </c>
      <c r="N90" s="100">
        <f t="shared" si="57"/>
        <v>1068.3870967741918</v>
      </c>
      <c r="O90" s="241">
        <f t="shared" si="58"/>
        <v>71.225806451612783</v>
      </c>
      <c r="P90" s="96">
        <f t="shared" si="59"/>
        <v>1</v>
      </c>
      <c r="Q90" s="132">
        <f t="shared" si="60"/>
        <v>-31.631336405530078</v>
      </c>
      <c r="R90" s="246">
        <f t="shared" si="61"/>
        <v>0.6924731182795687</v>
      </c>
      <c r="S90" s="659"/>
      <c r="T90" s="92">
        <v>0.74097222222222225</v>
      </c>
      <c r="U90" s="92">
        <v>0.76250000000000007</v>
      </c>
      <c r="V90" s="65">
        <v>6</v>
      </c>
      <c r="W90" s="85">
        <f t="shared" si="62"/>
        <v>31.00000000000005</v>
      </c>
      <c r="X90" s="249"/>
      <c r="Y90" s="249"/>
      <c r="Z90" s="96"/>
      <c r="AA90" s="96"/>
      <c r="AB90" s="657"/>
      <c r="AC90" s="657"/>
      <c r="AD90" s="97"/>
      <c r="AE90" s="97"/>
      <c r="AF90" s="89">
        <f t="shared" si="63"/>
        <v>-371.61290322580817</v>
      </c>
      <c r="AG90" s="91">
        <f t="shared" si="64"/>
        <v>0.74193548387096653</v>
      </c>
      <c r="AH90" s="659"/>
    </row>
    <row r="91" spans="1:34" ht="18" customHeight="1">
      <c r="A91" s="673"/>
      <c r="B91" s="147" t="s">
        <v>251</v>
      </c>
      <c r="C91" s="219"/>
      <c r="D91" s="80" t="s">
        <v>148</v>
      </c>
      <c r="E91" s="81"/>
      <c r="F91" s="183">
        <v>50.98</v>
      </c>
      <c r="G91" s="83">
        <v>1433</v>
      </c>
      <c r="H91" s="129">
        <f t="shared" si="56"/>
        <v>73054.34</v>
      </c>
      <c r="I91" s="250"/>
      <c r="J91" s="130">
        <v>18</v>
      </c>
      <c r="K91" s="100">
        <v>1440</v>
      </c>
      <c r="L91" s="131">
        <v>80</v>
      </c>
      <c r="M91" s="137">
        <v>18</v>
      </c>
      <c r="N91" s="100">
        <f t="shared" si="57"/>
        <v>1302.7272727272741</v>
      </c>
      <c r="O91" s="241">
        <f t="shared" si="58"/>
        <v>72.373737373737455</v>
      </c>
      <c r="P91" s="96">
        <f t="shared" si="59"/>
        <v>0</v>
      </c>
      <c r="Q91" s="132">
        <f t="shared" si="60"/>
        <v>-7.6262626262625446</v>
      </c>
      <c r="R91" s="246">
        <f t="shared" si="61"/>
        <v>0.90467171717171824</v>
      </c>
      <c r="S91" s="662"/>
      <c r="T91" s="92">
        <v>0.76597222222222228</v>
      </c>
      <c r="U91" s="92">
        <v>0.81180555555555556</v>
      </c>
      <c r="V91" s="65">
        <v>5</v>
      </c>
      <c r="W91" s="85">
        <f t="shared" si="62"/>
        <v>65.999999999999929</v>
      </c>
      <c r="X91" s="157"/>
      <c r="Y91" s="157"/>
      <c r="Z91" s="96"/>
      <c r="AA91" s="96"/>
      <c r="AB91" s="654"/>
      <c r="AC91" s="654"/>
      <c r="AD91" s="97"/>
      <c r="AE91" s="97"/>
      <c r="AF91" s="89">
        <f t="shared" si="63"/>
        <v>-137.27272727272589</v>
      </c>
      <c r="AG91" s="91">
        <f t="shared" si="64"/>
        <v>0.90467171717171813</v>
      </c>
      <c r="AH91" s="662"/>
    </row>
    <row r="92" spans="1:34" ht="18" customHeight="1">
      <c r="A92" s="673"/>
      <c r="B92" s="147">
        <v>0</v>
      </c>
      <c r="C92" s="219"/>
      <c r="D92" s="80"/>
      <c r="E92" s="81"/>
      <c r="F92" s="183" t="s">
        <v>253</v>
      </c>
      <c r="G92" s="83"/>
      <c r="H92" s="129">
        <f t="shared" si="56"/>
        <v>0</v>
      </c>
      <c r="I92" s="250"/>
      <c r="J92" s="251"/>
      <c r="K92" s="252"/>
      <c r="L92" s="253"/>
      <c r="M92" s="106"/>
      <c r="N92" s="252"/>
      <c r="O92" s="253"/>
      <c r="P92" s="254"/>
      <c r="Q92" s="255"/>
      <c r="R92" s="256"/>
      <c r="S92" s="662"/>
      <c r="T92" s="92"/>
      <c r="U92" s="92"/>
      <c r="V92" s="65"/>
      <c r="W92" s="85">
        <f t="shared" si="62"/>
        <v>0</v>
      </c>
      <c r="X92" s="235"/>
      <c r="Y92" s="235"/>
      <c r="Z92" s="167"/>
      <c r="AA92" s="167"/>
      <c r="AB92" s="644"/>
      <c r="AC92" s="644"/>
      <c r="AD92" s="97"/>
      <c r="AE92" s="97"/>
      <c r="AF92" s="89">
        <f t="shared" si="63"/>
        <v>0</v>
      </c>
      <c r="AG92" s="91" t="e">
        <f t="shared" si="64"/>
        <v>#DIV/0!</v>
      </c>
      <c r="AH92" s="662"/>
    </row>
    <row r="93" spans="1:34" ht="18" customHeight="1">
      <c r="A93" s="673"/>
      <c r="B93" s="105">
        <v>0</v>
      </c>
      <c r="C93" s="257"/>
      <c r="D93" s="102"/>
      <c r="E93" s="103"/>
      <c r="F93" s="183" t="s">
        <v>253</v>
      </c>
      <c r="G93" s="83"/>
      <c r="H93" s="129">
        <f t="shared" si="56"/>
        <v>0</v>
      </c>
      <c r="I93" s="258"/>
      <c r="J93" s="130"/>
      <c r="K93" s="100"/>
      <c r="L93" s="253"/>
      <c r="M93" s="137"/>
      <c r="N93" s="100"/>
      <c r="O93" s="131"/>
      <c r="P93" s="96"/>
      <c r="Q93" s="132"/>
      <c r="R93" s="133"/>
      <c r="S93" s="670"/>
      <c r="T93" s="107"/>
      <c r="U93" s="107"/>
      <c r="V93" s="105"/>
      <c r="W93" s="85">
        <f t="shared" si="62"/>
        <v>0</v>
      </c>
      <c r="X93" s="259"/>
      <c r="Y93" s="259"/>
      <c r="Z93" s="167"/>
      <c r="AA93" s="167"/>
      <c r="AB93" s="644"/>
      <c r="AC93" s="644"/>
      <c r="AD93" s="97"/>
      <c r="AE93" s="97"/>
      <c r="AF93" s="89">
        <f t="shared" si="63"/>
        <v>0</v>
      </c>
      <c r="AG93" s="91" t="e">
        <f t="shared" si="64"/>
        <v>#DIV/0!</v>
      </c>
      <c r="AH93" s="662"/>
    </row>
    <row r="94" spans="1:34" ht="18" customHeight="1">
      <c r="A94" s="673"/>
      <c r="B94" s="105">
        <v>0</v>
      </c>
      <c r="C94" s="257"/>
      <c r="D94" s="80"/>
      <c r="E94" s="81"/>
      <c r="F94" s="183" t="s">
        <v>253</v>
      </c>
      <c r="G94" s="83"/>
      <c r="H94" s="129">
        <f t="shared" si="56"/>
        <v>0</v>
      </c>
      <c r="I94" s="250"/>
      <c r="J94" s="130"/>
      <c r="K94" s="260"/>
      <c r="L94" s="87"/>
      <c r="M94" s="261"/>
      <c r="N94" s="100"/>
      <c r="O94" s="131"/>
      <c r="P94" s="96"/>
      <c r="Q94" s="132"/>
      <c r="R94" s="133"/>
      <c r="S94" s="670"/>
      <c r="T94" s="107"/>
      <c r="U94" s="107"/>
      <c r="V94" s="105"/>
      <c r="W94" s="85">
        <f>(U94-T94)*24*60</f>
        <v>0</v>
      </c>
      <c r="X94" s="259"/>
      <c r="Y94" s="259"/>
      <c r="Z94" s="167"/>
      <c r="AA94" s="167"/>
      <c r="AB94" s="644"/>
      <c r="AC94" s="644"/>
      <c r="AD94" s="97"/>
      <c r="AE94" s="97"/>
      <c r="AF94" s="89">
        <f t="shared" si="63"/>
        <v>0</v>
      </c>
      <c r="AG94" s="91" t="e">
        <f t="shared" si="64"/>
        <v>#DIV/0!</v>
      </c>
      <c r="AH94" s="662"/>
    </row>
    <row r="95" spans="1:34" ht="18" customHeight="1">
      <c r="A95" s="673"/>
      <c r="B95" s="262">
        <v>0</v>
      </c>
      <c r="C95" s="138" t="s">
        <v>19</v>
      </c>
      <c r="D95" s="630" t="s">
        <v>220</v>
      </c>
      <c r="E95" s="630"/>
      <c r="F95" s="113"/>
      <c r="G95" s="114"/>
      <c r="H95" s="263"/>
      <c r="I95" s="142"/>
      <c r="J95" s="264">
        <v>19.333333333333332</v>
      </c>
      <c r="K95" s="264">
        <v>1403.3333333333333</v>
      </c>
      <c r="L95" s="265">
        <v>74.285714285714278</v>
      </c>
      <c r="M95" s="264">
        <f t="shared" ref="M95:O95" si="65">AVERAGE(M83:M94)</f>
        <v>18.777777777777779</v>
      </c>
      <c r="N95" s="264">
        <f t="shared" si="65"/>
        <v>1061.0158346767309</v>
      </c>
      <c r="O95" s="265">
        <f t="shared" si="65"/>
        <v>57.613926799856486</v>
      </c>
      <c r="P95" s="266">
        <f>M95-J95</f>
        <v>-0.55555555555555358</v>
      </c>
      <c r="Q95" s="267">
        <f t="shared" ref="Q95:Q104" si="66">O95-L95</f>
        <v>-16.671787485857791</v>
      </c>
      <c r="R95" s="268">
        <f>O95/L95</f>
        <v>0.77557209153652973</v>
      </c>
      <c r="S95" s="662"/>
      <c r="T95" s="107"/>
      <c r="U95" s="107"/>
      <c r="V95" s="104"/>
      <c r="W95" s="104"/>
      <c r="X95" s="122"/>
      <c r="Y95" s="122"/>
      <c r="Z95" s="145">
        <f>SUM(Z83:Z94)</f>
        <v>0</v>
      </c>
      <c r="AA95" s="145">
        <f>SUM(AA83:AA94)</f>
        <v>0</v>
      </c>
      <c r="AB95" s="637"/>
      <c r="AC95" s="637"/>
      <c r="AD95" s="146">
        <f>SUM(AD83:AD94)</f>
        <v>0</v>
      </c>
      <c r="AE95" s="146">
        <f>SUM(AE83:AE94)</f>
        <v>0</v>
      </c>
      <c r="AF95" s="118">
        <f t="shared" si="63"/>
        <v>-342.31749865660231</v>
      </c>
      <c r="AG95" s="125">
        <f t="shared" si="64"/>
        <v>0.75606829074351378</v>
      </c>
      <c r="AH95" s="662"/>
    </row>
    <row r="96" spans="1:34" ht="18" customHeight="1">
      <c r="A96" s="669" t="s">
        <v>229</v>
      </c>
      <c r="B96" s="65" t="s">
        <v>247</v>
      </c>
      <c r="C96" s="176"/>
      <c r="D96" s="80" t="s">
        <v>149</v>
      </c>
      <c r="E96" s="81"/>
      <c r="F96" s="82">
        <v>28.47</v>
      </c>
      <c r="G96" s="83">
        <v>939</v>
      </c>
      <c r="H96" s="84">
        <f t="shared" ref="H96:H106" si="67">F96*G96</f>
        <v>26733.329999999998</v>
      </c>
      <c r="I96" s="65"/>
      <c r="J96" s="86">
        <v>19</v>
      </c>
      <c r="K96" s="83">
        <v>1440</v>
      </c>
      <c r="L96" s="87">
        <v>75.78947368421052</v>
      </c>
      <c r="M96" s="88">
        <v>18</v>
      </c>
      <c r="N96" s="83">
        <f t="shared" ref="N96:N104" si="68">G96/W96*60</f>
        <v>1280.4545454545455</v>
      </c>
      <c r="O96" s="87">
        <f t="shared" ref="O96:O104" si="69">N96/M96</f>
        <v>71.13636363636364</v>
      </c>
      <c r="P96" s="89">
        <f t="shared" ref="P96:P104" si="70">M96-J96</f>
        <v>-1</v>
      </c>
      <c r="Q96" s="90">
        <f t="shared" si="66"/>
        <v>-4.6531100478468801</v>
      </c>
      <c r="R96" s="91">
        <f t="shared" ref="R96:R104" si="71">O96/L96</f>
        <v>0.93860479797979812</v>
      </c>
      <c r="S96" s="659">
        <f>R108</f>
        <v>0.83620622973234915</v>
      </c>
      <c r="T96" s="134">
        <v>0.375</v>
      </c>
      <c r="U96" s="134">
        <v>0.40555555555555556</v>
      </c>
      <c r="V96" s="97">
        <v>5</v>
      </c>
      <c r="W96" s="135">
        <f t="shared" ref="W96:W122" si="72">(U96-T96)*24*60</f>
        <v>44</v>
      </c>
      <c r="X96" s="136"/>
      <c r="Y96" s="136"/>
      <c r="Z96" s="96"/>
      <c r="AA96" s="96"/>
      <c r="AB96" s="629"/>
      <c r="AC96" s="629"/>
      <c r="AD96" s="97"/>
      <c r="AE96" s="97"/>
      <c r="AF96" s="96">
        <f t="shared" si="63"/>
        <v>-159.5454545454545</v>
      </c>
      <c r="AG96" s="133">
        <f t="shared" si="64"/>
        <v>0.88920454545454553</v>
      </c>
      <c r="AH96" s="632">
        <f>AG108</f>
        <v>0.82659567131207257</v>
      </c>
    </row>
    <row r="97" spans="1:34" s="282" customFormat="1" ht="18" customHeight="1">
      <c r="A97" s="669"/>
      <c r="B97" s="65" t="s">
        <v>251</v>
      </c>
      <c r="C97" s="269"/>
      <c r="D97" s="270" t="s">
        <v>150</v>
      </c>
      <c r="E97" s="99"/>
      <c r="F97" s="271">
        <v>53.27</v>
      </c>
      <c r="G97" s="272">
        <v>1163</v>
      </c>
      <c r="H97" s="273">
        <f t="shared" si="67"/>
        <v>61953.01</v>
      </c>
      <c r="I97" s="192"/>
      <c r="J97" s="274">
        <v>17</v>
      </c>
      <c r="K97" s="100">
        <v>1500</v>
      </c>
      <c r="L97" s="87">
        <v>88.235294117647058</v>
      </c>
      <c r="M97" s="130">
        <v>17</v>
      </c>
      <c r="N97" s="100">
        <f t="shared" si="68"/>
        <v>1292.2222222222229</v>
      </c>
      <c r="O97" s="131">
        <f t="shared" si="69"/>
        <v>76.013071895424872</v>
      </c>
      <c r="P97" s="275">
        <f t="shared" si="70"/>
        <v>0</v>
      </c>
      <c r="Q97" s="276">
        <f t="shared" si="66"/>
        <v>-12.222222222222186</v>
      </c>
      <c r="R97" s="277">
        <f t="shared" si="71"/>
        <v>0.86148148148148185</v>
      </c>
      <c r="S97" s="659"/>
      <c r="T97" s="278">
        <v>0.40902777777777777</v>
      </c>
      <c r="U97" s="278">
        <v>0.44652777777777775</v>
      </c>
      <c r="V97" s="279">
        <v>5</v>
      </c>
      <c r="W97" s="135">
        <f t="shared" si="72"/>
        <v>53.999999999999972</v>
      </c>
      <c r="X97" s="95"/>
      <c r="Y97" s="95"/>
      <c r="Z97" s="96"/>
      <c r="AA97" s="96"/>
      <c r="AB97" s="671"/>
      <c r="AC97" s="671"/>
      <c r="AD97" s="279"/>
      <c r="AE97" s="279"/>
      <c r="AF97" s="280">
        <f t="shared" si="63"/>
        <v>-207.77777777777715</v>
      </c>
      <c r="AG97" s="281">
        <f t="shared" si="64"/>
        <v>0.86148148148148185</v>
      </c>
      <c r="AH97" s="632"/>
    </row>
    <row r="98" spans="1:34" s="286" customFormat="1" ht="18" customHeight="1">
      <c r="A98" s="669"/>
      <c r="B98" s="65" t="s">
        <v>251</v>
      </c>
      <c r="C98" s="98"/>
      <c r="D98" s="80" t="s">
        <v>151</v>
      </c>
      <c r="E98" s="169"/>
      <c r="F98" s="271">
        <v>53.68</v>
      </c>
      <c r="G98" s="100">
        <v>895</v>
      </c>
      <c r="H98" s="273">
        <f t="shared" si="67"/>
        <v>48043.6</v>
      </c>
      <c r="I98" s="97"/>
      <c r="J98" s="274">
        <v>16</v>
      </c>
      <c r="K98" s="100">
        <v>1500</v>
      </c>
      <c r="L98" s="87">
        <v>93.75</v>
      </c>
      <c r="M98" s="130">
        <v>16</v>
      </c>
      <c r="N98" s="100">
        <f t="shared" si="68"/>
        <v>1342.4999999999995</v>
      </c>
      <c r="O98" s="131">
        <f t="shared" si="69"/>
        <v>83.906249999999972</v>
      </c>
      <c r="P98" s="96">
        <f t="shared" si="70"/>
        <v>0</v>
      </c>
      <c r="Q98" s="132">
        <f t="shared" si="66"/>
        <v>-9.8437500000000284</v>
      </c>
      <c r="R98" s="91">
        <f t="shared" si="71"/>
        <v>0.89499999999999968</v>
      </c>
      <c r="S98" s="659"/>
      <c r="T98" s="134">
        <v>0.46111111111111108</v>
      </c>
      <c r="U98" s="134">
        <v>0.48888888888888887</v>
      </c>
      <c r="V98" s="97">
        <v>21</v>
      </c>
      <c r="W98" s="135">
        <f t="shared" si="72"/>
        <v>40.000000000000014</v>
      </c>
      <c r="X98" s="283">
        <v>0.45</v>
      </c>
      <c r="Y98" s="283">
        <v>0.45833333333333331</v>
      </c>
      <c r="Z98" s="284"/>
      <c r="AA98" s="284"/>
      <c r="AB98" s="644"/>
      <c r="AC98" s="644"/>
      <c r="AD98" s="97"/>
      <c r="AE98" s="97"/>
      <c r="AF98" s="285">
        <f t="shared" si="63"/>
        <v>-157.50000000000045</v>
      </c>
      <c r="AG98" s="91">
        <f t="shared" si="64"/>
        <v>0.89499999999999968</v>
      </c>
      <c r="AH98" s="632"/>
    </row>
    <row r="99" spans="1:34" ht="18" customHeight="1">
      <c r="A99" s="669"/>
      <c r="B99" s="65" t="s">
        <v>252</v>
      </c>
      <c r="C99" s="127"/>
      <c r="D99" s="168" t="s">
        <v>152</v>
      </c>
      <c r="E99" s="169"/>
      <c r="F99" s="271">
        <v>59.34</v>
      </c>
      <c r="G99" s="100">
        <v>431</v>
      </c>
      <c r="H99" s="273">
        <f t="shared" si="67"/>
        <v>25575.54</v>
      </c>
      <c r="I99" s="97"/>
      <c r="J99" s="86">
        <v>17</v>
      </c>
      <c r="K99" s="83">
        <v>1440</v>
      </c>
      <c r="L99" s="87">
        <v>84.705882352941174</v>
      </c>
      <c r="M99" s="88">
        <v>18</v>
      </c>
      <c r="N99" s="100">
        <f t="shared" si="68"/>
        <v>1077.4999999999968</v>
      </c>
      <c r="O99" s="131">
        <f t="shared" si="69"/>
        <v>59.861111111110937</v>
      </c>
      <c r="P99" s="275">
        <f t="shared" si="70"/>
        <v>1</v>
      </c>
      <c r="Q99" s="276">
        <f t="shared" si="66"/>
        <v>-24.844771241830237</v>
      </c>
      <c r="R99" s="277">
        <f t="shared" si="71"/>
        <v>0.70669367283950413</v>
      </c>
      <c r="S99" s="659"/>
      <c r="T99" s="134">
        <v>0.52986111111111112</v>
      </c>
      <c r="U99" s="134">
        <v>0.54652777777777783</v>
      </c>
      <c r="V99" s="97">
        <v>6</v>
      </c>
      <c r="W99" s="135">
        <f t="shared" si="72"/>
        <v>24.000000000000075</v>
      </c>
      <c r="X99" s="235"/>
      <c r="Y99" s="235"/>
      <c r="Z99" s="167"/>
      <c r="AA99" s="167"/>
      <c r="AB99" s="644"/>
      <c r="AC99" s="644"/>
      <c r="AD99" s="97"/>
      <c r="AE99" s="97"/>
      <c r="AF99" s="89">
        <f t="shared" si="63"/>
        <v>-362.50000000000318</v>
      </c>
      <c r="AG99" s="170">
        <f t="shared" si="64"/>
        <v>0.74826388888888673</v>
      </c>
      <c r="AH99" s="632"/>
    </row>
    <row r="100" spans="1:34" s="286" customFormat="1" ht="18" customHeight="1">
      <c r="A100" s="669"/>
      <c r="B100" s="65" t="s">
        <v>252</v>
      </c>
      <c r="C100" s="98"/>
      <c r="D100" s="80" t="s">
        <v>153</v>
      </c>
      <c r="E100" s="169"/>
      <c r="F100" s="271">
        <v>47.37</v>
      </c>
      <c r="G100" s="100">
        <v>458</v>
      </c>
      <c r="H100" s="273">
        <f t="shared" si="67"/>
        <v>21695.46</v>
      </c>
      <c r="I100" s="97"/>
      <c r="J100" s="274">
        <v>17</v>
      </c>
      <c r="K100" s="100">
        <v>1636</v>
      </c>
      <c r="L100" s="87">
        <v>96.235294117647058</v>
      </c>
      <c r="M100" s="130">
        <v>17</v>
      </c>
      <c r="N100" s="100">
        <f t="shared" si="68"/>
        <v>1249.0909090909136</v>
      </c>
      <c r="O100" s="131">
        <f t="shared" si="69"/>
        <v>73.475935828877269</v>
      </c>
      <c r="P100" s="96">
        <f t="shared" si="70"/>
        <v>0</v>
      </c>
      <c r="Q100" s="132">
        <f t="shared" si="66"/>
        <v>-22.759358288769789</v>
      </c>
      <c r="R100" s="91">
        <f t="shared" si="71"/>
        <v>0.76350300066681764</v>
      </c>
      <c r="S100" s="659"/>
      <c r="T100" s="278">
        <v>0.55138888888888893</v>
      </c>
      <c r="U100" s="278">
        <v>0.56666666666666665</v>
      </c>
      <c r="V100" s="279">
        <v>7</v>
      </c>
      <c r="W100" s="135">
        <f t="shared" si="72"/>
        <v>21.999999999999922</v>
      </c>
      <c r="X100" s="287"/>
      <c r="Y100" s="287"/>
      <c r="Z100" s="284"/>
      <c r="AA100" s="284"/>
      <c r="AB100" s="637"/>
      <c r="AC100" s="637"/>
      <c r="AD100" s="97"/>
      <c r="AE100" s="97"/>
      <c r="AF100" s="285">
        <f t="shared" si="63"/>
        <v>-386.90909090908644</v>
      </c>
      <c r="AG100" s="91">
        <f t="shared" si="64"/>
        <v>0.76350300066681753</v>
      </c>
      <c r="AH100" s="632"/>
    </row>
    <row r="101" spans="1:34" s="286" customFormat="1" ht="18" customHeight="1">
      <c r="A101" s="669"/>
      <c r="B101" s="65" t="s">
        <v>252</v>
      </c>
      <c r="C101" s="98"/>
      <c r="D101" s="168" t="s">
        <v>154</v>
      </c>
      <c r="E101" s="169"/>
      <c r="F101" s="271">
        <v>77.34</v>
      </c>
      <c r="G101" s="100">
        <v>495</v>
      </c>
      <c r="H101" s="273">
        <f t="shared" si="67"/>
        <v>38283.300000000003</v>
      </c>
      <c r="I101" s="97"/>
      <c r="J101" s="274">
        <v>19</v>
      </c>
      <c r="K101" s="100">
        <v>1440</v>
      </c>
      <c r="L101" s="87">
        <v>75.78947368421052</v>
      </c>
      <c r="M101" s="130">
        <v>18</v>
      </c>
      <c r="N101" s="100">
        <f t="shared" si="68"/>
        <v>1060.7142857142835</v>
      </c>
      <c r="O101" s="131">
        <f t="shared" si="69"/>
        <v>58.928571428571303</v>
      </c>
      <c r="P101" s="275">
        <f t="shared" si="70"/>
        <v>-1</v>
      </c>
      <c r="Q101" s="276">
        <f t="shared" si="66"/>
        <v>-16.860902255639218</v>
      </c>
      <c r="R101" s="277">
        <f t="shared" si="71"/>
        <v>0.77752976190476031</v>
      </c>
      <c r="S101" s="659"/>
      <c r="T101" s="278">
        <v>0.57222222222222219</v>
      </c>
      <c r="U101" s="134">
        <v>0.59166666666666667</v>
      </c>
      <c r="V101" s="279">
        <v>8</v>
      </c>
      <c r="W101" s="135">
        <f t="shared" si="72"/>
        <v>28.00000000000006</v>
      </c>
      <c r="X101" s="288"/>
      <c r="Y101" s="288"/>
      <c r="Z101" s="284"/>
      <c r="AA101" s="284"/>
      <c r="AB101" s="637"/>
      <c r="AC101" s="637"/>
      <c r="AD101" s="97"/>
      <c r="AE101" s="97"/>
      <c r="AF101" s="89">
        <f t="shared" si="63"/>
        <v>-379.28571428571649</v>
      </c>
      <c r="AG101" s="170">
        <f t="shared" si="64"/>
        <v>0.73660714285714135</v>
      </c>
      <c r="AH101" s="632"/>
    </row>
    <row r="102" spans="1:34" s="286" customFormat="1" ht="18" customHeight="1">
      <c r="A102" s="669"/>
      <c r="B102" s="65" t="s">
        <v>251</v>
      </c>
      <c r="C102" s="230"/>
      <c r="D102" s="231" t="s">
        <v>155</v>
      </c>
      <c r="E102" s="232"/>
      <c r="F102" s="271">
        <v>56.43</v>
      </c>
      <c r="G102" s="100">
        <v>963</v>
      </c>
      <c r="H102" s="273">
        <f t="shared" si="67"/>
        <v>54342.09</v>
      </c>
      <c r="I102" s="65"/>
      <c r="J102" s="86">
        <v>19</v>
      </c>
      <c r="K102" s="83">
        <v>1500</v>
      </c>
      <c r="L102" s="87">
        <v>78.94736842105263</v>
      </c>
      <c r="M102" s="130">
        <v>18</v>
      </c>
      <c r="N102" s="100">
        <f t="shared" si="68"/>
        <v>1313.1818181818182</v>
      </c>
      <c r="O102" s="131">
        <f t="shared" si="69"/>
        <v>72.954545454545453</v>
      </c>
      <c r="P102" s="275">
        <f t="shared" si="70"/>
        <v>-1</v>
      </c>
      <c r="Q102" s="276">
        <f t="shared" si="66"/>
        <v>-5.9928229665071768</v>
      </c>
      <c r="R102" s="277">
        <f t="shared" si="71"/>
        <v>0.92409090909090907</v>
      </c>
      <c r="S102" s="659"/>
      <c r="T102" s="278">
        <v>0.59513888888888888</v>
      </c>
      <c r="U102" s="278">
        <v>0.62569444444444444</v>
      </c>
      <c r="V102" s="279">
        <v>5</v>
      </c>
      <c r="W102" s="135">
        <f t="shared" si="72"/>
        <v>44</v>
      </c>
      <c r="X102" s="288"/>
      <c r="Y102" s="288"/>
      <c r="Z102" s="284"/>
      <c r="AA102" s="284"/>
      <c r="AB102" s="637"/>
      <c r="AC102" s="637"/>
      <c r="AD102" s="97"/>
      <c r="AE102" s="97"/>
      <c r="AF102" s="285">
        <f t="shared" si="63"/>
        <v>-186.81818181818176</v>
      </c>
      <c r="AG102" s="91">
        <f t="shared" si="64"/>
        <v>0.87545454545454549</v>
      </c>
      <c r="AH102" s="632"/>
    </row>
    <row r="103" spans="1:34" s="286" customFormat="1" ht="18" customHeight="1">
      <c r="A103" s="669"/>
      <c r="B103" s="65" t="s">
        <v>251</v>
      </c>
      <c r="C103" s="289"/>
      <c r="D103" s="168" t="s">
        <v>156</v>
      </c>
      <c r="E103" s="169"/>
      <c r="F103" s="271">
        <v>50.67</v>
      </c>
      <c r="G103" s="100">
        <v>529</v>
      </c>
      <c r="H103" s="273">
        <f t="shared" si="67"/>
        <v>26804.43</v>
      </c>
      <c r="I103" s="290"/>
      <c r="J103" s="274">
        <v>17</v>
      </c>
      <c r="K103" s="100">
        <v>1440</v>
      </c>
      <c r="L103" s="87">
        <v>84.705882352941174</v>
      </c>
      <c r="M103" s="130">
        <v>17</v>
      </c>
      <c r="N103" s="100">
        <f t="shared" si="68"/>
        <v>1094.4827586206875</v>
      </c>
      <c r="O103" s="131">
        <f t="shared" si="69"/>
        <v>64.381338742393382</v>
      </c>
      <c r="P103" s="275">
        <f t="shared" si="70"/>
        <v>0</v>
      </c>
      <c r="Q103" s="276">
        <f t="shared" si="66"/>
        <v>-20.324543610547792</v>
      </c>
      <c r="R103" s="277">
        <f t="shared" si="71"/>
        <v>0.76005747126436629</v>
      </c>
      <c r="S103" s="659"/>
      <c r="T103" s="278">
        <v>0.70833333333333337</v>
      </c>
      <c r="U103" s="278">
        <v>0.7284722222222223</v>
      </c>
      <c r="V103" s="279">
        <v>5</v>
      </c>
      <c r="W103" s="135">
        <f t="shared" si="72"/>
        <v>29.000000000000057</v>
      </c>
      <c r="X103" s="288"/>
      <c r="Y103" s="288"/>
      <c r="Z103" s="284"/>
      <c r="AA103" s="284"/>
      <c r="AB103" s="637"/>
      <c r="AC103" s="637"/>
      <c r="AD103" s="97"/>
      <c r="AE103" s="97"/>
      <c r="AF103" s="89">
        <f t="shared" si="63"/>
        <v>-345.51724137931251</v>
      </c>
      <c r="AG103" s="170">
        <f t="shared" si="64"/>
        <v>0.76005747126436629</v>
      </c>
      <c r="AH103" s="632"/>
    </row>
    <row r="104" spans="1:34" s="286" customFormat="1" ht="18" customHeight="1">
      <c r="A104" s="669"/>
      <c r="B104" s="65" t="s">
        <v>251</v>
      </c>
      <c r="C104" s="291"/>
      <c r="D104" s="168" t="s">
        <v>157</v>
      </c>
      <c r="E104" s="169"/>
      <c r="F104" s="271">
        <v>54.09</v>
      </c>
      <c r="G104" s="272">
        <v>1773</v>
      </c>
      <c r="H104" s="273">
        <f t="shared" si="67"/>
        <v>95901.57</v>
      </c>
      <c r="I104" s="289"/>
      <c r="J104" s="86">
        <v>17</v>
      </c>
      <c r="K104" s="83">
        <v>1440</v>
      </c>
      <c r="L104" s="87">
        <v>84.705882352941174</v>
      </c>
      <c r="M104" s="130">
        <v>17</v>
      </c>
      <c r="N104" s="100">
        <f t="shared" si="68"/>
        <v>1313.333333333333</v>
      </c>
      <c r="O104" s="131">
        <f t="shared" si="69"/>
        <v>77.254901960784295</v>
      </c>
      <c r="P104" s="275">
        <f t="shared" si="70"/>
        <v>0</v>
      </c>
      <c r="Q104" s="276">
        <f t="shared" si="66"/>
        <v>-7.4509803921568789</v>
      </c>
      <c r="R104" s="277">
        <f t="shared" si="71"/>
        <v>0.91203703703703687</v>
      </c>
      <c r="S104" s="662"/>
      <c r="T104" s="278">
        <v>0.73263888888888895</v>
      </c>
      <c r="U104" s="278">
        <v>0.78888888888888897</v>
      </c>
      <c r="V104" s="279">
        <v>6</v>
      </c>
      <c r="W104" s="135">
        <f t="shared" si="72"/>
        <v>81.000000000000028</v>
      </c>
      <c r="X104" s="288"/>
      <c r="Y104" s="288"/>
      <c r="Z104" s="284"/>
      <c r="AA104" s="284"/>
      <c r="AB104" s="637"/>
      <c r="AC104" s="637"/>
      <c r="AD104" s="97"/>
      <c r="AE104" s="97"/>
      <c r="AF104" s="285">
        <f t="shared" si="63"/>
        <v>-126.66666666666697</v>
      </c>
      <c r="AG104" s="91">
        <f t="shared" si="64"/>
        <v>0.91203703703703687</v>
      </c>
      <c r="AH104" s="632"/>
    </row>
    <row r="105" spans="1:34" s="286" customFormat="1" ht="18" customHeight="1">
      <c r="A105" s="669"/>
      <c r="B105" s="65">
        <v>0</v>
      </c>
      <c r="C105" s="291"/>
      <c r="D105" s="168"/>
      <c r="E105" s="169"/>
      <c r="F105" s="271" t="s">
        <v>253</v>
      </c>
      <c r="G105" s="272"/>
      <c r="H105" s="273">
        <f t="shared" si="67"/>
        <v>0</v>
      </c>
      <c r="I105" s="289"/>
      <c r="J105" s="274"/>
      <c r="K105" s="100"/>
      <c r="L105" s="87"/>
      <c r="M105" s="130"/>
      <c r="N105" s="100"/>
      <c r="O105" s="131"/>
      <c r="P105" s="96"/>
      <c r="Q105" s="132"/>
      <c r="R105" s="91"/>
      <c r="S105" s="662"/>
      <c r="T105" s="278"/>
      <c r="U105" s="278"/>
      <c r="V105" s="279"/>
      <c r="W105" s="135">
        <f t="shared" si="72"/>
        <v>0</v>
      </c>
      <c r="X105" s="288"/>
      <c r="Y105" s="288"/>
      <c r="Z105" s="284"/>
      <c r="AA105" s="284"/>
      <c r="AB105" s="637"/>
      <c r="AC105" s="637"/>
      <c r="AD105" s="97"/>
      <c r="AE105" s="97"/>
      <c r="AF105" s="284"/>
      <c r="AG105" s="133"/>
      <c r="AH105" s="632"/>
    </row>
    <row r="106" spans="1:34" s="286" customFormat="1" ht="18" customHeight="1">
      <c r="A106" s="669"/>
      <c r="B106" s="65">
        <v>0</v>
      </c>
      <c r="C106" s="291"/>
      <c r="D106" s="168"/>
      <c r="E106" s="169"/>
      <c r="F106" s="82" t="s">
        <v>253</v>
      </c>
      <c r="G106" s="272"/>
      <c r="H106" s="273">
        <f t="shared" si="67"/>
        <v>0</v>
      </c>
      <c r="I106" s="289"/>
      <c r="J106" s="233"/>
      <c r="K106" s="234"/>
      <c r="L106" s="122"/>
      <c r="M106" s="130"/>
      <c r="N106" s="234"/>
      <c r="O106" s="292"/>
      <c r="P106" s="96"/>
      <c r="Q106" s="132"/>
      <c r="R106" s="133"/>
      <c r="S106" s="670"/>
      <c r="T106" s="278"/>
      <c r="U106" s="278"/>
      <c r="V106" s="279"/>
      <c r="W106" s="135">
        <f t="shared" si="72"/>
        <v>0</v>
      </c>
      <c r="X106" s="288"/>
      <c r="Y106" s="288"/>
      <c r="Z106" s="284"/>
      <c r="AA106" s="284"/>
      <c r="AB106" s="637"/>
      <c r="AC106" s="637"/>
      <c r="AD106" s="97"/>
      <c r="AE106" s="97"/>
      <c r="AF106" s="284"/>
      <c r="AG106" s="133"/>
      <c r="AH106" s="632"/>
    </row>
    <row r="107" spans="1:34" s="286" customFormat="1" ht="18" customHeight="1">
      <c r="A107" s="669"/>
      <c r="B107" s="289">
        <v>0</v>
      </c>
      <c r="C107" s="291"/>
      <c r="D107" s="168"/>
      <c r="E107" s="169"/>
      <c r="F107" s="82" t="s">
        <v>253</v>
      </c>
      <c r="G107" s="272"/>
      <c r="H107" s="293">
        <f>F107*G107</f>
        <v>0</v>
      </c>
      <c r="I107" s="289"/>
      <c r="J107" s="233"/>
      <c r="K107" s="234"/>
      <c r="L107" s="122"/>
      <c r="M107" s="130"/>
      <c r="N107" s="234"/>
      <c r="O107" s="292"/>
      <c r="P107" s="96"/>
      <c r="Q107" s="132"/>
      <c r="R107" s="133"/>
      <c r="S107" s="670"/>
      <c r="T107" s="278"/>
      <c r="U107" s="278"/>
      <c r="V107" s="279"/>
      <c r="W107" s="135">
        <f t="shared" si="72"/>
        <v>0</v>
      </c>
      <c r="X107" s="288"/>
      <c r="Y107" s="288"/>
      <c r="Z107" s="284"/>
      <c r="AA107" s="284"/>
      <c r="AB107" s="637"/>
      <c r="AC107" s="637"/>
      <c r="AD107" s="97"/>
      <c r="AE107" s="97"/>
      <c r="AF107" s="284"/>
      <c r="AG107" s="133"/>
      <c r="AH107" s="632"/>
    </row>
    <row r="108" spans="1:34" ht="18" customHeight="1">
      <c r="A108" s="669"/>
      <c r="B108" s="147">
        <v>0</v>
      </c>
      <c r="C108" s="138" t="s">
        <v>20</v>
      </c>
      <c r="D108" s="630" t="s">
        <v>220</v>
      </c>
      <c r="E108" s="630"/>
      <c r="F108" s="294"/>
      <c r="G108" s="140"/>
      <c r="H108" s="141"/>
      <c r="I108" s="142"/>
      <c r="J108" s="140">
        <v>17.555555555555557</v>
      </c>
      <c r="K108" s="140">
        <v>1481.7777777777778</v>
      </c>
      <c r="L108" s="143">
        <v>84.76272789817682</v>
      </c>
      <c r="M108" s="140">
        <f t="shared" ref="M108:O108" si="73">AVERAGE(M96:M107)</f>
        <v>17.333333333333332</v>
      </c>
      <c r="N108" s="140">
        <f t="shared" si="73"/>
        <v>1224.8310969575334</v>
      </c>
      <c r="O108" s="143">
        <f t="shared" si="73"/>
        <v>70.879121117563443</v>
      </c>
      <c r="P108" s="96">
        <f t="shared" ref="P108:P113" si="74">M108-J108</f>
        <v>-0.22222222222222499</v>
      </c>
      <c r="Q108" s="132">
        <f t="shared" ref="Q108:Q113" si="75">O108-L108</f>
        <v>-13.883606780613377</v>
      </c>
      <c r="R108" s="144">
        <f t="shared" ref="R108:R113" si="76">O108/L108</f>
        <v>0.83620622973234915</v>
      </c>
      <c r="S108" s="662"/>
      <c r="T108" s="134"/>
      <c r="U108" s="134"/>
      <c r="V108" s="100"/>
      <c r="W108" s="135">
        <f t="shared" si="72"/>
        <v>0</v>
      </c>
      <c r="X108" s="131"/>
      <c r="Y108" s="131"/>
      <c r="Z108" s="145">
        <f>SUM(Z96:Z107)</f>
        <v>0</v>
      </c>
      <c r="AA108" s="145">
        <f>SUM(AA96:AA107)</f>
        <v>0</v>
      </c>
      <c r="AB108" s="629"/>
      <c r="AC108" s="629"/>
      <c r="AD108" s="146">
        <f>SUM(AD96:AD107)</f>
        <v>0</v>
      </c>
      <c r="AE108" s="146">
        <f>SUM(AE96:AE107)</f>
        <v>0</v>
      </c>
      <c r="AF108" s="96">
        <f t="shared" si="63"/>
        <v>-256.94668082024441</v>
      </c>
      <c r="AG108" s="133">
        <f t="shared" si="64"/>
        <v>0.82659567131207257</v>
      </c>
      <c r="AH108" s="632"/>
    </row>
    <row r="109" spans="1:34" ht="18" customHeight="1">
      <c r="A109" s="665" t="s">
        <v>230</v>
      </c>
      <c r="B109" s="65" t="s">
        <v>251</v>
      </c>
      <c r="C109" s="219"/>
      <c r="D109" s="231" t="s">
        <v>158</v>
      </c>
      <c r="E109" s="81"/>
      <c r="F109" s="82">
        <v>51.86</v>
      </c>
      <c r="G109" s="83">
        <v>783</v>
      </c>
      <c r="H109" s="84">
        <f t="shared" ref="H109:H118" si="77">F109*G109</f>
        <v>40606.379999999997</v>
      </c>
      <c r="I109" s="65"/>
      <c r="J109" s="86">
        <v>21</v>
      </c>
      <c r="K109" s="83">
        <v>1500</v>
      </c>
      <c r="L109" s="87">
        <v>71.428571428571431</v>
      </c>
      <c r="M109" s="88">
        <v>20</v>
      </c>
      <c r="N109" s="83">
        <f t="shared" ref="N109:N113" si="78">G109/W109*60</f>
        <v>1342.2857142857129</v>
      </c>
      <c r="O109" s="87">
        <f t="shared" ref="O109:O113" si="79">N109/M109</f>
        <v>67.114285714285643</v>
      </c>
      <c r="P109" s="89">
        <f t="shared" si="74"/>
        <v>-1</v>
      </c>
      <c r="Q109" s="90">
        <f t="shared" si="75"/>
        <v>-4.3142857142857878</v>
      </c>
      <c r="R109" s="91">
        <f t="shared" si="76"/>
        <v>0.93959999999999899</v>
      </c>
      <c r="S109" s="668">
        <f>R121</f>
        <v>0.850257880340752</v>
      </c>
      <c r="T109" s="295">
        <v>0.5</v>
      </c>
      <c r="U109" s="295">
        <v>0.52430555555555558</v>
      </c>
      <c r="V109" s="296">
        <v>5</v>
      </c>
      <c r="W109" s="85">
        <f t="shared" si="72"/>
        <v>35.000000000000036</v>
      </c>
      <c r="X109" s="95"/>
      <c r="Y109" s="95"/>
      <c r="Z109" s="96"/>
      <c r="AA109" s="96"/>
      <c r="AB109" s="644"/>
      <c r="AC109" s="644"/>
      <c r="AD109" s="97"/>
      <c r="AE109" s="97"/>
      <c r="AF109" s="89">
        <f t="shared" si="63"/>
        <v>-157.71428571428714</v>
      </c>
      <c r="AG109" s="170">
        <f t="shared" si="64"/>
        <v>0.89485714285714191</v>
      </c>
      <c r="AH109" s="632">
        <f>AG121</f>
        <v>0.85039374061188022</v>
      </c>
    </row>
    <row r="110" spans="1:34" ht="18" customHeight="1">
      <c r="A110" s="666"/>
      <c r="B110" s="65" t="s">
        <v>252</v>
      </c>
      <c r="C110" s="230"/>
      <c r="D110" s="80" t="s">
        <v>159</v>
      </c>
      <c r="E110" s="232"/>
      <c r="F110" s="82">
        <v>53.76</v>
      </c>
      <c r="G110" s="229">
        <v>1807</v>
      </c>
      <c r="H110" s="84">
        <f t="shared" si="77"/>
        <v>97144.319999999992</v>
      </c>
      <c r="I110" s="65"/>
      <c r="J110" s="86">
        <v>16</v>
      </c>
      <c r="K110" s="83">
        <v>1440</v>
      </c>
      <c r="L110" s="87">
        <v>90</v>
      </c>
      <c r="M110" s="88">
        <v>16</v>
      </c>
      <c r="N110" s="83">
        <f t="shared" si="78"/>
        <v>1290.7142857142853</v>
      </c>
      <c r="O110" s="87">
        <f t="shared" si="79"/>
        <v>80.669642857142833</v>
      </c>
      <c r="P110" s="89">
        <f t="shared" si="74"/>
        <v>0</v>
      </c>
      <c r="Q110" s="90">
        <f t="shared" si="75"/>
        <v>-9.3303571428571672</v>
      </c>
      <c r="R110" s="91">
        <f t="shared" si="76"/>
        <v>0.89632936507936478</v>
      </c>
      <c r="S110" s="651"/>
      <c r="T110" s="295">
        <v>0.53888888888888886</v>
      </c>
      <c r="U110" s="295">
        <v>0.59722222222222221</v>
      </c>
      <c r="V110" s="296">
        <v>21</v>
      </c>
      <c r="W110" s="85">
        <f t="shared" si="72"/>
        <v>84.000000000000028</v>
      </c>
      <c r="X110" s="249">
        <v>0.52777777777777779</v>
      </c>
      <c r="Y110" s="249">
        <v>0.53611111111111109</v>
      </c>
      <c r="Z110" s="96"/>
      <c r="AA110" s="96"/>
      <c r="AB110" s="657"/>
      <c r="AC110" s="657"/>
      <c r="AD110" s="97"/>
      <c r="AE110" s="97"/>
      <c r="AF110" s="238">
        <f t="shared" si="63"/>
        <v>-149.28571428571468</v>
      </c>
      <c r="AG110" s="170">
        <f t="shared" si="64"/>
        <v>0.89632936507936478</v>
      </c>
      <c r="AH110" s="632"/>
    </row>
    <row r="111" spans="1:34" ht="18" customHeight="1">
      <c r="A111" s="666"/>
      <c r="B111" s="65" t="s">
        <v>251</v>
      </c>
      <c r="C111" s="230"/>
      <c r="D111" s="80" t="s">
        <v>150</v>
      </c>
      <c r="E111" s="232"/>
      <c r="F111" s="82">
        <v>53.27</v>
      </c>
      <c r="G111" s="100">
        <v>232.60000000000002</v>
      </c>
      <c r="H111" s="84">
        <f t="shared" si="77"/>
        <v>12390.602000000003</v>
      </c>
      <c r="I111" s="65"/>
      <c r="J111" s="86">
        <v>17</v>
      </c>
      <c r="K111" s="83">
        <v>1500</v>
      </c>
      <c r="L111" s="87">
        <v>88.235294117647058</v>
      </c>
      <c r="M111" s="155">
        <v>17</v>
      </c>
      <c r="N111" s="83">
        <f t="shared" si="78"/>
        <v>1268.7272727272773</v>
      </c>
      <c r="O111" s="87">
        <f t="shared" si="79"/>
        <v>74.631016042781013</v>
      </c>
      <c r="P111" s="89">
        <f t="shared" si="74"/>
        <v>0</v>
      </c>
      <c r="Q111" s="90">
        <f t="shared" si="75"/>
        <v>-13.604278074866045</v>
      </c>
      <c r="R111" s="91">
        <f t="shared" si="76"/>
        <v>0.8458181818181848</v>
      </c>
      <c r="S111" s="651"/>
      <c r="T111" s="295">
        <v>0.60138888888888886</v>
      </c>
      <c r="U111" s="295">
        <v>0.60902777777777772</v>
      </c>
      <c r="V111" s="296">
        <v>6</v>
      </c>
      <c r="W111" s="85">
        <f t="shared" si="72"/>
        <v>10.999999999999961</v>
      </c>
      <c r="X111" s="95"/>
      <c r="Y111" s="95"/>
      <c r="Z111" s="96"/>
      <c r="AA111" s="96"/>
      <c r="AB111" s="644"/>
      <c r="AC111" s="644"/>
      <c r="AD111" s="97"/>
      <c r="AE111" s="97"/>
      <c r="AF111" s="89">
        <f t="shared" si="63"/>
        <v>-231.2727272727227</v>
      </c>
      <c r="AG111" s="170">
        <f t="shared" si="64"/>
        <v>0.84581818181818491</v>
      </c>
      <c r="AH111" s="632"/>
    </row>
    <row r="112" spans="1:34" ht="18" customHeight="1">
      <c r="A112" s="666"/>
      <c r="B112" s="65" t="s">
        <v>251</v>
      </c>
      <c r="C112" s="230"/>
      <c r="D112" s="231" t="s">
        <v>160</v>
      </c>
      <c r="E112" s="232"/>
      <c r="F112" s="82">
        <v>58.17</v>
      </c>
      <c r="G112" s="100">
        <v>1458.4</v>
      </c>
      <c r="H112" s="84">
        <f t="shared" si="77"/>
        <v>84835.128000000012</v>
      </c>
      <c r="I112" s="97"/>
      <c r="J112" s="86">
        <v>18</v>
      </c>
      <c r="K112" s="83">
        <v>1385</v>
      </c>
      <c r="L112" s="87">
        <v>76.944444444444443</v>
      </c>
      <c r="M112" s="155">
        <v>19</v>
      </c>
      <c r="N112" s="83">
        <f t="shared" si="78"/>
        <v>1080.2962962962958</v>
      </c>
      <c r="O112" s="87">
        <f t="shared" si="79"/>
        <v>56.857699805068201</v>
      </c>
      <c r="P112" s="89">
        <f t="shared" si="74"/>
        <v>1</v>
      </c>
      <c r="Q112" s="90">
        <f t="shared" si="75"/>
        <v>-20.086744639376242</v>
      </c>
      <c r="R112" s="91">
        <f t="shared" si="76"/>
        <v>0.73894483501171671</v>
      </c>
      <c r="S112" s="651"/>
      <c r="T112" s="295">
        <v>0.70833333333333337</v>
      </c>
      <c r="U112" s="295">
        <v>0.76458333333333339</v>
      </c>
      <c r="V112" s="296">
        <v>5</v>
      </c>
      <c r="W112" s="85">
        <f t="shared" si="72"/>
        <v>81.000000000000028</v>
      </c>
      <c r="X112" s="95"/>
      <c r="Y112" s="95"/>
      <c r="Z112" s="96"/>
      <c r="AA112" s="96"/>
      <c r="AB112" s="644"/>
      <c r="AC112" s="644"/>
      <c r="AD112" s="97"/>
      <c r="AE112" s="97"/>
      <c r="AF112" s="89">
        <f t="shared" si="63"/>
        <v>-304.70370370370415</v>
      </c>
      <c r="AG112" s="170">
        <f t="shared" si="64"/>
        <v>0.77999732584570103</v>
      </c>
      <c r="AH112" s="632"/>
    </row>
    <row r="113" spans="1:34" s="286" customFormat="1" ht="18" customHeight="1">
      <c r="A113" s="666"/>
      <c r="B113" s="65" t="s">
        <v>251</v>
      </c>
      <c r="C113" s="230"/>
      <c r="D113" s="231" t="s">
        <v>161</v>
      </c>
      <c r="E113" s="232"/>
      <c r="F113" s="82">
        <v>57.73</v>
      </c>
      <c r="G113" s="100">
        <v>917</v>
      </c>
      <c r="H113" s="84">
        <f t="shared" si="77"/>
        <v>52938.409999999996</v>
      </c>
      <c r="I113" s="97"/>
      <c r="J113" s="86">
        <v>18</v>
      </c>
      <c r="K113" s="83">
        <v>1440</v>
      </c>
      <c r="L113" s="87">
        <v>80</v>
      </c>
      <c r="M113" s="88">
        <v>18</v>
      </c>
      <c r="N113" s="83">
        <f t="shared" si="78"/>
        <v>1196.0869565217392</v>
      </c>
      <c r="O113" s="87">
        <f t="shared" si="79"/>
        <v>66.449275362318843</v>
      </c>
      <c r="P113" s="89">
        <f t="shared" si="74"/>
        <v>0</v>
      </c>
      <c r="Q113" s="90">
        <f t="shared" si="75"/>
        <v>-13.550724637681157</v>
      </c>
      <c r="R113" s="91">
        <f t="shared" si="76"/>
        <v>0.83061594202898559</v>
      </c>
      <c r="S113" s="651"/>
      <c r="T113" s="295">
        <v>0.78125000000000011</v>
      </c>
      <c r="U113" s="295">
        <v>0.81319444444444455</v>
      </c>
      <c r="V113" s="296">
        <v>24</v>
      </c>
      <c r="W113" s="85">
        <f t="shared" si="72"/>
        <v>46</v>
      </c>
      <c r="X113" s="283">
        <v>0.7680555555555556</v>
      </c>
      <c r="Y113" s="283">
        <v>0.77847222222222223</v>
      </c>
      <c r="Z113" s="284"/>
      <c r="AA113" s="284"/>
      <c r="AB113" s="633"/>
      <c r="AC113" s="633"/>
      <c r="AD113" s="289"/>
      <c r="AE113" s="289"/>
      <c r="AF113" s="238">
        <f t="shared" si="63"/>
        <v>-243.91304347826076</v>
      </c>
      <c r="AG113" s="170">
        <f t="shared" si="64"/>
        <v>0.83061594202898559</v>
      </c>
      <c r="AH113" s="632"/>
    </row>
    <row r="114" spans="1:34" s="286" customFormat="1" ht="18" customHeight="1">
      <c r="A114" s="666"/>
      <c r="B114" s="65">
        <v>0</v>
      </c>
      <c r="C114" s="230"/>
      <c r="D114" s="231"/>
      <c r="E114" s="232"/>
      <c r="F114" s="82" t="s">
        <v>253</v>
      </c>
      <c r="G114" s="100"/>
      <c r="H114" s="84">
        <f t="shared" si="77"/>
        <v>0</v>
      </c>
      <c r="I114" s="97"/>
      <c r="J114" s="86"/>
      <c r="K114" s="83"/>
      <c r="L114" s="87"/>
      <c r="M114" s="155"/>
      <c r="N114" s="83"/>
      <c r="O114" s="87"/>
      <c r="P114" s="89"/>
      <c r="Q114" s="90"/>
      <c r="R114" s="91"/>
      <c r="S114" s="651"/>
      <c r="T114" s="295"/>
      <c r="U114" s="295"/>
      <c r="V114" s="296"/>
      <c r="W114" s="85"/>
      <c r="X114" s="283"/>
      <c r="Y114" s="283"/>
      <c r="Z114" s="284"/>
      <c r="AA114" s="284"/>
      <c r="AB114" s="633"/>
      <c r="AC114" s="633"/>
      <c r="AD114" s="289"/>
      <c r="AE114" s="289"/>
      <c r="AF114" s="89">
        <f t="shared" si="63"/>
        <v>0</v>
      </c>
      <c r="AG114" s="170" t="e">
        <f t="shared" si="64"/>
        <v>#DIV/0!</v>
      </c>
      <c r="AH114" s="632"/>
    </row>
    <row r="115" spans="1:34" s="286" customFormat="1" ht="18" customHeight="1">
      <c r="A115" s="666"/>
      <c r="B115" s="65">
        <v>0</v>
      </c>
      <c r="C115" s="230"/>
      <c r="D115" s="231"/>
      <c r="E115" s="232"/>
      <c r="F115" s="82" t="s">
        <v>253</v>
      </c>
      <c r="G115" s="229"/>
      <c r="H115" s="84">
        <f t="shared" si="77"/>
        <v>0</v>
      </c>
      <c r="I115" s="97"/>
      <c r="J115" s="86"/>
      <c r="K115" s="83"/>
      <c r="L115" s="87"/>
      <c r="M115" s="88"/>
      <c r="N115" s="83"/>
      <c r="O115" s="87"/>
      <c r="P115" s="89"/>
      <c r="Q115" s="90"/>
      <c r="R115" s="91"/>
      <c r="S115" s="651"/>
      <c r="T115" s="295"/>
      <c r="U115" s="295"/>
      <c r="V115" s="296"/>
      <c r="W115" s="85">
        <f t="shared" si="72"/>
        <v>0</v>
      </c>
      <c r="X115" s="283"/>
      <c r="Y115" s="283"/>
      <c r="Z115" s="284"/>
      <c r="AA115" s="284"/>
      <c r="AB115" s="633"/>
      <c r="AC115" s="633"/>
      <c r="AD115" s="289"/>
      <c r="AE115" s="289"/>
      <c r="AF115" s="89">
        <f t="shared" si="63"/>
        <v>0</v>
      </c>
      <c r="AG115" s="170" t="e">
        <f t="shared" si="64"/>
        <v>#DIV/0!</v>
      </c>
      <c r="AH115" s="632"/>
    </row>
    <row r="116" spans="1:34" s="286" customFormat="1" ht="18" customHeight="1">
      <c r="A116" s="666"/>
      <c r="B116" s="65">
        <v>0</v>
      </c>
      <c r="C116" s="98"/>
      <c r="D116" s="168"/>
      <c r="E116" s="169"/>
      <c r="F116" s="82"/>
      <c r="G116" s="100"/>
      <c r="H116" s="84">
        <f t="shared" si="77"/>
        <v>0</v>
      </c>
      <c r="I116" s="97"/>
      <c r="J116" s="86"/>
      <c r="K116" s="83"/>
      <c r="L116" s="87"/>
      <c r="M116" s="137"/>
      <c r="N116" s="83"/>
      <c r="O116" s="87"/>
      <c r="P116" s="89"/>
      <c r="Q116" s="90"/>
      <c r="R116" s="91"/>
      <c r="S116" s="651"/>
      <c r="T116" s="295"/>
      <c r="U116" s="295"/>
      <c r="V116" s="296"/>
      <c r="W116" s="85">
        <f t="shared" si="72"/>
        <v>0</v>
      </c>
      <c r="X116" s="283"/>
      <c r="Y116" s="283"/>
      <c r="Z116" s="284"/>
      <c r="AA116" s="284"/>
      <c r="AB116" s="633"/>
      <c r="AC116" s="633"/>
      <c r="AD116" s="289"/>
      <c r="AE116" s="289"/>
      <c r="AF116" s="238">
        <f t="shared" si="63"/>
        <v>0</v>
      </c>
      <c r="AG116" s="170" t="e">
        <f t="shared" si="64"/>
        <v>#DIV/0!</v>
      </c>
      <c r="AH116" s="632"/>
    </row>
    <row r="117" spans="1:34" s="286" customFormat="1" ht="18" customHeight="1">
      <c r="A117" s="666"/>
      <c r="B117" s="65">
        <v>0</v>
      </c>
      <c r="C117" s="98"/>
      <c r="D117" s="231"/>
      <c r="E117" s="169"/>
      <c r="F117" s="82" t="s">
        <v>253</v>
      </c>
      <c r="G117" s="100"/>
      <c r="H117" s="84">
        <f t="shared" si="77"/>
        <v>0</v>
      </c>
      <c r="I117" s="97"/>
      <c r="J117" s="86"/>
      <c r="K117" s="83"/>
      <c r="L117" s="131"/>
      <c r="M117" s="137"/>
      <c r="N117" s="100"/>
      <c r="O117" s="131"/>
      <c r="P117" s="96"/>
      <c r="Q117" s="132"/>
      <c r="R117" s="133"/>
      <c r="S117" s="651"/>
      <c r="T117" s="295"/>
      <c r="U117" s="295"/>
      <c r="V117" s="296"/>
      <c r="W117" s="85">
        <f t="shared" si="72"/>
        <v>0</v>
      </c>
      <c r="X117" s="283"/>
      <c r="Y117" s="283"/>
      <c r="Z117" s="284"/>
      <c r="AA117" s="284"/>
      <c r="AB117" s="633"/>
      <c r="AC117" s="633"/>
      <c r="AD117" s="289"/>
      <c r="AE117" s="289"/>
      <c r="AF117" s="89">
        <f t="shared" si="63"/>
        <v>0</v>
      </c>
      <c r="AG117" s="170" t="e">
        <f t="shared" si="64"/>
        <v>#DIV/0!</v>
      </c>
      <c r="AH117" s="632"/>
    </row>
    <row r="118" spans="1:34" s="286" customFormat="1" ht="18" customHeight="1">
      <c r="A118" s="666"/>
      <c r="B118" s="65">
        <v>0</v>
      </c>
      <c r="C118" s="216"/>
      <c r="D118" s="231"/>
      <c r="E118" s="81"/>
      <c r="F118" s="183" t="s">
        <v>253</v>
      </c>
      <c r="G118" s="83"/>
      <c r="H118" s="84">
        <f t="shared" si="77"/>
        <v>0</v>
      </c>
      <c r="I118" s="97"/>
      <c r="J118" s="86"/>
      <c r="K118" s="83"/>
      <c r="L118" s="87"/>
      <c r="M118" s="137"/>
      <c r="N118" s="83"/>
      <c r="O118" s="87"/>
      <c r="P118" s="89"/>
      <c r="Q118" s="90"/>
      <c r="R118" s="91"/>
      <c r="S118" s="651"/>
      <c r="T118" s="295"/>
      <c r="U118" s="295"/>
      <c r="V118" s="296"/>
      <c r="W118" s="85">
        <f t="shared" si="72"/>
        <v>0</v>
      </c>
      <c r="X118" s="283"/>
      <c r="Y118" s="283"/>
      <c r="Z118" s="284"/>
      <c r="AA118" s="284"/>
      <c r="AB118" s="633"/>
      <c r="AC118" s="633"/>
      <c r="AD118" s="289"/>
      <c r="AE118" s="289"/>
      <c r="AF118" s="285"/>
      <c r="AG118" s="170"/>
      <c r="AH118" s="632"/>
    </row>
    <row r="119" spans="1:34" s="286" customFormat="1" ht="18" customHeight="1">
      <c r="A119" s="666"/>
      <c r="B119" s="289">
        <v>0</v>
      </c>
      <c r="C119" s="291"/>
      <c r="D119" s="168"/>
      <c r="E119" s="169"/>
      <c r="F119" s="183" t="s">
        <v>253</v>
      </c>
      <c r="G119" s="297"/>
      <c r="H119" s="298">
        <f>F119*G119</f>
        <v>0</v>
      </c>
      <c r="I119" s="97"/>
      <c r="J119" s="233"/>
      <c r="K119" s="299"/>
      <c r="L119" s="87"/>
      <c r="M119" s="137"/>
      <c r="N119" s="234"/>
      <c r="O119" s="292"/>
      <c r="P119" s="218"/>
      <c r="Q119" s="90"/>
      <c r="R119" s="91"/>
      <c r="S119" s="651"/>
      <c r="T119" s="295"/>
      <c r="U119" s="295"/>
      <c r="V119" s="296"/>
      <c r="W119" s="85">
        <f t="shared" si="72"/>
        <v>0</v>
      </c>
      <c r="X119" s="283"/>
      <c r="Y119" s="283"/>
      <c r="Z119" s="284"/>
      <c r="AA119" s="284"/>
      <c r="AB119" s="633"/>
      <c r="AC119" s="633"/>
      <c r="AD119" s="289"/>
      <c r="AE119" s="289"/>
      <c r="AF119" s="285"/>
      <c r="AG119" s="170"/>
      <c r="AH119" s="632"/>
    </row>
    <row r="120" spans="1:34" s="286" customFormat="1" ht="18" customHeight="1">
      <c r="A120" s="666"/>
      <c r="B120" s="289">
        <v>0</v>
      </c>
      <c r="C120" s="291"/>
      <c r="D120" s="168"/>
      <c r="E120" s="169"/>
      <c r="F120" s="183" t="s">
        <v>253</v>
      </c>
      <c r="G120" s="297"/>
      <c r="H120" s="298">
        <f>F120*G120</f>
        <v>0</v>
      </c>
      <c r="I120" s="97"/>
      <c r="J120" s="233"/>
      <c r="K120" s="299"/>
      <c r="L120" s="87"/>
      <c r="M120" s="137"/>
      <c r="N120" s="234"/>
      <c r="O120" s="292"/>
      <c r="P120" s="218"/>
      <c r="Q120" s="90"/>
      <c r="R120" s="91"/>
      <c r="S120" s="651"/>
      <c r="T120" s="295"/>
      <c r="U120" s="295"/>
      <c r="V120" s="296"/>
      <c r="W120" s="85">
        <f t="shared" si="72"/>
        <v>0</v>
      </c>
      <c r="X120" s="283"/>
      <c r="Y120" s="283"/>
      <c r="Z120" s="284"/>
      <c r="AA120" s="284"/>
      <c r="AB120" s="633"/>
      <c r="AC120" s="633"/>
      <c r="AD120" s="289"/>
      <c r="AE120" s="289"/>
      <c r="AF120" s="285"/>
      <c r="AG120" s="170"/>
      <c r="AH120" s="632"/>
    </row>
    <row r="121" spans="1:34" ht="18" customHeight="1">
      <c r="A121" s="667"/>
      <c r="B121" s="126">
        <v>0</v>
      </c>
      <c r="C121" s="138" t="s">
        <v>21</v>
      </c>
      <c r="D121" s="300" t="s">
        <v>220</v>
      </c>
      <c r="E121" s="301"/>
      <c r="F121" s="223"/>
      <c r="G121" s="302"/>
      <c r="H121" s="303"/>
      <c r="I121" s="304"/>
      <c r="J121" s="264">
        <v>18</v>
      </c>
      <c r="K121" s="264">
        <v>1453</v>
      </c>
      <c r="L121" s="265">
        <v>81.321661998132598</v>
      </c>
      <c r="M121" s="264">
        <f t="shared" ref="M121:O121" si="80">AVERAGE(M109:M120)</f>
        <v>18</v>
      </c>
      <c r="N121" s="264">
        <f t="shared" si="80"/>
        <v>1235.622105109062</v>
      </c>
      <c r="O121" s="265">
        <f t="shared" si="80"/>
        <v>69.144383956319302</v>
      </c>
      <c r="P121" s="89">
        <f t="shared" ref="P121:P128" si="81">M121-J121</f>
        <v>0</v>
      </c>
      <c r="Q121" s="90">
        <f t="shared" ref="Q121:Q128" si="82">O121-L121</f>
        <v>-12.177278041813295</v>
      </c>
      <c r="R121" s="227">
        <f t="shared" ref="R121:R128" si="83">O121/L121</f>
        <v>0.850257880340752</v>
      </c>
      <c r="S121" s="661"/>
      <c r="T121" s="92"/>
      <c r="U121" s="92"/>
      <c r="V121" s="83"/>
      <c r="W121" s="85">
        <f t="shared" si="72"/>
        <v>0</v>
      </c>
      <c r="X121" s="87"/>
      <c r="Y121" s="87"/>
      <c r="Z121" s="145">
        <f>SUM(Z109:Z120)</f>
        <v>0</v>
      </c>
      <c r="AA121" s="145">
        <f>SUM(AA109:AA120)</f>
        <v>0</v>
      </c>
      <c r="AB121" s="663"/>
      <c r="AC121" s="664"/>
      <c r="AD121" s="146">
        <f>SUM(AD109:AD120)</f>
        <v>0</v>
      </c>
      <c r="AE121" s="146">
        <f>SUM(AE109:AE120)</f>
        <v>0</v>
      </c>
      <c r="AF121" s="89">
        <f>N121-K121</f>
        <v>-217.37789489093802</v>
      </c>
      <c r="AG121" s="170">
        <f>N121/K121</f>
        <v>0.85039374061188022</v>
      </c>
      <c r="AH121" s="632"/>
    </row>
    <row r="122" spans="1:34" ht="18" customHeight="1">
      <c r="A122" s="658" t="s">
        <v>231</v>
      </c>
      <c r="B122" s="175" t="s">
        <v>252</v>
      </c>
      <c r="C122" s="216"/>
      <c r="D122" s="231" t="s">
        <v>163</v>
      </c>
      <c r="E122" s="81"/>
      <c r="F122" s="82">
        <v>59.52</v>
      </c>
      <c r="G122" s="83">
        <v>1505</v>
      </c>
      <c r="H122" s="84">
        <f t="shared" ref="H122:H132" si="84">F122*G122</f>
        <v>89577.600000000006</v>
      </c>
      <c r="I122" s="65"/>
      <c r="J122" s="86">
        <v>19</v>
      </c>
      <c r="K122" s="83">
        <v>1385</v>
      </c>
      <c r="L122" s="87">
        <v>72.89473684210526</v>
      </c>
      <c r="M122" s="88">
        <v>19</v>
      </c>
      <c r="N122" s="229">
        <f t="shared" ref="N122:N128" si="85">G122/W122*60</f>
        <v>1220.2702702702693</v>
      </c>
      <c r="O122" s="305">
        <f t="shared" ref="O122:O128" si="86">N122/M122</f>
        <v>64.224751066856285</v>
      </c>
      <c r="P122" s="238">
        <f t="shared" si="81"/>
        <v>0</v>
      </c>
      <c r="Q122" s="239">
        <f t="shared" si="82"/>
        <v>-8.6699857752489748</v>
      </c>
      <c r="R122" s="240">
        <f t="shared" si="83"/>
        <v>0.881061566982144</v>
      </c>
      <c r="S122" s="659">
        <f>R134</f>
        <v>0.84819357326792666</v>
      </c>
      <c r="T122" s="92">
        <v>0.5</v>
      </c>
      <c r="U122" s="92">
        <v>0.55138888888888893</v>
      </c>
      <c r="V122" s="296">
        <v>5</v>
      </c>
      <c r="W122" s="85">
        <f t="shared" si="72"/>
        <v>74.000000000000057</v>
      </c>
      <c r="X122" s="95"/>
      <c r="Y122" s="95"/>
      <c r="Z122" s="96"/>
      <c r="AA122" s="96"/>
      <c r="AB122" s="644"/>
      <c r="AC122" s="644"/>
      <c r="AD122" s="97"/>
      <c r="AE122" s="97"/>
      <c r="AF122" s="89">
        <f t="shared" si="63"/>
        <v>-164.72972972973071</v>
      </c>
      <c r="AG122" s="91">
        <f t="shared" si="64"/>
        <v>0.88106156698214388</v>
      </c>
      <c r="AH122" s="661">
        <f>AG134</f>
        <v>0.8349269501921347</v>
      </c>
    </row>
    <row r="123" spans="1:34" ht="18" customHeight="1">
      <c r="A123" s="658"/>
      <c r="B123" s="175" t="s">
        <v>252</v>
      </c>
      <c r="C123" s="176"/>
      <c r="D123" s="80" t="s">
        <v>164</v>
      </c>
      <c r="E123" s="232"/>
      <c r="F123" s="82">
        <v>58.67</v>
      </c>
      <c r="G123" s="83">
        <v>1099</v>
      </c>
      <c r="H123" s="84">
        <f t="shared" si="84"/>
        <v>64478.33</v>
      </c>
      <c r="I123" s="97"/>
      <c r="J123" s="130">
        <v>19</v>
      </c>
      <c r="K123" s="100">
        <v>1440</v>
      </c>
      <c r="L123" s="131">
        <v>75.78947368421052</v>
      </c>
      <c r="M123" s="137">
        <v>19</v>
      </c>
      <c r="N123" s="100">
        <f t="shared" si="85"/>
        <v>1244.1509433962269</v>
      </c>
      <c r="O123" s="131">
        <f t="shared" si="86"/>
        <v>65.481628599801411</v>
      </c>
      <c r="P123" s="96">
        <f t="shared" si="81"/>
        <v>0</v>
      </c>
      <c r="Q123" s="132">
        <f t="shared" si="82"/>
        <v>-10.307845084409109</v>
      </c>
      <c r="R123" s="133">
        <f t="shared" si="83"/>
        <v>0.86399371069182429</v>
      </c>
      <c r="S123" s="659"/>
      <c r="T123" s="92">
        <v>0.56666666666666665</v>
      </c>
      <c r="U123" s="92">
        <v>0.60347222222222219</v>
      </c>
      <c r="V123" s="296">
        <v>22</v>
      </c>
      <c r="W123" s="85">
        <f>(U123-T123)*24*60</f>
        <v>52.999999999999972</v>
      </c>
      <c r="X123" s="95">
        <v>0.55486111111111114</v>
      </c>
      <c r="Y123" s="95">
        <v>0.56388888888888888</v>
      </c>
      <c r="Z123" s="96"/>
      <c r="AA123" s="96"/>
      <c r="AB123" s="644"/>
      <c r="AC123" s="644"/>
      <c r="AD123" s="97"/>
      <c r="AE123" s="97"/>
      <c r="AF123" s="89">
        <f t="shared" si="63"/>
        <v>-195.84905660377308</v>
      </c>
      <c r="AG123" s="91">
        <f t="shared" si="64"/>
        <v>0.86399371069182429</v>
      </c>
      <c r="AH123" s="659"/>
    </row>
    <row r="124" spans="1:34" ht="18" customHeight="1">
      <c r="A124" s="658"/>
      <c r="B124" s="175" t="s">
        <v>251</v>
      </c>
      <c r="C124" s="230"/>
      <c r="D124" s="231" t="s">
        <v>165</v>
      </c>
      <c r="E124" s="232"/>
      <c r="F124" s="82">
        <v>56.79</v>
      </c>
      <c r="G124" s="229">
        <v>1063</v>
      </c>
      <c r="H124" s="84">
        <f t="shared" si="84"/>
        <v>60367.77</v>
      </c>
      <c r="I124" s="306"/>
      <c r="J124" s="130">
        <v>18</v>
      </c>
      <c r="K124" s="100">
        <v>1636</v>
      </c>
      <c r="L124" s="131">
        <v>90.888888888888886</v>
      </c>
      <c r="M124" s="88">
        <v>18</v>
      </c>
      <c r="N124" s="229">
        <f t="shared" si="85"/>
        <v>1250.588235294118</v>
      </c>
      <c r="O124" s="305">
        <f t="shared" si="86"/>
        <v>69.477124183006552</v>
      </c>
      <c r="P124" s="238">
        <f t="shared" si="81"/>
        <v>0</v>
      </c>
      <c r="Q124" s="239">
        <f t="shared" si="82"/>
        <v>-21.411764705882334</v>
      </c>
      <c r="R124" s="240">
        <f t="shared" si="83"/>
        <v>0.76441823673234599</v>
      </c>
      <c r="S124" s="660"/>
      <c r="T124" s="92">
        <v>0.70833333333333337</v>
      </c>
      <c r="U124" s="92">
        <v>0.74375000000000002</v>
      </c>
      <c r="V124" s="296">
        <v>5</v>
      </c>
      <c r="W124" s="307">
        <f>(U124-T124)*24*60</f>
        <v>50.999999999999979</v>
      </c>
      <c r="X124" s="249"/>
      <c r="Y124" s="249"/>
      <c r="Z124" s="96"/>
      <c r="AA124" s="96"/>
      <c r="AB124" s="657"/>
      <c r="AC124" s="657"/>
      <c r="AD124" s="97"/>
      <c r="AE124" s="97"/>
      <c r="AF124" s="238">
        <f t="shared" si="63"/>
        <v>-385.41176470588198</v>
      </c>
      <c r="AG124" s="240">
        <f t="shared" si="64"/>
        <v>0.76441823673234599</v>
      </c>
      <c r="AH124" s="659"/>
    </row>
    <row r="125" spans="1:34" ht="18" customHeight="1">
      <c r="A125" s="658"/>
      <c r="B125" s="175" t="s">
        <v>251</v>
      </c>
      <c r="C125" s="176"/>
      <c r="D125" s="80" t="s">
        <v>166</v>
      </c>
      <c r="E125" s="81"/>
      <c r="F125" s="82">
        <v>56.87</v>
      </c>
      <c r="G125" s="83">
        <v>868</v>
      </c>
      <c r="H125" s="84">
        <f t="shared" si="84"/>
        <v>49363.159999999996</v>
      </c>
      <c r="I125" s="65"/>
      <c r="J125" s="130">
        <v>18</v>
      </c>
      <c r="K125" s="100">
        <v>1636</v>
      </c>
      <c r="L125" s="131">
        <v>90.888888888888886</v>
      </c>
      <c r="M125" s="88">
        <v>18</v>
      </c>
      <c r="N125" s="100">
        <f t="shared" si="85"/>
        <v>1270.2439024390239</v>
      </c>
      <c r="O125" s="131">
        <f t="shared" si="86"/>
        <v>70.56910569105689</v>
      </c>
      <c r="P125" s="96">
        <f t="shared" si="81"/>
        <v>0</v>
      </c>
      <c r="Q125" s="132">
        <f t="shared" si="82"/>
        <v>-20.319783197831995</v>
      </c>
      <c r="R125" s="133">
        <f t="shared" si="83"/>
        <v>0.77643270320233748</v>
      </c>
      <c r="S125" s="660"/>
      <c r="T125" s="92">
        <v>0.74861111111111112</v>
      </c>
      <c r="U125" s="92">
        <v>0.77708333333333335</v>
      </c>
      <c r="V125" s="296">
        <v>7</v>
      </c>
      <c r="W125" s="307">
        <f t="shared" ref="W125:W133" si="87">(U125-T125)*24*60</f>
        <v>41.000000000000014</v>
      </c>
      <c r="X125" s="108"/>
      <c r="Y125" s="108"/>
      <c r="Z125" s="96"/>
      <c r="AA125" s="96"/>
      <c r="AB125" s="657"/>
      <c r="AC125" s="657"/>
      <c r="AD125" s="97"/>
      <c r="AE125" s="97"/>
      <c r="AF125" s="89">
        <f t="shared" si="63"/>
        <v>-365.75609756097606</v>
      </c>
      <c r="AG125" s="91">
        <f t="shared" si="64"/>
        <v>0.77643270320233737</v>
      </c>
      <c r="AH125" s="662"/>
    </row>
    <row r="126" spans="1:34" ht="18" customHeight="1">
      <c r="A126" s="658"/>
      <c r="B126" s="175" t="s">
        <v>251</v>
      </c>
      <c r="C126" s="97"/>
      <c r="D126" s="80" t="s">
        <v>167</v>
      </c>
      <c r="E126" s="232"/>
      <c r="F126" s="82">
        <v>47.6</v>
      </c>
      <c r="G126" s="100">
        <v>1134</v>
      </c>
      <c r="H126" s="84">
        <f t="shared" si="84"/>
        <v>53978.400000000001</v>
      </c>
      <c r="I126" s="97"/>
      <c r="J126" s="130">
        <v>18</v>
      </c>
      <c r="K126" s="100">
        <v>1440</v>
      </c>
      <c r="L126" s="131">
        <v>80</v>
      </c>
      <c r="M126" s="137">
        <v>17</v>
      </c>
      <c r="N126" s="100">
        <f t="shared" si="85"/>
        <v>1308.4615384615392</v>
      </c>
      <c r="O126" s="131">
        <f t="shared" si="86"/>
        <v>76.96832579185525</v>
      </c>
      <c r="P126" s="96">
        <f t="shared" si="81"/>
        <v>-1</v>
      </c>
      <c r="Q126" s="132">
        <f t="shared" si="82"/>
        <v>-3.0316742081447501</v>
      </c>
      <c r="R126" s="133">
        <f t="shared" si="83"/>
        <v>0.96210407239819062</v>
      </c>
      <c r="S126" s="660"/>
      <c r="T126" s="92">
        <v>0.78263888888888888</v>
      </c>
      <c r="U126" s="92">
        <v>0.81874999999999998</v>
      </c>
      <c r="V126" s="296">
        <v>8</v>
      </c>
      <c r="W126" s="307">
        <f t="shared" si="87"/>
        <v>51.999999999999972</v>
      </c>
      <c r="X126" s="108"/>
      <c r="Y126" s="108"/>
      <c r="Z126" s="96"/>
      <c r="AA126" s="96"/>
      <c r="AB126" s="657"/>
      <c r="AC126" s="657"/>
      <c r="AD126" s="97"/>
      <c r="AE126" s="97"/>
      <c r="AF126" s="238">
        <f t="shared" si="63"/>
        <v>-131.53846153846075</v>
      </c>
      <c r="AG126" s="240">
        <f t="shared" si="64"/>
        <v>0.9086538461538467</v>
      </c>
      <c r="AH126" s="662"/>
    </row>
    <row r="127" spans="1:34" ht="18" customHeight="1">
      <c r="A127" s="658"/>
      <c r="B127" s="175" t="s">
        <v>251</v>
      </c>
      <c r="C127" s="291"/>
      <c r="D127" s="168" t="s">
        <v>168</v>
      </c>
      <c r="E127" s="169"/>
      <c r="F127" s="82">
        <v>44.3</v>
      </c>
      <c r="G127" s="272">
        <v>469</v>
      </c>
      <c r="H127" s="84">
        <f t="shared" si="84"/>
        <v>20776.699999999997</v>
      </c>
      <c r="I127" s="289"/>
      <c r="J127" s="130">
        <v>17</v>
      </c>
      <c r="K127" s="100">
        <v>1636</v>
      </c>
      <c r="L127" s="131">
        <v>96.235294117647058</v>
      </c>
      <c r="M127" s="88">
        <v>17</v>
      </c>
      <c r="N127" s="100">
        <f t="shared" si="85"/>
        <v>1279.0909090909042</v>
      </c>
      <c r="O127" s="131">
        <f t="shared" si="86"/>
        <v>75.240641711229657</v>
      </c>
      <c r="P127" s="96">
        <f t="shared" si="81"/>
        <v>0</v>
      </c>
      <c r="Q127" s="132">
        <f t="shared" si="82"/>
        <v>-20.994652406417401</v>
      </c>
      <c r="R127" s="133">
        <f t="shared" si="83"/>
        <v>0.78184040897977025</v>
      </c>
      <c r="S127" s="660"/>
      <c r="T127" s="92">
        <v>0.82361111111111107</v>
      </c>
      <c r="U127" s="92">
        <v>0.83888888888888891</v>
      </c>
      <c r="V127" s="65">
        <v>7</v>
      </c>
      <c r="W127" s="307">
        <f t="shared" si="87"/>
        <v>22.000000000000082</v>
      </c>
      <c r="X127" s="108"/>
      <c r="Y127" s="108"/>
      <c r="Z127" s="96"/>
      <c r="AA127" s="96"/>
      <c r="AB127" s="657"/>
      <c r="AC127" s="657"/>
      <c r="AD127" s="97"/>
      <c r="AE127" s="97"/>
      <c r="AF127" s="238">
        <f t="shared" si="63"/>
        <v>-356.90909090909577</v>
      </c>
      <c r="AG127" s="240">
        <f t="shared" si="64"/>
        <v>0.78184040897977036</v>
      </c>
      <c r="AH127" s="662"/>
    </row>
    <row r="128" spans="1:34" ht="18" customHeight="1">
      <c r="A128" s="658"/>
      <c r="B128" s="175" t="s">
        <v>251</v>
      </c>
      <c r="C128" s="209"/>
      <c r="D128" s="102" t="s">
        <v>169</v>
      </c>
      <c r="E128" s="169"/>
      <c r="F128" s="82">
        <v>57.3</v>
      </c>
      <c r="G128" s="100">
        <v>704</v>
      </c>
      <c r="H128" s="84">
        <f t="shared" si="84"/>
        <v>40339.199999999997</v>
      </c>
      <c r="I128" s="97"/>
      <c r="J128" s="130">
        <v>18</v>
      </c>
      <c r="K128" s="100">
        <v>1385</v>
      </c>
      <c r="L128" s="131">
        <v>76.944444444444443</v>
      </c>
      <c r="M128" s="130">
        <v>17</v>
      </c>
      <c r="N128" s="100">
        <f t="shared" si="85"/>
        <v>1242.3529411764748</v>
      </c>
      <c r="O128" s="131">
        <f t="shared" si="86"/>
        <v>73.079584775086758</v>
      </c>
      <c r="P128" s="96">
        <f t="shared" si="81"/>
        <v>-1</v>
      </c>
      <c r="Q128" s="132">
        <f t="shared" si="82"/>
        <v>-3.8648596693576849</v>
      </c>
      <c r="R128" s="133">
        <f t="shared" si="83"/>
        <v>0.94977077686033329</v>
      </c>
      <c r="S128" s="660"/>
      <c r="T128" s="92">
        <v>0.84444444444444444</v>
      </c>
      <c r="U128" s="92">
        <v>0.86805555555555547</v>
      </c>
      <c r="V128" s="65">
        <v>8</v>
      </c>
      <c r="W128" s="307">
        <f t="shared" si="87"/>
        <v>33.999999999999879</v>
      </c>
      <c r="X128" s="108"/>
      <c r="Y128" s="108"/>
      <c r="Z128" s="96"/>
      <c r="AA128" s="96"/>
      <c r="AB128" s="657"/>
      <c r="AC128" s="657"/>
      <c r="AD128" s="97"/>
      <c r="AE128" s="97"/>
      <c r="AF128" s="238">
        <f t="shared" si="63"/>
        <v>-142.64705882352519</v>
      </c>
      <c r="AG128" s="240">
        <f t="shared" si="64"/>
        <v>0.89700573370142589</v>
      </c>
      <c r="AH128" s="662"/>
    </row>
    <row r="129" spans="1:34" ht="18" customHeight="1">
      <c r="A129" s="658"/>
      <c r="B129" s="175">
        <v>0</v>
      </c>
      <c r="C129" s="209"/>
      <c r="D129" s="102"/>
      <c r="E129" s="103"/>
      <c r="F129" s="82" t="s">
        <v>253</v>
      </c>
      <c r="G129" s="100"/>
      <c r="H129" s="84">
        <f t="shared" si="84"/>
        <v>0</v>
      </c>
      <c r="I129" s="97"/>
      <c r="J129" s="130"/>
      <c r="K129" s="100"/>
      <c r="L129" s="131"/>
      <c r="M129" s="137"/>
      <c r="N129" s="100"/>
      <c r="O129" s="131"/>
      <c r="P129" s="96"/>
      <c r="Q129" s="132"/>
      <c r="R129" s="133"/>
      <c r="S129" s="660"/>
      <c r="T129" s="92"/>
      <c r="U129" s="92"/>
      <c r="V129" s="65"/>
      <c r="W129" s="307"/>
      <c r="X129" s="108"/>
      <c r="Y129" s="108"/>
      <c r="Z129" s="96"/>
      <c r="AA129" s="96"/>
      <c r="AB129" s="657"/>
      <c r="AC129" s="657"/>
      <c r="AD129" s="97"/>
      <c r="AE129" s="97"/>
      <c r="AF129" s="238"/>
      <c r="AG129" s="240"/>
      <c r="AH129" s="662"/>
    </row>
    <row r="130" spans="1:34" ht="18" customHeight="1">
      <c r="A130" s="658"/>
      <c r="B130" s="262">
        <v>0</v>
      </c>
      <c r="C130" s="209"/>
      <c r="D130" s="102"/>
      <c r="E130" s="103"/>
      <c r="F130" s="82" t="s">
        <v>253</v>
      </c>
      <c r="G130" s="100"/>
      <c r="H130" s="84">
        <f t="shared" si="84"/>
        <v>0</v>
      </c>
      <c r="I130" s="97"/>
      <c r="J130" s="86"/>
      <c r="K130" s="100"/>
      <c r="L130" s="131"/>
      <c r="M130" s="137"/>
      <c r="N130" s="83"/>
      <c r="O130" s="87"/>
      <c r="P130" s="89"/>
      <c r="Q130" s="90"/>
      <c r="R130" s="91"/>
      <c r="S130" s="660"/>
      <c r="T130" s="92"/>
      <c r="U130" s="92"/>
      <c r="V130" s="65"/>
      <c r="W130" s="307">
        <f t="shared" si="87"/>
        <v>0</v>
      </c>
      <c r="X130" s="108"/>
      <c r="Y130" s="108"/>
      <c r="Z130" s="96"/>
      <c r="AA130" s="96"/>
      <c r="AB130" s="657"/>
      <c r="AC130" s="657"/>
      <c r="AD130" s="97"/>
      <c r="AE130" s="97"/>
      <c r="AF130" s="118"/>
      <c r="AG130" s="125"/>
      <c r="AH130" s="662"/>
    </row>
    <row r="131" spans="1:34" ht="18" customHeight="1">
      <c r="A131" s="658"/>
      <c r="B131" s="262">
        <v>0</v>
      </c>
      <c r="C131" s="209"/>
      <c r="D131" s="102"/>
      <c r="E131" s="169"/>
      <c r="F131" s="82" t="s">
        <v>253</v>
      </c>
      <c r="G131" s="272"/>
      <c r="H131" s="84">
        <f t="shared" si="84"/>
        <v>0</v>
      </c>
      <c r="I131" s="289"/>
      <c r="J131" s="86"/>
      <c r="K131" s="83"/>
      <c r="L131" s="87"/>
      <c r="M131" s="130"/>
      <c r="N131" s="83"/>
      <c r="O131" s="87"/>
      <c r="P131" s="89"/>
      <c r="Q131" s="90"/>
      <c r="R131" s="91"/>
      <c r="S131" s="660"/>
      <c r="T131" s="92"/>
      <c r="U131" s="92"/>
      <c r="V131" s="65"/>
      <c r="W131" s="307">
        <f t="shared" si="87"/>
        <v>0</v>
      </c>
      <c r="X131" s="108"/>
      <c r="Y131" s="108"/>
      <c r="Z131" s="96"/>
      <c r="AA131" s="96"/>
      <c r="AB131" s="657"/>
      <c r="AC131" s="657"/>
      <c r="AD131" s="97"/>
      <c r="AE131" s="97"/>
      <c r="AF131" s="118"/>
      <c r="AG131" s="125"/>
      <c r="AH131" s="662"/>
    </row>
    <row r="132" spans="1:34" ht="18" customHeight="1">
      <c r="A132" s="658"/>
      <c r="B132" s="262">
        <v>0</v>
      </c>
      <c r="C132" s="209"/>
      <c r="D132" s="102"/>
      <c r="E132" s="103"/>
      <c r="F132" s="82" t="s">
        <v>253</v>
      </c>
      <c r="G132" s="100"/>
      <c r="H132" s="84">
        <f t="shared" si="84"/>
        <v>0</v>
      </c>
      <c r="I132" s="97"/>
      <c r="J132" s="130"/>
      <c r="K132" s="100"/>
      <c r="L132" s="131"/>
      <c r="M132" s="137"/>
      <c r="N132" s="100"/>
      <c r="O132" s="131"/>
      <c r="P132" s="96"/>
      <c r="Q132" s="132"/>
      <c r="R132" s="133"/>
      <c r="S132" s="660"/>
      <c r="T132" s="92"/>
      <c r="U132" s="92"/>
      <c r="V132" s="65"/>
      <c r="W132" s="307">
        <f t="shared" si="87"/>
        <v>0</v>
      </c>
      <c r="X132" s="108"/>
      <c r="Y132" s="108"/>
      <c r="Z132" s="96"/>
      <c r="AA132" s="96"/>
      <c r="AB132" s="657"/>
      <c r="AC132" s="657"/>
      <c r="AD132" s="97"/>
      <c r="AE132" s="97"/>
      <c r="AF132" s="118"/>
      <c r="AG132" s="125"/>
      <c r="AH132" s="662"/>
    </row>
    <row r="133" spans="1:34" ht="18" customHeight="1">
      <c r="A133" s="658"/>
      <c r="B133" s="262">
        <v>0</v>
      </c>
      <c r="C133" s="209"/>
      <c r="D133" s="102"/>
      <c r="E133" s="103"/>
      <c r="F133" s="308" t="s">
        <v>253</v>
      </c>
      <c r="G133" s="100"/>
      <c r="H133" s="309">
        <f>F133*G133</f>
        <v>0</v>
      </c>
      <c r="I133" s="97"/>
      <c r="J133" s="130"/>
      <c r="K133" s="100"/>
      <c r="L133" s="131"/>
      <c r="M133" s="137"/>
      <c r="N133" s="100"/>
      <c r="O133" s="131"/>
      <c r="P133" s="96"/>
      <c r="Q133" s="132"/>
      <c r="R133" s="133"/>
      <c r="S133" s="660"/>
      <c r="T133" s="92"/>
      <c r="U133" s="92"/>
      <c r="V133" s="65"/>
      <c r="W133" s="307">
        <f t="shared" si="87"/>
        <v>0</v>
      </c>
      <c r="X133" s="108"/>
      <c r="Y133" s="108"/>
      <c r="Z133" s="96"/>
      <c r="AA133" s="96"/>
      <c r="AB133" s="657"/>
      <c r="AC133" s="657"/>
      <c r="AD133" s="97"/>
      <c r="AE133" s="97"/>
      <c r="AF133" s="118"/>
      <c r="AG133" s="125"/>
      <c r="AH133" s="662"/>
    </row>
    <row r="134" spans="1:34" ht="18" customHeight="1">
      <c r="A134" s="658"/>
      <c r="B134" s="222">
        <v>0</v>
      </c>
      <c r="C134" s="138" t="s">
        <v>22</v>
      </c>
      <c r="D134" s="630" t="s">
        <v>220</v>
      </c>
      <c r="E134" s="630"/>
      <c r="F134" s="243"/>
      <c r="G134" s="140"/>
      <c r="H134" s="141"/>
      <c r="I134" s="310"/>
      <c r="J134" s="311">
        <v>18.142857142857142</v>
      </c>
      <c r="K134" s="311">
        <v>1508.2857142857142</v>
      </c>
      <c r="L134" s="312">
        <v>83.377389552312152</v>
      </c>
      <c r="M134" s="311">
        <f t="shared" ref="M134:O134" si="88">AVERAGE(M122:M133)</f>
        <v>17.857142857142858</v>
      </c>
      <c r="N134" s="311">
        <f t="shared" si="88"/>
        <v>1259.3083914469369</v>
      </c>
      <c r="O134" s="312">
        <f t="shared" si="88"/>
        <v>70.720165974127539</v>
      </c>
      <c r="P134" s="93">
        <f t="shared" ref="P134:P142" si="89">M134-J134</f>
        <v>-0.2857142857142847</v>
      </c>
      <c r="Q134" s="189">
        <f t="shared" ref="Q134:Q142" si="90">O134-L134</f>
        <v>-12.657223578184613</v>
      </c>
      <c r="R134" s="313">
        <f t="shared" ref="R134:R142" si="91">O134/L134</f>
        <v>0.84819357326792666</v>
      </c>
      <c r="S134" s="659"/>
      <c r="T134" s="92"/>
      <c r="U134" s="92"/>
      <c r="V134" s="65"/>
      <c r="W134" s="65"/>
      <c r="X134" s="95"/>
      <c r="Y134" s="95"/>
      <c r="Z134" s="145">
        <f>SUM(Z122:Z133)</f>
        <v>0</v>
      </c>
      <c r="AA134" s="145">
        <f>SUM(AA122:AA133)</f>
        <v>0</v>
      </c>
      <c r="AB134" s="644"/>
      <c r="AC134" s="644"/>
      <c r="AD134" s="146">
        <f>SUM(AD122:AD133)</f>
        <v>0</v>
      </c>
      <c r="AE134" s="146">
        <f>SUM(AE122:AE133)</f>
        <v>0</v>
      </c>
      <c r="AF134" s="89">
        <f t="shared" si="63"/>
        <v>-248.97732283877735</v>
      </c>
      <c r="AG134" s="91">
        <f t="shared" si="64"/>
        <v>0.8349269501921347</v>
      </c>
      <c r="AH134" s="662"/>
    </row>
    <row r="135" spans="1:34" ht="18" customHeight="1">
      <c r="A135" s="647" t="s">
        <v>232</v>
      </c>
      <c r="B135" s="65" t="s">
        <v>251</v>
      </c>
      <c r="C135" s="97"/>
      <c r="D135" s="168" t="s">
        <v>170</v>
      </c>
      <c r="E135" s="169"/>
      <c r="F135" s="82">
        <v>49.91</v>
      </c>
      <c r="G135" s="100">
        <v>381</v>
      </c>
      <c r="H135" s="314">
        <f t="shared" ref="H135:H146" si="92">F135*G135</f>
        <v>19015.71</v>
      </c>
      <c r="I135" s="97"/>
      <c r="J135" s="86">
        <v>16</v>
      </c>
      <c r="K135" s="100">
        <v>1500</v>
      </c>
      <c r="L135" s="131">
        <v>93.75</v>
      </c>
      <c r="M135" s="155">
        <v>16</v>
      </c>
      <c r="N135" s="100">
        <f t="shared" ref="N135:N142" si="93">G135/W135*60</f>
        <v>1143.0000000000041</v>
      </c>
      <c r="O135" s="157">
        <f t="shared" ref="O135:O142" si="94">N135/M135</f>
        <v>71.437500000000256</v>
      </c>
      <c r="P135" s="96">
        <f t="shared" si="89"/>
        <v>0</v>
      </c>
      <c r="Q135" s="132">
        <f t="shared" si="90"/>
        <v>-22.312499999999744</v>
      </c>
      <c r="R135" s="133">
        <f t="shared" si="91"/>
        <v>0.76200000000000268</v>
      </c>
      <c r="S135" s="651">
        <f>R147</f>
        <v>0.84294061942577536</v>
      </c>
      <c r="T135" s="315">
        <v>0.5</v>
      </c>
      <c r="U135" s="92">
        <v>0.51388888888888884</v>
      </c>
      <c r="V135" s="192">
        <v>5</v>
      </c>
      <c r="W135" s="316">
        <f t="shared" ref="W135:W147" si="95">(U135-T135)*24*60</f>
        <v>19.999999999999929</v>
      </c>
      <c r="X135" s="213"/>
      <c r="Y135" s="213"/>
      <c r="Z135" s="96"/>
      <c r="AA135" s="96"/>
      <c r="AB135" s="654"/>
      <c r="AC135" s="654"/>
      <c r="AD135" s="97"/>
      <c r="AE135" s="97"/>
      <c r="AF135" s="158">
        <f t="shared" si="63"/>
        <v>-356.99999999999591</v>
      </c>
      <c r="AG135" s="163">
        <f t="shared" si="64"/>
        <v>0.76200000000000268</v>
      </c>
      <c r="AH135" s="632">
        <f>AG147</f>
        <v>0.85570507386334105</v>
      </c>
    </row>
    <row r="136" spans="1:34" ht="20.399999999999999" customHeight="1">
      <c r="A136" s="648"/>
      <c r="B136" s="65" t="s">
        <v>251</v>
      </c>
      <c r="C136" s="97"/>
      <c r="D136" s="168" t="s">
        <v>171</v>
      </c>
      <c r="E136" s="317"/>
      <c r="F136" s="82">
        <v>57.734999999999999</v>
      </c>
      <c r="G136" s="100">
        <v>1677</v>
      </c>
      <c r="H136" s="129">
        <f t="shared" si="92"/>
        <v>96821.595000000001</v>
      </c>
      <c r="I136" s="97"/>
      <c r="J136" s="86">
        <v>16</v>
      </c>
      <c r="K136" s="100">
        <v>1565</v>
      </c>
      <c r="L136" s="131">
        <v>97.8125</v>
      </c>
      <c r="M136" s="137">
        <v>15</v>
      </c>
      <c r="N136" s="100">
        <f t="shared" si="93"/>
        <v>1378.3561643835606</v>
      </c>
      <c r="O136" s="131">
        <f t="shared" si="94"/>
        <v>91.890410958904042</v>
      </c>
      <c r="P136" s="96">
        <f t="shared" si="89"/>
        <v>-1</v>
      </c>
      <c r="Q136" s="132">
        <f t="shared" si="90"/>
        <v>-5.9220890410959584</v>
      </c>
      <c r="R136" s="133">
        <f t="shared" si="91"/>
        <v>0.93945468073000937</v>
      </c>
      <c r="S136" s="651"/>
      <c r="T136" s="315">
        <v>0.51805555555555549</v>
      </c>
      <c r="U136" s="92">
        <v>0.56874999999999998</v>
      </c>
      <c r="V136" s="192">
        <v>6</v>
      </c>
      <c r="W136" s="85">
        <f t="shared" si="95"/>
        <v>73.000000000000057</v>
      </c>
      <c r="X136" s="95"/>
      <c r="Y136" s="95"/>
      <c r="Z136" s="96"/>
      <c r="AA136" s="96"/>
      <c r="AB136" s="644"/>
      <c r="AC136" s="644"/>
      <c r="AD136" s="97"/>
      <c r="AE136" s="97"/>
      <c r="AF136" s="89">
        <f t="shared" si="63"/>
        <v>-186.64383561643945</v>
      </c>
      <c r="AG136" s="170">
        <f t="shared" si="64"/>
        <v>0.88073876318438371</v>
      </c>
      <c r="AH136" s="632"/>
    </row>
    <row r="137" spans="1:34" ht="18" customHeight="1">
      <c r="A137" s="648"/>
      <c r="B137" s="65" t="s">
        <v>251</v>
      </c>
      <c r="C137" s="97"/>
      <c r="D137" s="168" t="s">
        <v>172</v>
      </c>
      <c r="E137" s="169"/>
      <c r="F137" s="82">
        <v>50.67</v>
      </c>
      <c r="G137" s="272">
        <v>819</v>
      </c>
      <c r="H137" s="129">
        <f t="shared" si="92"/>
        <v>41498.730000000003</v>
      </c>
      <c r="I137" s="289"/>
      <c r="J137" s="86">
        <v>17</v>
      </c>
      <c r="K137" s="83">
        <v>1500</v>
      </c>
      <c r="L137" s="87">
        <v>88.235294117647058</v>
      </c>
      <c r="M137" s="130">
        <v>18</v>
      </c>
      <c r="N137" s="100">
        <f t="shared" si="93"/>
        <v>1293.1578947368412</v>
      </c>
      <c r="O137" s="131">
        <f t="shared" si="94"/>
        <v>71.842105263157848</v>
      </c>
      <c r="P137" s="96">
        <f t="shared" si="89"/>
        <v>1</v>
      </c>
      <c r="Q137" s="132">
        <f t="shared" si="90"/>
        <v>-16.39318885448921</v>
      </c>
      <c r="R137" s="133">
        <f t="shared" si="91"/>
        <v>0.81421052631578894</v>
      </c>
      <c r="S137" s="651"/>
      <c r="T137" s="92">
        <v>0.70833333333333337</v>
      </c>
      <c r="U137" s="92">
        <v>0.73472222222222228</v>
      </c>
      <c r="V137" s="318">
        <v>5</v>
      </c>
      <c r="W137" s="85">
        <f t="shared" si="95"/>
        <v>38.000000000000028</v>
      </c>
      <c r="X137" s="95"/>
      <c r="Y137" s="95"/>
      <c r="Z137" s="96"/>
      <c r="AA137" s="96"/>
      <c r="AB137" s="644"/>
      <c r="AC137" s="644"/>
      <c r="AD137" s="97"/>
      <c r="AE137" s="97"/>
      <c r="AF137" s="89">
        <f t="shared" si="63"/>
        <v>-206.84210526315883</v>
      </c>
      <c r="AG137" s="170">
        <f t="shared" si="64"/>
        <v>0.86210526315789415</v>
      </c>
      <c r="AH137" s="632"/>
    </row>
    <row r="138" spans="1:34" ht="18" customHeight="1">
      <c r="A138" s="648"/>
      <c r="B138" s="65" t="s">
        <v>251</v>
      </c>
      <c r="C138" s="291"/>
      <c r="D138" s="168" t="s">
        <v>173</v>
      </c>
      <c r="E138" s="169"/>
      <c r="F138" s="82">
        <v>54.09</v>
      </c>
      <c r="G138" s="100">
        <v>1002</v>
      </c>
      <c r="H138" s="129">
        <f t="shared" si="92"/>
        <v>54198.18</v>
      </c>
      <c r="I138" s="97"/>
      <c r="J138" s="130">
        <v>18</v>
      </c>
      <c r="K138" s="100">
        <v>1500</v>
      </c>
      <c r="L138" s="131">
        <v>83.333333333333329</v>
      </c>
      <c r="M138" s="155">
        <v>18</v>
      </c>
      <c r="N138" s="100">
        <f t="shared" si="93"/>
        <v>1306.9565217391305</v>
      </c>
      <c r="O138" s="131">
        <f t="shared" si="94"/>
        <v>72.608695652173921</v>
      </c>
      <c r="P138" s="96">
        <f t="shared" si="89"/>
        <v>0</v>
      </c>
      <c r="Q138" s="132">
        <f t="shared" si="90"/>
        <v>-10.724637681159408</v>
      </c>
      <c r="R138" s="242">
        <f t="shared" si="91"/>
        <v>0.87130434782608712</v>
      </c>
      <c r="S138" s="651"/>
      <c r="T138" s="92">
        <v>0.73819444444444449</v>
      </c>
      <c r="U138" s="92">
        <v>0.77013888888888893</v>
      </c>
      <c r="V138" s="318">
        <v>5</v>
      </c>
      <c r="W138" s="85">
        <f t="shared" si="95"/>
        <v>46</v>
      </c>
      <c r="X138" s="95"/>
      <c r="Y138" s="95"/>
      <c r="Z138" s="96"/>
      <c r="AA138" s="96"/>
      <c r="AB138" s="644"/>
      <c r="AC138" s="644"/>
      <c r="AD138" s="97"/>
      <c r="AE138" s="97"/>
      <c r="AF138" s="89">
        <f t="shared" si="63"/>
        <v>-193.04347826086951</v>
      </c>
      <c r="AG138" s="170">
        <f t="shared" si="64"/>
        <v>0.87130434782608701</v>
      </c>
      <c r="AH138" s="632"/>
    </row>
    <row r="139" spans="1:34" ht="18" customHeight="1">
      <c r="A139" s="648"/>
      <c r="B139" s="65" t="s">
        <v>251</v>
      </c>
      <c r="C139" s="219"/>
      <c r="D139" s="80" t="s">
        <v>174</v>
      </c>
      <c r="E139" s="81"/>
      <c r="F139" s="82">
        <v>50.67</v>
      </c>
      <c r="G139" s="100">
        <v>926</v>
      </c>
      <c r="H139" s="129">
        <f t="shared" si="92"/>
        <v>46920.42</v>
      </c>
      <c r="I139" s="97"/>
      <c r="J139" s="86">
        <v>18</v>
      </c>
      <c r="K139" s="83">
        <v>1440</v>
      </c>
      <c r="L139" s="87">
        <v>80</v>
      </c>
      <c r="M139" s="155">
        <v>18</v>
      </c>
      <c r="N139" s="100">
        <f t="shared" si="93"/>
        <v>1262.7272727272727</v>
      </c>
      <c r="O139" s="131">
        <f t="shared" si="94"/>
        <v>70.151515151515156</v>
      </c>
      <c r="P139" s="96">
        <f t="shared" si="89"/>
        <v>0</v>
      </c>
      <c r="Q139" s="132">
        <f t="shared" si="90"/>
        <v>-9.8484848484848442</v>
      </c>
      <c r="R139" s="133">
        <f t="shared" si="91"/>
        <v>0.87689393939393945</v>
      </c>
      <c r="S139" s="651"/>
      <c r="T139" s="92">
        <v>0.77569444444444446</v>
      </c>
      <c r="U139" s="92">
        <v>0.80625000000000002</v>
      </c>
      <c r="V139" s="319">
        <v>8</v>
      </c>
      <c r="W139" s="85">
        <f t="shared" si="95"/>
        <v>44</v>
      </c>
      <c r="X139" s="95"/>
      <c r="Y139" s="95"/>
      <c r="Z139" s="96"/>
      <c r="AA139" s="96"/>
      <c r="AB139" s="654"/>
      <c r="AC139" s="654"/>
      <c r="AD139" s="97"/>
      <c r="AE139" s="97"/>
      <c r="AF139" s="89">
        <f t="shared" si="63"/>
        <v>-177.27272727272725</v>
      </c>
      <c r="AG139" s="170">
        <f t="shared" si="64"/>
        <v>0.87689393939393945</v>
      </c>
      <c r="AH139" s="632"/>
    </row>
    <row r="140" spans="1:34" ht="18" customHeight="1">
      <c r="A140" s="649"/>
      <c r="B140" s="65" t="s">
        <v>251</v>
      </c>
      <c r="C140" s="219"/>
      <c r="D140" s="320" t="s">
        <v>175</v>
      </c>
      <c r="E140" s="169"/>
      <c r="F140" s="82">
        <v>57.3</v>
      </c>
      <c r="G140" s="100">
        <v>1500</v>
      </c>
      <c r="H140" s="129">
        <f t="shared" si="92"/>
        <v>85950</v>
      </c>
      <c r="I140" s="97"/>
      <c r="J140" s="130">
        <v>15</v>
      </c>
      <c r="K140" s="100">
        <v>1500</v>
      </c>
      <c r="L140" s="131">
        <v>100</v>
      </c>
      <c r="M140" s="155">
        <v>16</v>
      </c>
      <c r="N140" s="100">
        <f t="shared" si="93"/>
        <v>1304.3478260869554</v>
      </c>
      <c r="O140" s="131">
        <f t="shared" si="94"/>
        <v>81.52173913043471</v>
      </c>
      <c r="P140" s="96">
        <f t="shared" si="89"/>
        <v>1</v>
      </c>
      <c r="Q140" s="132">
        <f t="shared" si="90"/>
        <v>-18.47826086956529</v>
      </c>
      <c r="R140" s="242">
        <f t="shared" si="91"/>
        <v>0.81521739130434712</v>
      </c>
      <c r="S140" s="652"/>
      <c r="T140" s="107">
        <v>0.82152777777777775</v>
      </c>
      <c r="U140" s="321">
        <v>0.86944444444444446</v>
      </c>
      <c r="V140" s="322">
        <v>22</v>
      </c>
      <c r="W140" s="85">
        <f t="shared" si="95"/>
        <v>69.000000000000071</v>
      </c>
      <c r="X140" s="95">
        <v>0.80972222222222223</v>
      </c>
      <c r="Y140" s="95">
        <v>0.81874999999999998</v>
      </c>
      <c r="Z140" s="96"/>
      <c r="AA140" s="96"/>
      <c r="AB140" s="645"/>
      <c r="AC140" s="646"/>
      <c r="AD140" s="97"/>
      <c r="AE140" s="97"/>
      <c r="AF140" s="89">
        <f t="shared" si="63"/>
        <v>-195.65217391304463</v>
      </c>
      <c r="AG140" s="170">
        <f t="shared" si="64"/>
        <v>0.86956521739130355</v>
      </c>
      <c r="AH140" s="632"/>
    </row>
    <row r="141" spans="1:34" ht="18" customHeight="1">
      <c r="A141" s="649"/>
      <c r="B141" s="65" t="s">
        <v>251</v>
      </c>
      <c r="C141" s="219"/>
      <c r="D141" s="80" t="s">
        <v>176</v>
      </c>
      <c r="E141" s="323"/>
      <c r="F141" s="82">
        <v>50.49</v>
      </c>
      <c r="G141" s="100">
        <v>1112</v>
      </c>
      <c r="H141" s="129">
        <f t="shared" si="92"/>
        <v>56144.880000000005</v>
      </c>
      <c r="I141" s="97"/>
      <c r="J141" s="86">
        <v>15</v>
      </c>
      <c r="K141" s="83">
        <v>1440</v>
      </c>
      <c r="L141" s="87">
        <v>96</v>
      </c>
      <c r="M141" s="155">
        <v>16</v>
      </c>
      <c r="N141" s="100">
        <f t="shared" si="93"/>
        <v>1283.0769230769238</v>
      </c>
      <c r="O141" s="131">
        <f t="shared" si="94"/>
        <v>80.192307692307736</v>
      </c>
      <c r="P141" s="96">
        <f t="shared" si="89"/>
        <v>1</v>
      </c>
      <c r="Q141" s="132">
        <f t="shared" si="90"/>
        <v>-15.807692307692264</v>
      </c>
      <c r="R141" s="133">
        <f t="shared" si="91"/>
        <v>0.83533653846153888</v>
      </c>
      <c r="S141" s="652"/>
      <c r="T141" s="107">
        <v>0.87361111111111112</v>
      </c>
      <c r="U141" s="321">
        <v>0.90972222222222221</v>
      </c>
      <c r="V141" s="98">
        <v>6</v>
      </c>
      <c r="W141" s="85">
        <f t="shared" si="95"/>
        <v>51.999999999999972</v>
      </c>
      <c r="X141" s="95"/>
      <c r="Y141" s="95"/>
      <c r="Z141" s="96"/>
      <c r="AA141" s="96"/>
      <c r="AB141" s="655"/>
      <c r="AC141" s="656"/>
      <c r="AD141" s="97"/>
      <c r="AE141" s="97"/>
      <c r="AF141" s="89">
        <f t="shared" si="63"/>
        <v>-156.92307692307622</v>
      </c>
      <c r="AG141" s="170">
        <f t="shared" si="64"/>
        <v>0.89102564102564152</v>
      </c>
      <c r="AH141" s="632"/>
    </row>
    <row r="142" spans="1:34" ht="18" customHeight="1">
      <c r="A142" s="649"/>
      <c r="B142" s="65" t="s">
        <v>251</v>
      </c>
      <c r="C142" s="219"/>
      <c r="D142" s="80" t="s">
        <v>160</v>
      </c>
      <c r="E142" s="323"/>
      <c r="F142" s="82">
        <v>58.17</v>
      </c>
      <c r="G142" s="100">
        <v>364.6</v>
      </c>
      <c r="H142" s="129">
        <f t="shared" si="92"/>
        <v>21208.782000000003</v>
      </c>
      <c r="I142" s="97">
        <v>2</v>
      </c>
      <c r="J142" s="130">
        <v>18</v>
      </c>
      <c r="K142" s="100">
        <v>1385</v>
      </c>
      <c r="L142" s="131">
        <v>76.944444444444443</v>
      </c>
      <c r="M142" s="155">
        <v>18</v>
      </c>
      <c r="N142" s="100">
        <f t="shared" si="93"/>
        <v>1151.3684210526358</v>
      </c>
      <c r="O142" s="131">
        <f t="shared" si="94"/>
        <v>63.964912280701988</v>
      </c>
      <c r="P142" s="96">
        <f t="shared" si="89"/>
        <v>0</v>
      </c>
      <c r="Q142" s="132">
        <f t="shared" si="90"/>
        <v>-12.979532163742455</v>
      </c>
      <c r="R142" s="242">
        <f t="shared" si="91"/>
        <v>0.83131293938818474</v>
      </c>
      <c r="S142" s="652"/>
      <c r="T142" s="107">
        <v>0.9145833333333333</v>
      </c>
      <c r="U142" s="321">
        <v>0.9277777777777777</v>
      </c>
      <c r="V142" s="98">
        <v>7</v>
      </c>
      <c r="W142" s="85">
        <f t="shared" si="95"/>
        <v>18.999999999999932</v>
      </c>
      <c r="X142" s="95"/>
      <c r="Y142" s="95"/>
      <c r="Z142" s="96"/>
      <c r="AA142" s="96"/>
      <c r="AB142" s="645"/>
      <c r="AC142" s="646"/>
      <c r="AD142" s="97"/>
      <c r="AE142" s="97"/>
      <c r="AF142" s="89">
        <f t="shared" si="63"/>
        <v>-233.63157894736423</v>
      </c>
      <c r="AG142" s="170">
        <f t="shared" si="64"/>
        <v>0.83131293938818462</v>
      </c>
      <c r="AH142" s="632"/>
    </row>
    <row r="143" spans="1:34" ht="18" customHeight="1">
      <c r="A143" s="649"/>
      <c r="B143" s="65"/>
      <c r="C143" s="324"/>
      <c r="D143" s="168"/>
      <c r="E143" s="169"/>
      <c r="F143" s="82"/>
      <c r="G143" s="100"/>
      <c r="H143" s="129"/>
      <c r="I143" s="97"/>
      <c r="J143" s="130"/>
      <c r="K143" s="100"/>
      <c r="L143" s="131"/>
      <c r="M143" s="155"/>
      <c r="N143" s="100"/>
      <c r="O143" s="131"/>
      <c r="P143" s="96"/>
      <c r="Q143" s="132"/>
      <c r="R143" s="242"/>
      <c r="S143" s="652"/>
      <c r="T143" s="107"/>
      <c r="U143" s="321"/>
      <c r="V143" s="98"/>
      <c r="W143" s="85"/>
      <c r="X143" s="95"/>
      <c r="Y143" s="95"/>
      <c r="Z143" s="96"/>
      <c r="AA143" s="96"/>
      <c r="AB143" s="645"/>
      <c r="AC143" s="646"/>
      <c r="AD143" s="97"/>
      <c r="AE143" s="97"/>
      <c r="AF143" s="89">
        <f t="shared" si="63"/>
        <v>0</v>
      </c>
      <c r="AG143" s="170" t="e">
        <f t="shared" si="64"/>
        <v>#DIV/0!</v>
      </c>
      <c r="AH143" s="632"/>
    </row>
    <row r="144" spans="1:34" ht="18" customHeight="1">
      <c r="A144" s="649"/>
      <c r="B144" s="65">
        <v>0</v>
      </c>
      <c r="C144" s="219"/>
      <c r="D144" s="80"/>
      <c r="E144" s="323"/>
      <c r="F144" s="82" t="s">
        <v>253</v>
      </c>
      <c r="G144" s="100"/>
      <c r="H144" s="129">
        <f t="shared" si="92"/>
        <v>0</v>
      </c>
      <c r="I144" s="97"/>
      <c r="J144" s="130"/>
      <c r="K144" s="100"/>
      <c r="L144" s="131"/>
      <c r="M144" s="137"/>
      <c r="N144" s="100"/>
      <c r="O144" s="131"/>
      <c r="P144" s="96"/>
      <c r="Q144" s="132"/>
      <c r="R144" s="133"/>
      <c r="S144" s="652"/>
      <c r="T144" s="107"/>
      <c r="U144" s="321"/>
      <c r="V144" s="98"/>
      <c r="W144" s="85">
        <f t="shared" si="95"/>
        <v>0</v>
      </c>
      <c r="X144" s="95"/>
      <c r="Y144" s="95"/>
      <c r="Z144" s="96"/>
      <c r="AA144" s="96"/>
      <c r="AB144" s="645"/>
      <c r="AC144" s="646"/>
      <c r="AD144" s="97"/>
      <c r="AE144" s="97"/>
      <c r="AF144" s="89">
        <f t="shared" si="63"/>
        <v>0</v>
      </c>
      <c r="AG144" s="170" t="e">
        <f t="shared" si="64"/>
        <v>#DIV/0!</v>
      </c>
      <c r="AH144" s="632"/>
    </row>
    <row r="145" spans="1:34" ht="18" customHeight="1">
      <c r="A145" s="649"/>
      <c r="B145" s="65">
        <v>0</v>
      </c>
      <c r="C145" s="219"/>
      <c r="D145" s="80"/>
      <c r="E145" s="323"/>
      <c r="F145" s="82" t="s">
        <v>253</v>
      </c>
      <c r="G145" s="100"/>
      <c r="H145" s="129">
        <f t="shared" si="92"/>
        <v>0</v>
      </c>
      <c r="I145" s="97"/>
      <c r="J145" s="130"/>
      <c r="K145" s="100"/>
      <c r="L145" s="131"/>
      <c r="M145" s="137"/>
      <c r="N145" s="100"/>
      <c r="O145" s="131"/>
      <c r="P145" s="96"/>
      <c r="Q145" s="132"/>
      <c r="R145" s="133"/>
      <c r="S145" s="652"/>
      <c r="T145" s="107"/>
      <c r="U145" s="321"/>
      <c r="V145" s="98"/>
      <c r="W145" s="85">
        <f t="shared" si="95"/>
        <v>0</v>
      </c>
      <c r="X145" s="95"/>
      <c r="Y145" s="95"/>
      <c r="Z145" s="96"/>
      <c r="AA145" s="96"/>
      <c r="AB145" s="645"/>
      <c r="AC145" s="646"/>
      <c r="AD145" s="97"/>
      <c r="AE145" s="97"/>
      <c r="AF145" s="89">
        <f t="shared" si="63"/>
        <v>0</v>
      </c>
      <c r="AG145" s="170" t="e">
        <f t="shared" si="64"/>
        <v>#DIV/0!</v>
      </c>
      <c r="AH145" s="632"/>
    </row>
    <row r="146" spans="1:34" ht="18" customHeight="1">
      <c r="A146" s="649"/>
      <c r="B146" s="213">
        <v>0</v>
      </c>
      <c r="C146" s="324"/>
      <c r="D146" s="325"/>
      <c r="E146" s="323"/>
      <c r="F146" s="180" t="s">
        <v>253</v>
      </c>
      <c r="G146" s="100"/>
      <c r="H146" s="129">
        <f t="shared" si="92"/>
        <v>0</v>
      </c>
      <c r="I146" s="97"/>
      <c r="J146" s="130"/>
      <c r="K146" s="100"/>
      <c r="L146" s="131"/>
      <c r="M146" s="137"/>
      <c r="N146" s="100"/>
      <c r="O146" s="131"/>
      <c r="P146" s="96"/>
      <c r="Q146" s="132"/>
      <c r="R146" s="133"/>
      <c r="S146" s="652"/>
      <c r="T146" s="107"/>
      <c r="U146" s="321"/>
      <c r="V146" s="98"/>
      <c r="W146" s="85">
        <f t="shared" si="95"/>
        <v>0</v>
      </c>
      <c r="X146" s="95"/>
      <c r="Y146" s="95"/>
      <c r="Z146" s="96"/>
      <c r="AA146" s="96"/>
      <c r="AB146" s="645"/>
      <c r="AC146" s="646"/>
      <c r="AD146" s="97"/>
      <c r="AE146" s="97"/>
      <c r="AF146" s="96"/>
      <c r="AG146" s="133"/>
      <c r="AH146" s="632"/>
    </row>
    <row r="147" spans="1:34" ht="18" customHeight="1">
      <c r="A147" s="650"/>
      <c r="B147" s="326">
        <v>0</v>
      </c>
      <c r="C147" s="138" t="s">
        <v>23</v>
      </c>
      <c r="D147" s="630" t="s">
        <v>220</v>
      </c>
      <c r="E147" s="630"/>
      <c r="F147" s="327"/>
      <c r="G147" s="140"/>
      <c r="H147" s="141"/>
      <c r="I147" s="142"/>
      <c r="J147" s="140">
        <v>16.625</v>
      </c>
      <c r="K147" s="140">
        <v>1478.75</v>
      </c>
      <c r="L147" s="143">
        <v>89.509446486928098</v>
      </c>
      <c r="M147" s="311">
        <f t="shared" ref="M147:O147" si="96">AVERAGE(M135:M146)</f>
        <v>16.875</v>
      </c>
      <c r="N147" s="311">
        <f t="shared" si="96"/>
        <v>1265.3738779754156</v>
      </c>
      <c r="O147" s="312">
        <f t="shared" si="96"/>
        <v>75.45114826614946</v>
      </c>
      <c r="P147" s="93">
        <f t="shared" ref="P147:P150" si="97">M147-J147</f>
        <v>0.25</v>
      </c>
      <c r="Q147" s="189">
        <f t="shared" ref="Q147:Q150" si="98">O147-L147</f>
        <v>-14.058298220778639</v>
      </c>
      <c r="R147" s="328">
        <f t="shared" ref="R147:R150" si="99">O147/L147</f>
        <v>0.84294061942577536</v>
      </c>
      <c r="S147" s="653"/>
      <c r="T147" s="107"/>
      <c r="U147" s="107"/>
      <c r="V147" s="98"/>
      <c r="W147" s="85">
        <f t="shared" si="95"/>
        <v>0</v>
      </c>
      <c r="X147" s="95"/>
      <c r="Y147" s="95"/>
      <c r="Z147" s="145">
        <f>SUM(Z135:Z146)</f>
        <v>0</v>
      </c>
      <c r="AA147" s="145">
        <f>SUM(AA135:AA146)</f>
        <v>0</v>
      </c>
      <c r="AB147" s="637"/>
      <c r="AC147" s="637"/>
      <c r="AD147" s="146">
        <f>SUM(AD135:AD146)</f>
        <v>0</v>
      </c>
      <c r="AE147" s="146">
        <f>SUM(AE135:AE146)</f>
        <v>0</v>
      </c>
      <c r="AF147" s="266">
        <f t="shared" si="63"/>
        <v>-213.37612202458445</v>
      </c>
      <c r="AG147" s="329">
        <f t="shared" si="64"/>
        <v>0.85570507386334105</v>
      </c>
      <c r="AH147" s="632"/>
    </row>
    <row r="148" spans="1:34" ht="18" customHeight="1">
      <c r="A148" s="638" t="s">
        <v>233</v>
      </c>
      <c r="B148" s="97" t="s">
        <v>251</v>
      </c>
      <c r="C148" s="126"/>
      <c r="D148" s="228" t="s">
        <v>178</v>
      </c>
      <c r="E148" s="81"/>
      <c r="F148" s="183">
        <v>50.92</v>
      </c>
      <c r="G148" s="100">
        <v>1791</v>
      </c>
      <c r="H148" s="129">
        <f t="shared" ref="H148:H172" si="100">F148*G148</f>
        <v>91197.72</v>
      </c>
      <c r="I148" s="330"/>
      <c r="J148" s="130">
        <v>17</v>
      </c>
      <c r="K148" s="100">
        <v>1440</v>
      </c>
      <c r="L148" s="131">
        <v>84.705882352941174</v>
      </c>
      <c r="M148" s="155">
        <v>16</v>
      </c>
      <c r="N148" s="83">
        <f>G148/W148*60</f>
        <v>1343.2499999999995</v>
      </c>
      <c r="O148" s="87">
        <f>N148/M148</f>
        <v>83.953124999999972</v>
      </c>
      <c r="P148" s="89">
        <f t="shared" si="97"/>
        <v>-1</v>
      </c>
      <c r="Q148" s="90">
        <f t="shared" si="98"/>
        <v>-0.75275735294120238</v>
      </c>
      <c r="R148" s="91">
        <f t="shared" si="99"/>
        <v>0.99111328124999964</v>
      </c>
      <c r="S148" s="639">
        <f>R160</f>
        <v>0.9414422240004493</v>
      </c>
      <c r="T148" s="315">
        <v>0.70833333333333337</v>
      </c>
      <c r="U148" s="92">
        <v>0.76388888888888895</v>
      </c>
      <c r="V148" s="65">
        <v>5</v>
      </c>
      <c r="W148" s="85">
        <f>(U148-T148)*24*60</f>
        <v>80.000000000000028</v>
      </c>
      <c r="X148" s="95"/>
      <c r="Y148" s="95"/>
      <c r="Z148" s="96"/>
      <c r="AA148" s="96"/>
      <c r="AB148" s="641"/>
      <c r="AC148" s="642"/>
      <c r="AD148" s="97"/>
      <c r="AE148" s="97"/>
      <c r="AF148" s="89">
        <f t="shared" si="63"/>
        <v>-96.750000000000455</v>
      </c>
      <c r="AG148" s="170">
        <f t="shared" si="64"/>
        <v>0.93281249999999971</v>
      </c>
      <c r="AH148" s="632">
        <f>AG160</f>
        <v>0.92021329365079363</v>
      </c>
    </row>
    <row r="149" spans="1:34" ht="18" customHeight="1">
      <c r="A149" s="638"/>
      <c r="B149" s="97" t="s">
        <v>251</v>
      </c>
      <c r="C149" s="289"/>
      <c r="D149" s="320" t="s">
        <v>177</v>
      </c>
      <c r="E149" s="103"/>
      <c r="F149" s="183">
        <v>50.29</v>
      </c>
      <c r="G149" s="100">
        <v>1135</v>
      </c>
      <c r="H149" s="129">
        <f t="shared" si="100"/>
        <v>57079.15</v>
      </c>
      <c r="I149" s="330"/>
      <c r="J149" s="130">
        <v>18</v>
      </c>
      <c r="K149" s="100">
        <v>1440</v>
      </c>
      <c r="L149" s="131">
        <v>80</v>
      </c>
      <c r="M149" s="155">
        <v>18</v>
      </c>
      <c r="N149" s="83">
        <f>G149/W149*60</f>
        <v>1216.0714285714294</v>
      </c>
      <c r="O149" s="87">
        <f>N149/M149</f>
        <v>67.559523809523853</v>
      </c>
      <c r="P149" s="89">
        <f t="shared" si="97"/>
        <v>0</v>
      </c>
      <c r="Q149" s="90">
        <f t="shared" si="98"/>
        <v>-12.440476190476147</v>
      </c>
      <c r="R149" s="91">
        <f t="shared" si="99"/>
        <v>0.84449404761904812</v>
      </c>
      <c r="S149" s="640"/>
      <c r="T149" s="315">
        <v>0.76875000000000004</v>
      </c>
      <c r="U149" s="92">
        <v>0.80763888888888891</v>
      </c>
      <c r="V149" s="65">
        <v>7</v>
      </c>
      <c r="W149" s="85">
        <f t="shared" ref="W149:W151" si="101">(U149-T149)*24*60</f>
        <v>55.999999999999957</v>
      </c>
      <c r="X149" s="95"/>
      <c r="Y149" s="95"/>
      <c r="Z149" s="96"/>
      <c r="AA149" s="96"/>
      <c r="AB149" s="644"/>
      <c r="AC149" s="644"/>
      <c r="AD149" s="97"/>
      <c r="AE149" s="97"/>
      <c r="AF149" s="89">
        <f t="shared" si="63"/>
        <v>-223.92857142857065</v>
      </c>
      <c r="AG149" s="170">
        <f t="shared" si="64"/>
        <v>0.84449404761904812</v>
      </c>
      <c r="AH149" s="643"/>
    </row>
    <row r="150" spans="1:34" ht="16.25" customHeight="1">
      <c r="A150" s="638"/>
      <c r="B150" s="97" t="s">
        <v>251</v>
      </c>
      <c r="C150" s="289"/>
      <c r="D150" s="231" t="s">
        <v>234</v>
      </c>
      <c r="E150" s="103"/>
      <c r="F150" s="183">
        <v>54.29</v>
      </c>
      <c r="G150" s="100">
        <v>2006</v>
      </c>
      <c r="H150" s="129">
        <f t="shared" si="100"/>
        <v>108905.74</v>
      </c>
      <c r="I150" s="330"/>
      <c r="J150" s="130">
        <v>17</v>
      </c>
      <c r="K150" s="100">
        <v>1440</v>
      </c>
      <c r="L150" s="131">
        <v>84.705882352941174</v>
      </c>
      <c r="M150" s="155">
        <v>17</v>
      </c>
      <c r="N150" s="83">
        <f>G150/W150*60</f>
        <v>1415.9999999999995</v>
      </c>
      <c r="O150" s="87">
        <f>N150/M150</f>
        <v>83.294117647058798</v>
      </c>
      <c r="P150" s="89">
        <f t="shared" si="97"/>
        <v>0</v>
      </c>
      <c r="Q150" s="90">
        <f t="shared" si="98"/>
        <v>-1.4117647058823763</v>
      </c>
      <c r="R150" s="91">
        <f t="shared" si="99"/>
        <v>0.98333333333333306</v>
      </c>
      <c r="S150" s="640"/>
      <c r="T150" s="315">
        <v>0.8125</v>
      </c>
      <c r="U150" s="92">
        <v>0.87152777777777779</v>
      </c>
      <c r="V150" s="65">
        <v>7</v>
      </c>
      <c r="W150" s="85">
        <f t="shared" si="101"/>
        <v>85.000000000000014</v>
      </c>
      <c r="X150" s="283"/>
      <c r="Y150" s="283"/>
      <c r="Z150" s="284"/>
      <c r="AA150" s="284"/>
      <c r="AB150" s="644"/>
      <c r="AC150" s="644"/>
      <c r="AD150" s="97"/>
      <c r="AE150" s="97"/>
      <c r="AF150" s="89">
        <f t="shared" si="63"/>
        <v>-24.000000000000455</v>
      </c>
      <c r="AG150" s="170">
        <f t="shared" si="64"/>
        <v>0.98333333333333306</v>
      </c>
      <c r="AH150" s="643"/>
    </row>
    <row r="151" spans="1:34" s="286" customFormat="1" ht="18" customHeight="1">
      <c r="A151" s="638"/>
      <c r="B151" s="97">
        <v>0</v>
      </c>
      <c r="C151" s="289"/>
      <c r="D151" s="102"/>
      <c r="E151" s="103"/>
      <c r="F151" s="183" t="s">
        <v>253</v>
      </c>
      <c r="G151" s="100"/>
      <c r="H151" s="129">
        <f t="shared" si="100"/>
        <v>0</v>
      </c>
      <c r="I151" s="330"/>
      <c r="J151" s="130"/>
      <c r="K151" s="100"/>
      <c r="L151" s="131"/>
      <c r="M151" s="155"/>
      <c r="N151" s="83"/>
      <c r="O151" s="87"/>
      <c r="P151" s="89"/>
      <c r="Q151" s="90"/>
      <c r="R151" s="91"/>
      <c r="S151" s="640"/>
      <c r="T151" s="315"/>
      <c r="U151" s="92"/>
      <c r="V151" s="65"/>
      <c r="W151" s="85">
        <f t="shared" si="101"/>
        <v>0</v>
      </c>
      <c r="X151" s="283"/>
      <c r="Y151" s="283"/>
      <c r="Z151" s="284"/>
      <c r="AA151" s="284"/>
      <c r="AB151" s="633"/>
      <c r="AC151" s="633"/>
      <c r="AD151" s="289"/>
      <c r="AE151" s="289"/>
      <c r="AF151" s="89">
        <f t="shared" si="63"/>
        <v>0</v>
      </c>
      <c r="AG151" s="170" t="e">
        <f t="shared" si="64"/>
        <v>#DIV/0!</v>
      </c>
      <c r="AH151" s="643"/>
    </row>
    <row r="152" spans="1:34" s="286" customFormat="1" ht="18" customHeight="1">
      <c r="A152" s="638"/>
      <c r="B152" s="97">
        <v>0</v>
      </c>
      <c r="C152" s="289"/>
      <c r="D152" s="320"/>
      <c r="E152" s="103"/>
      <c r="F152" s="183" t="s">
        <v>253</v>
      </c>
      <c r="G152" s="100"/>
      <c r="H152" s="129">
        <f t="shared" si="100"/>
        <v>0</v>
      </c>
      <c r="I152" s="330"/>
      <c r="J152" s="130"/>
      <c r="K152" s="100"/>
      <c r="L152" s="131"/>
      <c r="M152" s="155"/>
      <c r="N152" s="83"/>
      <c r="O152" s="87"/>
      <c r="P152" s="89"/>
      <c r="Q152" s="90"/>
      <c r="R152" s="91"/>
      <c r="S152" s="640"/>
      <c r="T152" s="331"/>
      <c r="U152" s="107"/>
      <c r="V152" s="105"/>
      <c r="W152" s="85"/>
      <c r="X152" s="287"/>
      <c r="Y152" s="287"/>
      <c r="Z152" s="284"/>
      <c r="AA152" s="284"/>
      <c r="AB152" s="633"/>
      <c r="AC152" s="633"/>
      <c r="AD152" s="289"/>
      <c r="AE152" s="289"/>
      <c r="AF152" s="89">
        <f t="shared" si="63"/>
        <v>0</v>
      </c>
      <c r="AG152" s="170" t="e">
        <f t="shared" si="64"/>
        <v>#DIV/0!</v>
      </c>
      <c r="AH152" s="643"/>
    </row>
    <row r="153" spans="1:34" s="286" customFormat="1" ht="18" customHeight="1">
      <c r="A153" s="638"/>
      <c r="B153" s="97">
        <v>0</v>
      </c>
      <c r="C153" s="289"/>
      <c r="D153" s="320"/>
      <c r="E153" s="103"/>
      <c r="F153" s="183" t="s">
        <v>253</v>
      </c>
      <c r="G153" s="100"/>
      <c r="H153" s="129">
        <f t="shared" si="100"/>
        <v>0</v>
      </c>
      <c r="I153" s="330"/>
      <c r="J153" s="130"/>
      <c r="K153" s="100"/>
      <c r="L153" s="131"/>
      <c r="M153" s="261"/>
      <c r="N153" s="83"/>
      <c r="O153" s="87"/>
      <c r="P153" s="89"/>
      <c r="Q153" s="90"/>
      <c r="R153" s="91"/>
      <c r="S153" s="640"/>
      <c r="T153" s="331"/>
      <c r="U153" s="107"/>
      <c r="V153" s="105"/>
      <c r="W153" s="85">
        <f t="shared" ref="W153:W159" si="102">(U153-T153)*24*60</f>
        <v>0</v>
      </c>
      <c r="X153" s="287"/>
      <c r="Y153" s="287"/>
      <c r="Z153" s="284"/>
      <c r="AA153" s="284"/>
      <c r="AB153" s="633"/>
      <c r="AC153" s="633"/>
      <c r="AD153" s="289"/>
      <c r="AE153" s="289"/>
      <c r="AF153" s="89">
        <f t="shared" si="63"/>
        <v>0</v>
      </c>
      <c r="AG153" s="170" t="e">
        <f t="shared" si="64"/>
        <v>#DIV/0!</v>
      </c>
      <c r="AH153" s="643"/>
    </row>
    <row r="154" spans="1:34" s="286" customFormat="1" ht="18" customHeight="1">
      <c r="A154" s="638"/>
      <c r="B154" s="97">
        <v>0</v>
      </c>
      <c r="C154" s="289"/>
      <c r="D154" s="320"/>
      <c r="E154" s="103"/>
      <c r="F154" s="183" t="s">
        <v>253</v>
      </c>
      <c r="G154" s="100"/>
      <c r="H154" s="129">
        <f t="shared" si="100"/>
        <v>0</v>
      </c>
      <c r="I154" s="330"/>
      <c r="J154" s="332"/>
      <c r="K154" s="299"/>
      <c r="L154" s="87"/>
      <c r="M154" s="261"/>
      <c r="N154" s="234"/>
      <c r="O154" s="292"/>
      <c r="P154" s="333"/>
      <c r="Q154" s="119"/>
      <c r="R154" s="174"/>
      <c r="S154" s="640"/>
      <c r="T154" s="331"/>
      <c r="U154" s="107"/>
      <c r="V154" s="105"/>
      <c r="W154" s="334">
        <f t="shared" si="102"/>
        <v>0</v>
      </c>
      <c r="X154" s="287"/>
      <c r="Y154" s="287"/>
      <c r="Z154" s="284"/>
      <c r="AA154" s="284"/>
      <c r="AB154" s="633"/>
      <c r="AC154" s="633"/>
      <c r="AD154" s="289"/>
      <c r="AE154" s="289"/>
      <c r="AF154" s="89">
        <f t="shared" si="63"/>
        <v>0</v>
      </c>
      <c r="AG154" s="170" t="e">
        <f t="shared" si="64"/>
        <v>#DIV/0!</v>
      </c>
      <c r="AH154" s="643"/>
    </row>
    <row r="155" spans="1:34" s="286" customFormat="1" ht="18" customHeight="1">
      <c r="A155" s="638"/>
      <c r="B155" s="97">
        <v>0</v>
      </c>
      <c r="C155" s="289"/>
      <c r="D155" s="320"/>
      <c r="E155" s="103"/>
      <c r="F155" s="183" t="s">
        <v>253</v>
      </c>
      <c r="G155" s="100"/>
      <c r="H155" s="129">
        <f t="shared" si="100"/>
        <v>0</v>
      </c>
      <c r="I155" s="330"/>
      <c r="J155" s="332"/>
      <c r="K155" s="299"/>
      <c r="L155" s="87"/>
      <c r="M155" s="261"/>
      <c r="N155" s="234"/>
      <c r="O155" s="292"/>
      <c r="P155" s="333"/>
      <c r="Q155" s="119"/>
      <c r="R155" s="174"/>
      <c r="S155" s="640"/>
      <c r="T155" s="331"/>
      <c r="U155" s="107"/>
      <c r="V155" s="105"/>
      <c r="W155" s="334">
        <f t="shared" si="102"/>
        <v>0</v>
      </c>
      <c r="X155" s="287"/>
      <c r="Y155" s="287"/>
      <c r="Z155" s="284"/>
      <c r="AA155" s="284"/>
      <c r="AB155" s="633"/>
      <c r="AC155" s="633"/>
      <c r="AD155" s="289"/>
      <c r="AE155" s="289"/>
      <c r="AF155" s="335"/>
      <c r="AG155" s="174"/>
      <c r="AH155" s="643"/>
    </row>
    <row r="156" spans="1:34" s="286" customFormat="1" ht="18" customHeight="1">
      <c r="A156" s="638"/>
      <c r="B156" s="289">
        <v>0</v>
      </c>
      <c r="C156" s="289"/>
      <c r="D156" s="320"/>
      <c r="E156" s="103"/>
      <c r="F156" s="183" t="s">
        <v>253</v>
      </c>
      <c r="G156" s="100"/>
      <c r="H156" s="129">
        <f t="shared" si="100"/>
        <v>0</v>
      </c>
      <c r="I156" s="330"/>
      <c r="J156" s="332"/>
      <c r="K156" s="299"/>
      <c r="L156" s="87"/>
      <c r="M156" s="261"/>
      <c r="N156" s="234"/>
      <c r="O156" s="292"/>
      <c r="P156" s="333"/>
      <c r="Q156" s="119"/>
      <c r="R156" s="174"/>
      <c r="S156" s="640"/>
      <c r="T156" s="331"/>
      <c r="U156" s="107"/>
      <c r="V156" s="105"/>
      <c r="W156" s="334">
        <f t="shared" si="102"/>
        <v>0</v>
      </c>
      <c r="X156" s="287"/>
      <c r="Y156" s="287"/>
      <c r="Z156" s="284"/>
      <c r="AA156" s="284"/>
      <c r="AB156" s="633"/>
      <c r="AC156" s="633"/>
      <c r="AD156" s="289"/>
      <c r="AE156" s="289"/>
      <c r="AF156" s="335"/>
      <c r="AG156" s="174"/>
      <c r="AH156" s="643"/>
    </row>
    <row r="157" spans="1:34" s="286" customFormat="1" ht="18" customHeight="1">
      <c r="A157" s="638"/>
      <c r="B157" s="289">
        <v>0</v>
      </c>
      <c r="C157" s="289"/>
      <c r="D157" s="320"/>
      <c r="E157" s="103"/>
      <c r="F157" s="308" t="s">
        <v>253</v>
      </c>
      <c r="G157" s="100"/>
      <c r="H157" s="298">
        <f t="shared" si="100"/>
        <v>0</v>
      </c>
      <c r="I157" s="330"/>
      <c r="J157" s="332"/>
      <c r="K157" s="299"/>
      <c r="L157" s="87"/>
      <c r="M157" s="261"/>
      <c r="N157" s="234"/>
      <c r="O157" s="292"/>
      <c r="P157" s="333"/>
      <c r="Q157" s="119"/>
      <c r="R157" s="174"/>
      <c r="S157" s="640"/>
      <c r="T157" s="331"/>
      <c r="U157" s="107"/>
      <c r="V157" s="105"/>
      <c r="W157" s="334">
        <f t="shared" si="102"/>
        <v>0</v>
      </c>
      <c r="X157" s="287"/>
      <c r="Y157" s="287"/>
      <c r="Z157" s="284"/>
      <c r="AA157" s="284"/>
      <c r="AB157" s="633"/>
      <c r="AC157" s="633"/>
      <c r="AD157" s="289"/>
      <c r="AE157" s="289"/>
      <c r="AF157" s="335"/>
      <c r="AG157" s="174"/>
      <c r="AH157" s="643"/>
    </row>
    <row r="158" spans="1:34" s="286" customFormat="1" ht="18" customHeight="1">
      <c r="A158" s="638"/>
      <c r="B158" s="289">
        <v>0</v>
      </c>
      <c r="C158" s="289"/>
      <c r="D158" s="320"/>
      <c r="E158" s="103"/>
      <c r="F158" s="308" t="s">
        <v>253</v>
      </c>
      <c r="G158" s="100"/>
      <c r="H158" s="298">
        <f t="shared" si="100"/>
        <v>0</v>
      </c>
      <c r="I158" s="330"/>
      <c r="J158" s="332"/>
      <c r="K158" s="299"/>
      <c r="L158" s="87"/>
      <c r="M158" s="261"/>
      <c r="N158" s="234"/>
      <c r="O158" s="292"/>
      <c r="P158" s="333"/>
      <c r="Q158" s="119"/>
      <c r="R158" s="174"/>
      <c r="S158" s="640"/>
      <c r="T158" s="331"/>
      <c r="U158" s="107"/>
      <c r="V158" s="105"/>
      <c r="W158" s="334">
        <f t="shared" si="102"/>
        <v>0</v>
      </c>
      <c r="X158" s="287"/>
      <c r="Y158" s="287"/>
      <c r="Z158" s="284"/>
      <c r="AA158" s="284"/>
      <c r="AB158" s="633"/>
      <c r="AC158" s="633"/>
      <c r="AD158" s="289"/>
      <c r="AE158" s="289"/>
      <c r="AF158" s="335"/>
      <c r="AG158" s="174"/>
      <c r="AH158" s="643"/>
    </row>
    <row r="159" spans="1:34" s="286" customFormat="1" ht="18" customHeight="1">
      <c r="A159" s="638"/>
      <c r="B159" s="289">
        <v>0</v>
      </c>
      <c r="C159" s="289"/>
      <c r="D159" s="320"/>
      <c r="E159" s="103"/>
      <c r="F159" s="308" t="s">
        <v>253</v>
      </c>
      <c r="G159" s="100"/>
      <c r="H159" s="298">
        <f t="shared" si="100"/>
        <v>0</v>
      </c>
      <c r="I159" s="330"/>
      <c r="J159" s="332"/>
      <c r="K159" s="234"/>
      <c r="L159" s="179"/>
      <c r="M159" s="137"/>
      <c r="N159" s="234"/>
      <c r="O159" s="292"/>
      <c r="P159" s="333"/>
      <c r="Q159" s="119"/>
      <c r="R159" s="174"/>
      <c r="S159" s="640"/>
      <c r="T159" s="331"/>
      <c r="U159" s="107"/>
      <c r="V159" s="105"/>
      <c r="W159" s="336">
        <f t="shared" si="102"/>
        <v>0</v>
      </c>
      <c r="X159" s="287"/>
      <c r="Y159" s="287"/>
      <c r="Z159" s="284"/>
      <c r="AA159" s="284"/>
      <c r="AB159" s="633"/>
      <c r="AC159" s="633"/>
      <c r="AD159" s="289"/>
      <c r="AE159" s="289"/>
      <c r="AF159" s="335"/>
      <c r="AG159" s="174"/>
      <c r="AH159" s="643"/>
    </row>
    <row r="160" spans="1:34" ht="18" customHeight="1">
      <c r="A160" s="638"/>
      <c r="B160" s="337">
        <v>0</v>
      </c>
      <c r="C160" s="338" t="s">
        <v>24</v>
      </c>
      <c r="D160" s="634" t="s">
        <v>220</v>
      </c>
      <c r="E160" s="635"/>
      <c r="F160" s="113"/>
      <c r="G160" s="264"/>
      <c r="H160" s="263"/>
      <c r="I160" s="116"/>
      <c r="J160" s="339">
        <v>17.333333333333332</v>
      </c>
      <c r="K160" s="339">
        <v>1440</v>
      </c>
      <c r="L160" s="340">
        <v>83.137254901960773</v>
      </c>
      <c r="M160" s="339">
        <f t="shared" ref="M160:O160" si="103">AVERAGE(M148:M159)</f>
        <v>17</v>
      </c>
      <c r="N160" s="339">
        <f t="shared" si="103"/>
        <v>1325.1071428571429</v>
      </c>
      <c r="O160" s="340">
        <f t="shared" si="103"/>
        <v>78.268922152194207</v>
      </c>
      <c r="P160" s="118">
        <f t="shared" ref="P160:P165" si="104">M160-J160</f>
        <v>-0.33333333333333215</v>
      </c>
      <c r="Q160" s="119">
        <f t="shared" ref="Q160:Q165" si="105">O160-L160</f>
        <v>-4.8683327497665658</v>
      </c>
      <c r="R160" s="341">
        <f>O160/L160</f>
        <v>0.9414422240004493</v>
      </c>
      <c r="S160" s="640"/>
      <c r="T160" s="342"/>
      <c r="U160" s="342"/>
      <c r="V160" s="252"/>
      <c r="W160" s="252"/>
      <c r="X160" s="253"/>
      <c r="Y160" s="253"/>
      <c r="Z160" s="123">
        <f>SUM(Z148:Z159)</f>
        <v>0</v>
      </c>
      <c r="AA160" s="123">
        <f>SUM(AA148:AA159)</f>
        <v>0</v>
      </c>
      <c r="AB160" s="636"/>
      <c r="AC160" s="637"/>
      <c r="AD160" s="124">
        <f>SUM(AD148:AD159)</f>
        <v>0</v>
      </c>
      <c r="AE160" s="124">
        <f>SUM(AE148:AE159)</f>
        <v>0</v>
      </c>
      <c r="AF160" s="118">
        <f t="shared" si="63"/>
        <v>-114.89285714285711</v>
      </c>
      <c r="AG160" s="174">
        <f t="shared" si="64"/>
        <v>0.92021329365079363</v>
      </c>
      <c r="AH160" s="643"/>
    </row>
    <row r="161" spans="1:36" ht="18" customHeight="1">
      <c r="A161" s="631" t="s">
        <v>235</v>
      </c>
      <c r="B161" s="126" t="s">
        <v>250</v>
      </c>
      <c r="C161" s="126"/>
      <c r="D161" s="168" t="s">
        <v>179</v>
      </c>
      <c r="E161" s="169"/>
      <c r="F161" s="180">
        <v>34.229999999999997</v>
      </c>
      <c r="G161" s="100">
        <v>2177</v>
      </c>
      <c r="H161" s="129">
        <f t="shared" ref="H161:H170" si="106">F161*G161</f>
        <v>74518.709999999992</v>
      </c>
      <c r="I161" s="97"/>
      <c r="J161" s="130">
        <v>11</v>
      </c>
      <c r="K161" s="100">
        <v>2250</v>
      </c>
      <c r="L161" s="131">
        <v>204.54545454545453</v>
      </c>
      <c r="M161" s="130">
        <v>11</v>
      </c>
      <c r="N161" s="100">
        <f t="shared" ref="N161:N165" si="107">G161/W161*60</f>
        <v>2177.0000000000005</v>
      </c>
      <c r="O161" s="131">
        <f t="shared" ref="O161:O165" si="108">N161/M161</f>
        <v>197.90909090909096</v>
      </c>
      <c r="P161" s="96">
        <f t="shared" si="104"/>
        <v>0</v>
      </c>
      <c r="Q161" s="132">
        <f t="shared" si="105"/>
        <v>-6.6363636363635692</v>
      </c>
      <c r="R161" s="133">
        <f t="shared" ref="R161:R165" si="109">O161/L161</f>
        <v>0.96755555555555584</v>
      </c>
      <c r="S161" s="632">
        <f>R173</f>
        <v>0.92664473605685593</v>
      </c>
      <c r="T161" s="134">
        <v>0.16666666666666666</v>
      </c>
      <c r="U161" s="134">
        <v>0.20833333333333331</v>
      </c>
      <c r="V161" s="97">
        <v>5</v>
      </c>
      <c r="W161" s="135">
        <f t="shared" ref="W161:W165" si="110">(U161-T161)*24*60</f>
        <v>59.999999999999986</v>
      </c>
      <c r="X161" s="136"/>
      <c r="Y161" s="136"/>
      <c r="Z161" s="96"/>
      <c r="AA161" s="96"/>
      <c r="AB161" s="629"/>
      <c r="AC161" s="629"/>
      <c r="AD161" s="97"/>
      <c r="AE161" s="97"/>
      <c r="AF161" s="96">
        <f t="shared" si="63"/>
        <v>-72.999999999999545</v>
      </c>
      <c r="AG161" s="133">
        <f t="shared" si="64"/>
        <v>0.96755555555555572</v>
      </c>
      <c r="AH161" s="632">
        <f>AG173</f>
        <v>0.92835870384688723</v>
      </c>
    </row>
    <row r="162" spans="1:36" ht="18" customHeight="1">
      <c r="A162" s="631"/>
      <c r="B162" s="126" t="s">
        <v>250</v>
      </c>
      <c r="C162" s="126"/>
      <c r="D162" s="168" t="s">
        <v>180</v>
      </c>
      <c r="E162" s="169"/>
      <c r="F162" s="180">
        <v>34.229999999999997</v>
      </c>
      <c r="G162" s="100">
        <v>2766</v>
      </c>
      <c r="H162" s="129">
        <f t="shared" si="106"/>
        <v>94680.18</v>
      </c>
      <c r="I162" s="97"/>
      <c r="J162" s="130">
        <v>12</v>
      </c>
      <c r="K162" s="100">
        <v>2250</v>
      </c>
      <c r="L162" s="131">
        <v>187.5</v>
      </c>
      <c r="M162" s="130">
        <v>12</v>
      </c>
      <c r="N162" s="100">
        <f t="shared" si="107"/>
        <v>2127.6923076923067</v>
      </c>
      <c r="O162" s="131">
        <f t="shared" si="108"/>
        <v>177.30769230769224</v>
      </c>
      <c r="P162" s="96">
        <f t="shared" si="104"/>
        <v>0</v>
      </c>
      <c r="Q162" s="132">
        <f t="shared" si="105"/>
        <v>-10.192307692307764</v>
      </c>
      <c r="R162" s="133">
        <f t="shared" si="109"/>
        <v>0.94564102564102526</v>
      </c>
      <c r="S162" s="632"/>
      <c r="T162" s="134">
        <v>0.22430555555555554</v>
      </c>
      <c r="U162" s="134">
        <v>0.27847222222222223</v>
      </c>
      <c r="V162" s="97">
        <v>23</v>
      </c>
      <c r="W162" s="135">
        <f t="shared" si="110"/>
        <v>78.000000000000043</v>
      </c>
      <c r="X162" s="136">
        <v>0.21180555555555555</v>
      </c>
      <c r="Y162" s="136">
        <v>0.22152777777777777</v>
      </c>
      <c r="Z162" s="96"/>
      <c r="AA162" s="96"/>
      <c r="AB162" s="629"/>
      <c r="AC162" s="629"/>
      <c r="AD162" s="97"/>
      <c r="AE162" s="97"/>
      <c r="AF162" s="96">
        <f t="shared" si="63"/>
        <v>-122.30769230769329</v>
      </c>
      <c r="AG162" s="133">
        <f t="shared" si="64"/>
        <v>0.94564102564102526</v>
      </c>
      <c r="AH162" s="632"/>
    </row>
    <row r="163" spans="1:36" ht="18" customHeight="1">
      <c r="A163" s="631"/>
      <c r="B163" s="126" t="s">
        <v>250</v>
      </c>
      <c r="C163" s="126"/>
      <c r="D163" s="317" t="s">
        <v>181</v>
      </c>
      <c r="E163" s="317"/>
      <c r="F163" s="180">
        <v>35.83</v>
      </c>
      <c r="G163" s="100">
        <v>4596</v>
      </c>
      <c r="H163" s="129">
        <f t="shared" si="106"/>
        <v>164674.68</v>
      </c>
      <c r="I163" s="97"/>
      <c r="J163" s="130">
        <v>10</v>
      </c>
      <c r="K163" s="100">
        <v>2250</v>
      </c>
      <c r="L163" s="131">
        <v>225</v>
      </c>
      <c r="M163" s="130">
        <v>10</v>
      </c>
      <c r="N163" s="100">
        <f t="shared" si="107"/>
        <v>2260.3278688524583</v>
      </c>
      <c r="O163" s="131">
        <f t="shared" si="108"/>
        <v>226.03278688524583</v>
      </c>
      <c r="P163" s="96">
        <f t="shared" si="104"/>
        <v>0</v>
      </c>
      <c r="Q163" s="132">
        <f t="shared" si="105"/>
        <v>1.0327868852458266</v>
      </c>
      <c r="R163" s="133">
        <f t="shared" si="109"/>
        <v>1.0045901639344259</v>
      </c>
      <c r="S163" s="632"/>
      <c r="T163" s="134">
        <v>0.32013888888888886</v>
      </c>
      <c r="U163" s="134">
        <v>0.40486111111111112</v>
      </c>
      <c r="V163" s="97">
        <v>7</v>
      </c>
      <c r="W163" s="135">
        <f t="shared" si="110"/>
        <v>122.00000000000004</v>
      </c>
      <c r="X163" s="136"/>
      <c r="Y163" s="136"/>
      <c r="Z163" s="96"/>
      <c r="AA163" s="96"/>
      <c r="AB163" s="629"/>
      <c r="AC163" s="629"/>
      <c r="AD163" s="97"/>
      <c r="AE163" s="97"/>
      <c r="AF163" s="96">
        <f t="shared" si="63"/>
        <v>10.327868852458323</v>
      </c>
      <c r="AG163" s="133">
        <f t="shared" si="64"/>
        <v>1.0045901639344259</v>
      </c>
      <c r="AH163" s="632"/>
    </row>
    <row r="164" spans="1:36" ht="18" customHeight="1">
      <c r="A164" s="631"/>
      <c r="B164" s="126" t="s">
        <v>250</v>
      </c>
      <c r="C164" s="126"/>
      <c r="D164" s="343" t="s">
        <v>182</v>
      </c>
      <c r="E164" s="343"/>
      <c r="F164" s="180">
        <v>34.229999999999997</v>
      </c>
      <c r="G164" s="100">
        <v>3629</v>
      </c>
      <c r="H164" s="129">
        <f t="shared" si="106"/>
        <v>124220.66999999998</v>
      </c>
      <c r="I164" s="97"/>
      <c r="J164" s="130">
        <v>9</v>
      </c>
      <c r="K164" s="100">
        <v>2796</v>
      </c>
      <c r="L164" s="131">
        <v>307.7</v>
      </c>
      <c r="M164" s="130">
        <v>9</v>
      </c>
      <c r="N164" s="100">
        <f t="shared" si="107"/>
        <v>2199.3939393939386</v>
      </c>
      <c r="O164" s="131">
        <f t="shared" si="108"/>
        <v>244.37710437710427</v>
      </c>
      <c r="P164" s="96">
        <f t="shared" si="104"/>
        <v>0</v>
      </c>
      <c r="Q164" s="132">
        <f t="shared" si="105"/>
        <v>-63.322895622895714</v>
      </c>
      <c r="R164" s="133">
        <f t="shared" si="109"/>
        <v>0.79420573408223682</v>
      </c>
      <c r="S164" s="632"/>
      <c r="T164" s="134">
        <v>0.4201388888888889</v>
      </c>
      <c r="U164" s="134">
        <v>0.48888888888888893</v>
      </c>
      <c r="V164" s="97">
        <v>22</v>
      </c>
      <c r="W164" s="135">
        <f t="shared" si="110"/>
        <v>99.000000000000043</v>
      </c>
      <c r="X164" s="136">
        <v>0.40833333333333338</v>
      </c>
      <c r="Y164" s="136">
        <v>0.41736111111111113</v>
      </c>
      <c r="Z164" s="96"/>
      <c r="AA164" s="96"/>
      <c r="AB164" s="629"/>
      <c r="AC164" s="629"/>
      <c r="AD164" s="97"/>
      <c r="AE164" s="97"/>
      <c r="AF164" s="96">
        <f t="shared" si="63"/>
        <v>-596.60606060606142</v>
      </c>
      <c r="AG164" s="133">
        <f t="shared" si="64"/>
        <v>0.78662158061299658</v>
      </c>
      <c r="AH164" s="632"/>
    </row>
    <row r="165" spans="1:36" ht="18" customHeight="1">
      <c r="A165" s="631"/>
      <c r="B165" s="126" t="s">
        <v>250</v>
      </c>
      <c r="C165" s="127"/>
      <c r="D165" s="168" t="s">
        <v>121</v>
      </c>
      <c r="E165" s="169"/>
      <c r="F165" s="128">
        <v>36.409999999999997</v>
      </c>
      <c r="G165" s="100">
        <v>3534.8500000000004</v>
      </c>
      <c r="H165" s="129">
        <f t="shared" si="106"/>
        <v>128703.8885</v>
      </c>
      <c r="I165" s="97">
        <v>2</v>
      </c>
      <c r="J165" s="130">
        <v>9</v>
      </c>
      <c r="K165" s="100">
        <v>2250</v>
      </c>
      <c r="L165" s="131">
        <v>250</v>
      </c>
      <c r="M165" s="130">
        <v>9</v>
      </c>
      <c r="N165" s="100">
        <f t="shared" si="107"/>
        <v>2186.5051546391765</v>
      </c>
      <c r="O165" s="131">
        <f t="shared" si="108"/>
        <v>242.94501718213073</v>
      </c>
      <c r="P165" s="96">
        <f t="shared" si="104"/>
        <v>0</v>
      </c>
      <c r="Q165" s="132">
        <f t="shared" si="105"/>
        <v>-7.0549828178692735</v>
      </c>
      <c r="R165" s="133">
        <f t="shared" si="109"/>
        <v>0.97178006872852296</v>
      </c>
      <c r="S165" s="632"/>
      <c r="T165" s="134">
        <v>0.49375000000000002</v>
      </c>
      <c r="U165" s="134">
        <v>0.56111111111111112</v>
      </c>
      <c r="V165" s="97">
        <v>7</v>
      </c>
      <c r="W165" s="135">
        <f t="shared" si="110"/>
        <v>96.999999999999972</v>
      </c>
      <c r="X165" s="136"/>
      <c r="Y165" s="136"/>
      <c r="Z165" s="96"/>
      <c r="AA165" s="96"/>
      <c r="AB165" s="629"/>
      <c r="AC165" s="629"/>
      <c r="AD165" s="97"/>
      <c r="AE165" s="97"/>
      <c r="AF165" s="96">
        <f t="shared" si="63"/>
        <v>-63.494845360823547</v>
      </c>
      <c r="AG165" s="133">
        <f t="shared" si="64"/>
        <v>0.97178006872852285</v>
      </c>
      <c r="AH165" s="632"/>
    </row>
    <row r="166" spans="1:36" ht="18" customHeight="1">
      <c r="A166" s="631"/>
      <c r="B166" s="126">
        <v>0</v>
      </c>
      <c r="C166" s="126"/>
      <c r="D166" s="168"/>
      <c r="E166" s="169"/>
      <c r="F166" s="180" t="s">
        <v>253</v>
      </c>
      <c r="G166" s="100"/>
      <c r="H166" s="129">
        <f t="shared" si="106"/>
        <v>0</v>
      </c>
      <c r="I166" s="97"/>
      <c r="J166" s="130"/>
      <c r="K166" s="100"/>
      <c r="L166" s="131"/>
      <c r="M166" s="130"/>
      <c r="N166" s="100"/>
      <c r="O166" s="131"/>
      <c r="P166" s="96"/>
      <c r="Q166" s="132"/>
      <c r="R166" s="133"/>
      <c r="S166" s="632"/>
      <c r="T166" s="134"/>
      <c r="U166" s="134"/>
      <c r="V166" s="97"/>
      <c r="W166" s="135"/>
      <c r="X166" s="136"/>
      <c r="Y166" s="136"/>
      <c r="Z166" s="96"/>
      <c r="AA166" s="96"/>
      <c r="AB166" s="629"/>
      <c r="AC166" s="629"/>
      <c r="AD166" s="97"/>
      <c r="AE166" s="97"/>
      <c r="AF166" s="96">
        <f t="shared" si="63"/>
        <v>0</v>
      </c>
      <c r="AG166" s="133" t="e">
        <f t="shared" si="64"/>
        <v>#DIV/0!</v>
      </c>
      <c r="AH166" s="632"/>
    </row>
    <row r="167" spans="1:36" ht="18" customHeight="1">
      <c r="A167" s="631"/>
      <c r="B167" s="126">
        <v>0</v>
      </c>
      <c r="C167" s="126"/>
      <c r="D167" s="320"/>
      <c r="E167" s="103"/>
      <c r="F167" s="180" t="s">
        <v>253</v>
      </c>
      <c r="G167" s="100"/>
      <c r="H167" s="129">
        <f t="shared" si="106"/>
        <v>0</v>
      </c>
      <c r="I167" s="97"/>
      <c r="J167" s="130"/>
      <c r="K167" s="100"/>
      <c r="L167" s="131"/>
      <c r="M167" s="130"/>
      <c r="N167" s="100"/>
      <c r="O167" s="131"/>
      <c r="P167" s="96"/>
      <c r="Q167" s="132"/>
      <c r="R167" s="133"/>
      <c r="S167" s="632"/>
      <c r="T167" s="134"/>
      <c r="U167" s="134"/>
      <c r="V167" s="97"/>
      <c r="W167" s="135"/>
      <c r="X167" s="136"/>
      <c r="Y167" s="136"/>
      <c r="Z167" s="96"/>
      <c r="AA167" s="96"/>
      <c r="AB167" s="629"/>
      <c r="AC167" s="629"/>
      <c r="AD167" s="97"/>
      <c r="AE167" s="97"/>
      <c r="AF167" s="96">
        <f t="shared" si="63"/>
        <v>0</v>
      </c>
      <c r="AG167" s="133" t="e">
        <f t="shared" si="64"/>
        <v>#DIV/0!</v>
      </c>
      <c r="AH167" s="632"/>
    </row>
    <row r="168" spans="1:36" ht="18" customHeight="1">
      <c r="A168" s="631"/>
      <c r="B168" s="126">
        <v>0</v>
      </c>
      <c r="C168" s="126"/>
      <c r="D168" s="320"/>
      <c r="E168" s="103"/>
      <c r="F168" s="180" t="s">
        <v>253</v>
      </c>
      <c r="G168" s="100"/>
      <c r="H168" s="129">
        <f t="shared" si="106"/>
        <v>0</v>
      </c>
      <c r="I168" s="97"/>
      <c r="J168" s="130"/>
      <c r="K168" s="100"/>
      <c r="L168" s="131"/>
      <c r="M168" s="130"/>
      <c r="N168" s="100"/>
      <c r="O168" s="131"/>
      <c r="P168" s="96"/>
      <c r="Q168" s="132"/>
      <c r="R168" s="133"/>
      <c r="S168" s="632"/>
      <c r="T168" s="134"/>
      <c r="U168" s="134"/>
      <c r="V168" s="97"/>
      <c r="W168" s="135"/>
      <c r="X168" s="136"/>
      <c r="Y168" s="136"/>
      <c r="Z168" s="96"/>
      <c r="AA168" s="96"/>
      <c r="AB168" s="629"/>
      <c r="AC168" s="629"/>
      <c r="AD168" s="97"/>
      <c r="AE168" s="97"/>
      <c r="AF168" s="96">
        <f t="shared" si="63"/>
        <v>0</v>
      </c>
      <c r="AG168" s="133" t="e">
        <f t="shared" si="64"/>
        <v>#DIV/0!</v>
      </c>
      <c r="AH168" s="632"/>
    </row>
    <row r="169" spans="1:36" ht="18" customHeight="1">
      <c r="A169" s="631"/>
      <c r="B169" s="126">
        <v>0</v>
      </c>
      <c r="C169" s="126"/>
      <c r="D169" s="320"/>
      <c r="E169" s="103"/>
      <c r="F169" s="180" t="s">
        <v>253</v>
      </c>
      <c r="G169" s="100"/>
      <c r="H169" s="129">
        <f t="shared" si="106"/>
        <v>0</v>
      </c>
      <c r="I169" s="97"/>
      <c r="J169" s="130"/>
      <c r="K169" s="100"/>
      <c r="L169" s="131"/>
      <c r="M169" s="130"/>
      <c r="N169" s="100"/>
      <c r="O169" s="131"/>
      <c r="P169" s="96"/>
      <c r="Q169" s="132"/>
      <c r="R169" s="133"/>
      <c r="S169" s="632"/>
      <c r="T169" s="134"/>
      <c r="U169" s="134"/>
      <c r="V169" s="97" t="s">
        <v>59</v>
      </c>
      <c r="W169" s="135">
        <f>(U169-T169)*24*60</f>
        <v>0</v>
      </c>
      <c r="X169" s="136"/>
      <c r="Y169" s="136"/>
      <c r="Z169" s="96"/>
      <c r="AA169" s="96"/>
      <c r="AB169" s="629"/>
      <c r="AC169" s="629"/>
      <c r="AD169" s="97"/>
      <c r="AE169" s="97"/>
      <c r="AF169" s="96">
        <f t="shared" si="63"/>
        <v>0</v>
      </c>
      <c r="AG169" s="133" t="e">
        <f t="shared" si="64"/>
        <v>#DIV/0!</v>
      </c>
      <c r="AH169" s="632"/>
    </row>
    <row r="170" spans="1:36" ht="18" customHeight="1">
      <c r="A170" s="631"/>
      <c r="B170" s="126">
        <v>0</v>
      </c>
      <c r="C170" s="126"/>
      <c r="D170" s="320"/>
      <c r="E170" s="103"/>
      <c r="F170" s="180" t="s">
        <v>253</v>
      </c>
      <c r="G170" s="100"/>
      <c r="H170" s="129">
        <f t="shared" si="106"/>
        <v>0</v>
      </c>
      <c r="I170" s="97"/>
      <c r="J170" s="130"/>
      <c r="K170" s="100"/>
      <c r="L170" s="131"/>
      <c r="M170" s="130"/>
      <c r="N170" s="100"/>
      <c r="O170" s="131"/>
      <c r="P170" s="96"/>
      <c r="Q170" s="132"/>
      <c r="R170" s="133"/>
      <c r="S170" s="632"/>
      <c r="T170" s="134"/>
      <c r="U170" s="134"/>
      <c r="V170" s="97"/>
      <c r="W170" s="135">
        <f>(U170-T170)*24*60</f>
        <v>0</v>
      </c>
      <c r="X170" s="136"/>
      <c r="Y170" s="136"/>
      <c r="Z170" s="96"/>
      <c r="AA170" s="96"/>
      <c r="AB170" s="629"/>
      <c r="AC170" s="629"/>
      <c r="AD170" s="97"/>
      <c r="AE170" s="97"/>
      <c r="AF170" s="96">
        <f t="shared" si="63"/>
        <v>0</v>
      </c>
      <c r="AG170" s="133" t="e">
        <f t="shared" si="64"/>
        <v>#DIV/0!</v>
      </c>
      <c r="AH170" s="632"/>
    </row>
    <row r="171" spans="1:36" ht="18" customHeight="1">
      <c r="A171" s="631"/>
      <c r="B171" s="126">
        <v>0</v>
      </c>
      <c r="C171" s="126"/>
      <c r="D171" s="320"/>
      <c r="E171" s="103"/>
      <c r="F171" s="180" t="s">
        <v>253</v>
      </c>
      <c r="G171" s="100"/>
      <c r="H171" s="129">
        <f t="shared" si="100"/>
        <v>0</v>
      </c>
      <c r="I171" s="97"/>
      <c r="J171" s="130"/>
      <c r="K171" s="100"/>
      <c r="L171" s="131"/>
      <c r="M171" s="130"/>
      <c r="N171" s="100"/>
      <c r="O171" s="131"/>
      <c r="P171" s="96"/>
      <c r="Q171" s="132"/>
      <c r="R171" s="133"/>
      <c r="S171" s="632"/>
      <c r="T171" s="134"/>
      <c r="U171" s="134"/>
      <c r="V171" s="97"/>
      <c r="W171" s="135">
        <f>(U171-T171)*24*60</f>
        <v>0</v>
      </c>
      <c r="X171" s="136"/>
      <c r="Y171" s="136"/>
      <c r="Z171" s="96"/>
      <c r="AA171" s="96"/>
      <c r="AB171" s="629"/>
      <c r="AC171" s="629"/>
      <c r="AD171" s="97"/>
      <c r="AE171" s="97"/>
      <c r="AF171" s="96"/>
      <c r="AG171" s="133"/>
      <c r="AH171" s="632"/>
    </row>
    <row r="172" spans="1:36" ht="18" customHeight="1">
      <c r="A172" s="631"/>
      <c r="B172" s="126">
        <v>0</v>
      </c>
      <c r="C172" s="126"/>
      <c r="D172" s="320"/>
      <c r="E172" s="103"/>
      <c r="F172" s="180" t="s">
        <v>253</v>
      </c>
      <c r="G172" s="100"/>
      <c r="H172" s="129">
        <f t="shared" si="100"/>
        <v>0</v>
      </c>
      <c r="I172" s="97"/>
      <c r="J172" s="130"/>
      <c r="K172" s="100"/>
      <c r="L172" s="131"/>
      <c r="M172" s="130"/>
      <c r="N172" s="100"/>
      <c r="O172" s="131"/>
      <c r="P172" s="96"/>
      <c r="Q172" s="132"/>
      <c r="R172" s="133"/>
      <c r="S172" s="632"/>
      <c r="T172" s="134"/>
      <c r="U172" s="134"/>
      <c r="V172" s="97"/>
      <c r="W172" s="135">
        <f>(U172-T172)*24*60</f>
        <v>0</v>
      </c>
      <c r="X172" s="136"/>
      <c r="Y172" s="136"/>
      <c r="Z172" s="96"/>
      <c r="AA172" s="96"/>
      <c r="AB172" s="629"/>
      <c r="AC172" s="629"/>
      <c r="AD172" s="97"/>
      <c r="AE172" s="97"/>
      <c r="AF172" s="96"/>
      <c r="AG172" s="133"/>
      <c r="AH172" s="632"/>
    </row>
    <row r="173" spans="1:36" ht="18" customHeight="1">
      <c r="A173" s="631"/>
      <c r="B173" s="126">
        <v>0</v>
      </c>
      <c r="C173" s="138" t="s">
        <v>25</v>
      </c>
      <c r="D173" s="630" t="s">
        <v>220</v>
      </c>
      <c r="E173" s="630"/>
      <c r="F173" s="139"/>
      <c r="G173" s="140"/>
      <c r="H173" s="141"/>
      <c r="I173" s="142"/>
      <c r="J173" s="140">
        <v>10.199999999999999</v>
      </c>
      <c r="K173" s="140">
        <v>2359.1999999999998</v>
      </c>
      <c r="L173" s="143">
        <v>234.9490909090909</v>
      </c>
      <c r="M173" s="140">
        <f t="shared" ref="M173:O173" si="111">AVERAGE(M161:M172)</f>
        <v>10.199999999999999</v>
      </c>
      <c r="N173" s="140">
        <f t="shared" si="111"/>
        <v>2190.1838541155762</v>
      </c>
      <c r="O173" s="143">
        <f t="shared" si="111"/>
        <v>217.71433833225279</v>
      </c>
      <c r="P173" s="96">
        <f>M173-J173</f>
        <v>0</v>
      </c>
      <c r="Q173" s="132">
        <f>O173-L173</f>
        <v>-17.234752576838105</v>
      </c>
      <c r="R173" s="144">
        <f>O173/L173</f>
        <v>0.92664473605685593</v>
      </c>
      <c r="S173" s="632"/>
      <c r="T173" s="134"/>
      <c r="U173" s="134"/>
      <c r="V173" s="100"/>
      <c r="W173" s="100"/>
      <c r="X173" s="131"/>
      <c r="Y173" s="131"/>
      <c r="Z173" s="145">
        <f>SUM(Z161:Z172)</f>
        <v>0</v>
      </c>
      <c r="AA173" s="145">
        <f>SUM(AA161:AA172)</f>
        <v>0</v>
      </c>
      <c r="AB173" s="629"/>
      <c r="AC173" s="629"/>
      <c r="AD173" s="146">
        <f>SUM(AD161:AD172)</f>
        <v>0</v>
      </c>
      <c r="AE173" s="146">
        <f>SUM(AE161:AE172)</f>
        <v>0</v>
      </c>
      <c r="AF173" s="96">
        <f t="shared" si="63"/>
        <v>-169.01614588442362</v>
      </c>
      <c r="AG173" s="133">
        <f t="shared" si="64"/>
        <v>0.92835870384688723</v>
      </c>
      <c r="AH173" s="632"/>
    </row>
    <row r="174" spans="1:36">
      <c r="AJ174" s="345" t="s">
        <v>183</v>
      </c>
    </row>
    <row r="175" spans="1:36">
      <c r="AJ175" s="345" t="s">
        <v>184</v>
      </c>
    </row>
    <row r="176" spans="1:36">
      <c r="AJ176" s="345" t="s">
        <v>236</v>
      </c>
    </row>
    <row r="177" spans="23:36">
      <c r="W177" s="70"/>
      <c r="AJ177" s="345" t="s">
        <v>185</v>
      </c>
    </row>
    <row r="178" spans="23:36">
      <c r="W178" s="70"/>
      <c r="AJ178" s="345" t="s">
        <v>186</v>
      </c>
    </row>
    <row r="179" spans="23:36">
      <c r="W179" s="70"/>
      <c r="AJ179" s="345" t="s">
        <v>187</v>
      </c>
    </row>
    <row r="180" spans="23:36">
      <c r="W180" s="70"/>
      <c r="AJ180" s="345" t="s">
        <v>188</v>
      </c>
    </row>
    <row r="181" spans="23:36">
      <c r="W181" s="70"/>
      <c r="AJ181" s="345" t="s">
        <v>189</v>
      </c>
    </row>
    <row r="182" spans="23:36">
      <c r="W182" s="70"/>
      <c r="AJ182" s="345" t="s">
        <v>190</v>
      </c>
    </row>
    <row r="183" spans="23:36">
      <c r="W183" s="70"/>
      <c r="AJ183" s="345" t="s">
        <v>191</v>
      </c>
    </row>
    <row r="184" spans="23:36">
      <c r="W184" s="70"/>
      <c r="AJ184" s="345" t="s">
        <v>192</v>
      </c>
    </row>
    <row r="185" spans="23:36">
      <c r="W185" s="70"/>
      <c r="AJ185" s="345" t="s">
        <v>237</v>
      </c>
    </row>
    <row r="186" spans="23:36">
      <c r="W186" s="70"/>
      <c r="AJ186" s="345" t="s">
        <v>238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1" type="noConversion"/>
  <conditionalFormatting sqref="Q147 AF147 Q173 AF173 AF123 Q30 AF121 Q121 Q95 AF95 AF43 Q43 AF134 Q134 AF17:AF19 AF136 AF32 Q82 AF82 Q154:Q159 AF125 Q17:Q18 AF155:AF159 AF21 AF25 AF27 AF29 AF5:AF12 AF23 AF57:AF70 Q57:Q70 Q13">
    <cfRule type="cellIs" dxfId="14825" priority="3702" operator="lessThan">
      <formula>0</formula>
    </cfRule>
  </conditionalFormatting>
  <conditionalFormatting sqref="AH57 AH70 S43 S123 S95 AH95 S5:S9 AH5:AH9 S134 AH17:AH18 S17:S18 S32 S82 AH82 S57:S70">
    <cfRule type="cellIs" dxfId="14824" priority="3701" operator="lessThan">
      <formula>0.8</formula>
    </cfRule>
  </conditionalFormatting>
  <conditionalFormatting sqref="R147 R173 R30 R121 R95 R43 R134 R82 R154:R159 R17:R18 R57:R70 R13">
    <cfRule type="cellIs" dxfId="14823" priority="3699" operator="lessThan">
      <formula>0.8</formula>
    </cfRule>
    <cfRule type="cellIs" dxfId="14822" priority="3700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 R13">
    <cfRule type="cellIs" dxfId="14821" priority="3697" operator="greaterThan">
      <formula>1</formula>
    </cfRule>
    <cfRule type="cellIs" dxfId="14820" priority="3698" operator="lessThan">
      <formula>0.8</formula>
    </cfRule>
  </conditionalFormatting>
  <conditionalFormatting sqref="P147 P30 P121 P95 P43 P134 P82 P154:P159 P17:P18 P57:P70 P13">
    <cfRule type="cellIs" dxfId="14819" priority="3696" operator="greaterThan">
      <formula>0</formula>
    </cfRule>
  </conditionalFormatting>
  <conditionalFormatting sqref="S161">
    <cfRule type="cellIs" dxfId="14818" priority="3695" operator="lessThan">
      <formula>0.8</formula>
    </cfRule>
  </conditionalFormatting>
  <conditionalFormatting sqref="Q161:Q166">
    <cfRule type="cellIs" dxfId="14817" priority="3694" operator="lessThan">
      <formula>0</formula>
    </cfRule>
  </conditionalFormatting>
  <conditionalFormatting sqref="R161:R166">
    <cfRule type="cellIs" dxfId="14816" priority="3692" operator="lessThan">
      <formula>0.8</formula>
    </cfRule>
    <cfRule type="cellIs" dxfId="14815" priority="3693" operator="greaterThan">
      <formula>1</formula>
    </cfRule>
  </conditionalFormatting>
  <conditionalFormatting sqref="R161:R166">
    <cfRule type="cellIs" dxfId="14814" priority="3690" operator="greaterThan">
      <formula>1</formula>
    </cfRule>
    <cfRule type="cellIs" dxfId="14813" priority="3691" operator="lessThan">
      <formula>0.8</formula>
    </cfRule>
  </conditionalFormatting>
  <conditionalFormatting sqref="P161:P166">
    <cfRule type="cellIs" dxfId="14812" priority="3689" operator="greaterThan">
      <formula>0</formula>
    </cfRule>
  </conditionalFormatting>
  <conditionalFormatting sqref="Q169:Q172 AF161:AF172">
    <cfRule type="cellIs" dxfId="14811" priority="3688" operator="lessThan">
      <formula>0</formula>
    </cfRule>
  </conditionalFormatting>
  <conditionalFormatting sqref="R169:R172">
    <cfRule type="cellIs" dxfId="14810" priority="3686" operator="lessThan">
      <formula>0.8</formula>
    </cfRule>
    <cfRule type="cellIs" dxfId="14809" priority="3687" operator="greaterThan">
      <formula>1</formula>
    </cfRule>
  </conditionalFormatting>
  <conditionalFormatting sqref="R169:R172 AG161:AG172">
    <cfRule type="cellIs" dxfId="14808" priority="3684" operator="greaterThan">
      <formula>1</formula>
    </cfRule>
    <cfRule type="cellIs" dxfId="14807" priority="3685" operator="lessThan">
      <formula>0.8</formula>
    </cfRule>
  </conditionalFormatting>
  <conditionalFormatting sqref="P169:P172">
    <cfRule type="cellIs" dxfId="14806" priority="3683" operator="greaterThan">
      <formula>0</formula>
    </cfRule>
  </conditionalFormatting>
  <conditionalFormatting sqref="AF145">
    <cfRule type="cellIs" dxfId="14805" priority="3682" operator="lessThan">
      <formula>0</formula>
    </cfRule>
  </conditionalFormatting>
  <conditionalFormatting sqref="AG145">
    <cfRule type="cellIs" dxfId="14804" priority="3680" operator="greaterThan">
      <formula>1</formula>
    </cfRule>
    <cfRule type="cellIs" dxfId="14803" priority="3681" operator="lessThan">
      <formula>0.8</formula>
    </cfRule>
  </conditionalFormatting>
  <conditionalFormatting sqref="AF44:AF52">
    <cfRule type="cellIs" dxfId="14802" priority="3679" operator="lessThan">
      <formula>0</formula>
    </cfRule>
  </conditionalFormatting>
  <conditionalFormatting sqref="AG44:AG52">
    <cfRule type="cellIs" dxfId="14801" priority="3677" operator="greaterThan">
      <formula>1</formula>
    </cfRule>
    <cfRule type="cellIs" dxfId="14800" priority="3678" operator="lessThan">
      <formula>0.8</formula>
    </cfRule>
  </conditionalFormatting>
  <conditionalFormatting sqref="AF83:AF94">
    <cfRule type="cellIs" dxfId="14799" priority="3676" operator="lessThan">
      <formula>0</formula>
    </cfRule>
  </conditionalFormatting>
  <conditionalFormatting sqref="AH83">
    <cfRule type="cellIs" dxfId="14798" priority="3675" operator="lessThan">
      <formula>0.8</formula>
    </cfRule>
  </conditionalFormatting>
  <conditionalFormatting sqref="AG83:AG94">
    <cfRule type="cellIs" dxfId="14797" priority="3673" operator="greaterThan">
      <formula>1</formula>
    </cfRule>
    <cfRule type="cellIs" dxfId="14796" priority="3674" operator="lessThan">
      <formula>0.8</formula>
    </cfRule>
  </conditionalFormatting>
  <conditionalFormatting sqref="S83">
    <cfRule type="cellIs" dxfId="14795" priority="3672" operator="lessThan">
      <formula>0.8</formula>
    </cfRule>
  </conditionalFormatting>
  <conditionalFormatting sqref="AH84">
    <cfRule type="cellIs" dxfId="14794" priority="3671" operator="lessThan">
      <formula>0.8</formula>
    </cfRule>
  </conditionalFormatting>
  <conditionalFormatting sqref="S84">
    <cfRule type="cellIs" dxfId="14793" priority="3670" operator="lessThan">
      <formula>0.8</formula>
    </cfRule>
  </conditionalFormatting>
  <conditionalFormatting sqref="S90">
    <cfRule type="cellIs" dxfId="14792" priority="3669" operator="lessThan">
      <formula>0.8</formula>
    </cfRule>
  </conditionalFormatting>
  <conditionalFormatting sqref="AH90">
    <cfRule type="cellIs" dxfId="14791" priority="3668" operator="lessThan">
      <formula>0.8</formula>
    </cfRule>
  </conditionalFormatting>
  <conditionalFormatting sqref="AF122">
    <cfRule type="cellIs" dxfId="14790" priority="3667" operator="lessThan">
      <formula>0</formula>
    </cfRule>
  </conditionalFormatting>
  <conditionalFormatting sqref="S122">
    <cfRule type="cellIs" dxfId="14789" priority="3666" operator="lessThan">
      <formula>0.8</formula>
    </cfRule>
  </conditionalFormatting>
  <conditionalFormatting sqref="AG122">
    <cfRule type="cellIs" dxfId="14788" priority="3664" operator="greaterThan">
      <formula>1</formula>
    </cfRule>
    <cfRule type="cellIs" dxfId="14787" priority="3665" operator="lessThan">
      <formula>0.8</formula>
    </cfRule>
  </conditionalFormatting>
  <conditionalFormatting sqref="P162:P168">
    <cfRule type="cellIs" dxfId="14786" priority="3658" operator="greaterThan">
      <formula>0</formula>
    </cfRule>
  </conditionalFormatting>
  <conditionalFormatting sqref="R162:R168">
    <cfRule type="cellIs" dxfId="14785" priority="3661" operator="lessThan">
      <formula>0.8</formula>
    </cfRule>
    <cfRule type="cellIs" dxfId="14784" priority="3662" operator="greaterThan">
      <formula>1</formula>
    </cfRule>
  </conditionalFormatting>
  <conditionalFormatting sqref="R162:R168">
    <cfRule type="cellIs" dxfId="14783" priority="3659" operator="greaterThan">
      <formula>1</formula>
    </cfRule>
    <cfRule type="cellIs" dxfId="14782" priority="3660" operator="lessThan">
      <formula>0.8</formula>
    </cfRule>
  </conditionalFormatting>
  <conditionalFormatting sqref="Q162:Q168">
    <cfRule type="cellIs" dxfId="14781" priority="3663" operator="lessThan">
      <formula>0</formula>
    </cfRule>
  </conditionalFormatting>
  <conditionalFormatting sqref="P132:P133">
    <cfRule type="cellIs" dxfId="14780" priority="3651" operator="greaterThan">
      <formula>0</formula>
    </cfRule>
  </conditionalFormatting>
  <conditionalFormatting sqref="AF124 Q132:Q133 AF126:AF133">
    <cfRule type="cellIs" dxfId="14779" priority="3657" operator="lessThan">
      <formula>0</formula>
    </cfRule>
  </conditionalFormatting>
  <conditionalFormatting sqref="S124:S133">
    <cfRule type="cellIs" dxfId="14778" priority="3656" operator="lessThan">
      <formula>0.8</formula>
    </cfRule>
  </conditionalFormatting>
  <conditionalFormatting sqref="R132:R133">
    <cfRule type="cellIs" dxfId="14777" priority="3654" operator="lessThan">
      <formula>0.8</formula>
    </cfRule>
    <cfRule type="cellIs" dxfId="14776" priority="3655" operator="greaterThan">
      <formula>1</formula>
    </cfRule>
  </conditionalFormatting>
  <conditionalFormatting sqref="AG124 R132:R133 AG126:AG133">
    <cfRule type="cellIs" dxfId="14775" priority="3652" operator="greaterThan">
      <formula>1</formula>
    </cfRule>
    <cfRule type="cellIs" dxfId="14774" priority="3653" operator="lessThan">
      <formula>0.8</formula>
    </cfRule>
  </conditionalFormatting>
  <conditionalFormatting sqref="AF112 AF115">
    <cfRule type="cellIs" dxfId="14773" priority="3650" operator="lessThan">
      <formula>0</formula>
    </cfRule>
  </conditionalFormatting>
  <conditionalFormatting sqref="AG112 AG115">
    <cfRule type="cellIs" dxfId="14772" priority="3648" operator="greaterThan">
      <formula>1</formula>
    </cfRule>
    <cfRule type="cellIs" dxfId="14771" priority="3649" operator="lessThan">
      <formula>0.8</formula>
    </cfRule>
  </conditionalFormatting>
  <conditionalFormatting sqref="AF111 AF114 AF117">
    <cfRule type="cellIs" dxfId="14770" priority="3647" operator="lessThan">
      <formula>0</formula>
    </cfRule>
  </conditionalFormatting>
  <conditionalFormatting sqref="AH109">
    <cfRule type="cellIs" dxfId="14769" priority="3646" operator="lessThan">
      <formula>0.8</formula>
    </cfRule>
  </conditionalFormatting>
  <conditionalFormatting sqref="AG111 AG114 AG117">
    <cfRule type="cellIs" dxfId="14768" priority="3644" operator="greaterThan">
      <formula>1</formula>
    </cfRule>
    <cfRule type="cellIs" dxfId="14767" priority="3645" operator="lessThan">
      <formula>0.8</formula>
    </cfRule>
  </conditionalFormatting>
  <conditionalFormatting sqref="R160 AG160">
    <cfRule type="cellIs" dxfId="14766" priority="3639" operator="greaterThan">
      <formula>1</formula>
    </cfRule>
    <cfRule type="cellIs" dxfId="14765" priority="3640" operator="lessThan">
      <formula>0.8</formula>
    </cfRule>
  </conditionalFormatting>
  <conditionalFormatting sqref="R160">
    <cfRule type="cellIs" dxfId="14764" priority="3641" operator="lessThan">
      <formula>0.8</formula>
    </cfRule>
    <cfRule type="cellIs" dxfId="14763" priority="3642" operator="greaterThan">
      <formula>1</formula>
    </cfRule>
  </conditionalFormatting>
  <conditionalFormatting sqref="P160">
    <cfRule type="cellIs" dxfId="14762" priority="3638" operator="greaterThan">
      <formula>0</formula>
    </cfRule>
  </conditionalFormatting>
  <conditionalFormatting sqref="AH148">
    <cfRule type="cellIs" dxfId="14761" priority="3637" operator="lessThan">
      <formula>0.8</formula>
    </cfRule>
  </conditionalFormatting>
  <conditionalFormatting sqref="Q160 AF160">
    <cfRule type="cellIs" dxfId="14760" priority="3643" operator="lessThan">
      <formula>0</formula>
    </cfRule>
  </conditionalFormatting>
  <conditionalFormatting sqref="AF148:AF154">
    <cfRule type="cellIs" dxfId="14759" priority="3636" operator="lessThan">
      <formula>0</formula>
    </cfRule>
  </conditionalFormatting>
  <conditionalFormatting sqref="S148">
    <cfRule type="cellIs" dxfId="14758" priority="3635" operator="lessThan">
      <formula>0.8</formula>
    </cfRule>
  </conditionalFormatting>
  <conditionalFormatting sqref="AG148:AG154">
    <cfRule type="cellIs" dxfId="14757" priority="3633" operator="greaterThan">
      <formula>1</formula>
    </cfRule>
    <cfRule type="cellIs" dxfId="14756" priority="3634" operator="lessThan">
      <formula>0.8</formula>
    </cfRule>
  </conditionalFormatting>
  <conditionalFormatting sqref="S86">
    <cfRule type="cellIs" dxfId="14755" priority="3632" operator="lessThan">
      <formula>0.8</formula>
    </cfRule>
  </conditionalFormatting>
  <conditionalFormatting sqref="S88 AH88">
    <cfRule type="cellIs" dxfId="14754" priority="3627" operator="lessThan">
      <formula>0.8</formula>
    </cfRule>
  </conditionalFormatting>
  <conditionalFormatting sqref="AH86">
    <cfRule type="cellIs" dxfId="14753" priority="3631" operator="lessThan">
      <formula>0.8</formula>
    </cfRule>
  </conditionalFormatting>
  <conditionalFormatting sqref="S87">
    <cfRule type="cellIs" dxfId="14752" priority="3630" operator="lessThan">
      <formula>0.8</formula>
    </cfRule>
  </conditionalFormatting>
  <conditionalFormatting sqref="AH87">
    <cfRule type="cellIs" dxfId="14751" priority="3629" operator="lessThan">
      <formula>0.8</formula>
    </cfRule>
  </conditionalFormatting>
  <conditionalFormatting sqref="S89 AH89">
    <cfRule type="cellIs" dxfId="14750" priority="3628" operator="lessThan">
      <formula>0.8</formula>
    </cfRule>
  </conditionalFormatting>
  <conditionalFormatting sqref="AF31">
    <cfRule type="cellIs" dxfId="14749" priority="3626" operator="lessThan">
      <formula>0</formula>
    </cfRule>
  </conditionalFormatting>
  <conditionalFormatting sqref="AH31 S31">
    <cfRule type="cellIs" dxfId="14748" priority="3625" operator="lessThan">
      <formula>0.8</formula>
    </cfRule>
  </conditionalFormatting>
  <conditionalFormatting sqref="AG31">
    <cfRule type="cellIs" dxfId="14747" priority="3623" operator="greaterThan">
      <formula>1</formula>
    </cfRule>
    <cfRule type="cellIs" dxfId="14746" priority="3624" operator="lessThan">
      <formula>0.8</formula>
    </cfRule>
  </conditionalFormatting>
  <conditionalFormatting sqref="AF135">
    <cfRule type="cellIs" dxfId="14745" priority="3622" operator="lessThan">
      <formula>0</formula>
    </cfRule>
  </conditionalFormatting>
  <conditionalFormatting sqref="AH135 S135">
    <cfRule type="cellIs" dxfId="14744" priority="3621" operator="lessThan">
      <formula>0.8</formula>
    </cfRule>
  </conditionalFormatting>
  <conditionalFormatting sqref="AG135">
    <cfRule type="cellIs" dxfId="14743" priority="3619" operator="greaterThan">
      <formula>1</formula>
    </cfRule>
    <cfRule type="cellIs" dxfId="14742" priority="3620" operator="lessThan">
      <formula>0.8</formula>
    </cfRule>
  </conditionalFormatting>
  <conditionalFormatting sqref="AF110 AF113 AF116">
    <cfRule type="cellIs" dxfId="14741" priority="3618" operator="lessThan">
      <formula>0</formula>
    </cfRule>
  </conditionalFormatting>
  <conditionalFormatting sqref="AG110 AG113 AG116">
    <cfRule type="cellIs" dxfId="14740" priority="3616" operator="greaterThan">
      <formula>1</formula>
    </cfRule>
    <cfRule type="cellIs" dxfId="14739" priority="3617" operator="lessThan">
      <formula>0.8</formula>
    </cfRule>
  </conditionalFormatting>
  <conditionalFormatting sqref="AF108 Q108">
    <cfRule type="cellIs" dxfId="14738" priority="3615" operator="lessThan">
      <formula>0</formula>
    </cfRule>
  </conditionalFormatting>
  <conditionalFormatting sqref="R108">
    <cfRule type="cellIs" dxfId="14737" priority="3613" operator="lessThan">
      <formula>0.8</formula>
    </cfRule>
    <cfRule type="cellIs" dxfId="14736" priority="3614" operator="greaterThan">
      <formula>1</formula>
    </cfRule>
  </conditionalFormatting>
  <conditionalFormatting sqref="AG108 R108">
    <cfRule type="cellIs" dxfId="14735" priority="3611" operator="greaterThan">
      <formula>1</formula>
    </cfRule>
    <cfRule type="cellIs" dxfId="14734" priority="3612" operator="lessThan">
      <formula>0.8</formula>
    </cfRule>
  </conditionalFormatting>
  <conditionalFormatting sqref="P108">
    <cfRule type="cellIs" dxfId="14733" priority="3610" operator="greaterThan">
      <formula>0</formula>
    </cfRule>
  </conditionalFormatting>
  <conditionalFormatting sqref="AH97">
    <cfRule type="cellIs" dxfId="14732" priority="3605" operator="lessThan">
      <formula>0.8</formula>
    </cfRule>
  </conditionalFormatting>
  <conditionalFormatting sqref="AG96">
    <cfRule type="cellIs" dxfId="14731" priority="3607" operator="greaterThan">
      <formula>1</formula>
    </cfRule>
    <cfRule type="cellIs" dxfId="14730" priority="3608" operator="lessThan">
      <formula>0.8</formula>
    </cfRule>
  </conditionalFormatting>
  <conditionalFormatting sqref="AF96">
    <cfRule type="cellIs" dxfId="14729" priority="3609" operator="lessThan">
      <formula>0</formula>
    </cfRule>
  </conditionalFormatting>
  <conditionalFormatting sqref="AG97">
    <cfRule type="cellIs" dxfId="14728" priority="3603" operator="greaterThan">
      <formula>1</formula>
    </cfRule>
    <cfRule type="cellIs" dxfId="14727" priority="3604" operator="lessThan">
      <formula>0.8</formula>
    </cfRule>
  </conditionalFormatting>
  <conditionalFormatting sqref="AF97">
    <cfRule type="cellIs" dxfId="14726" priority="3606" operator="lessThan">
      <formula>0</formula>
    </cfRule>
  </conditionalFormatting>
  <conditionalFormatting sqref="AF71 AF73 AF75 AF77 AF79">
    <cfRule type="cellIs" dxfId="14725" priority="3600" operator="lessThan">
      <formula>0</formula>
    </cfRule>
  </conditionalFormatting>
  <conditionalFormatting sqref="S71 AH71">
    <cfRule type="cellIs" dxfId="14724" priority="3599" operator="lessThan">
      <formula>0.8</formula>
    </cfRule>
  </conditionalFormatting>
  <conditionalFormatting sqref="AG71 AG73 AG75 AG77 AG79">
    <cfRule type="cellIs" dxfId="14723" priority="3597" operator="greaterThan">
      <formula>1</formula>
    </cfRule>
    <cfRule type="cellIs" dxfId="14722" priority="3598" operator="lessThan">
      <formula>0.8</formula>
    </cfRule>
  </conditionalFormatting>
  <conditionalFormatting sqref="AF72 AF74 AF76 AF78 AF80">
    <cfRule type="cellIs" dxfId="14721" priority="3596" operator="lessThan">
      <formula>0</formula>
    </cfRule>
  </conditionalFormatting>
  <conditionalFormatting sqref="S72 AH72">
    <cfRule type="cellIs" dxfId="14720" priority="3595" operator="lessThan">
      <formula>0.8</formula>
    </cfRule>
  </conditionalFormatting>
  <conditionalFormatting sqref="S11">
    <cfRule type="cellIs" dxfId="14719" priority="3602" operator="lessThan">
      <formula>0.8</formula>
    </cfRule>
  </conditionalFormatting>
  <conditionalFormatting sqref="S10">
    <cfRule type="cellIs" dxfId="14718" priority="3601" operator="lessThan">
      <formula>0.8</formula>
    </cfRule>
  </conditionalFormatting>
  <conditionalFormatting sqref="AG72 AG74 AG76 AG78 AG80">
    <cfRule type="cellIs" dxfId="14717" priority="3593" operator="greaterThan">
      <formula>1</formula>
    </cfRule>
    <cfRule type="cellIs" dxfId="14716" priority="3594" operator="lessThan">
      <formula>0.8</formula>
    </cfRule>
  </conditionalFormatting>
  <conditionalFormatting sqref="AF13:AF16 Q15:Q16">
    <cfRule type="cellIs" dxfId="14715" priority="3592" operator="lessThan">
      <formula>0</formula>
    </cfRule>
  </conditionalFormatting>
  <conditionalFormatting sqref="R15:R16">
    <cfRule type="cellIs" dxfId="14714" priority="3590" operator="lessThan">
      <formula>0.8</formula>
    </cfRule>
    <cfRule type="cellIs" dxfId="14713" priority="3591" operator="greaterThan">
      <formula>1</formula>
    </cfRule>
  </conditionalFormatting>
  <conditionalFormatting sqref="AG12:AG16 R15:R16">
    <cfRule type="cellIs" dxfId="14712" priority="3588" operator="greaterThan">
      <formula>1</formula>
    </cfRule>
    <cfRule type="cellIs" dxfId="14711" priority="3589" operator="lessThan">
      <formula>0.8</formula>
    </cfRule>
  </conditionalFormatting>
  <conditionalFormatting sqref="P15:P16">
    <cfRule type="cellIs" dxfId="14710" priority="3587" operator="greaterThan">
      <formula>0</formula>
    </cfRule>
  </conditionalFormatting>
  <conditionalFormatting sqref="AF98 AF100 AF102 AF104">
    <cfRule type="cellIs" dxfId="14709" priority="3586" operator="lessThan">
      <formula>0</formula>
    </cfRule>
  </conditionalFormatting>
  <conditionalFormatting sqref="AH98">
    <cfRule type="cellIs" dxfId="14708" priority="3585" operator="lessThan">
      <formula>0.8</formula>
    </cfRule>
  </conditionalFormatting>
  <conditionalFormatting sqref="AG98 AG100 AG102 AG104">
    <cfRule type="cellIs" dxfId="14707" priority="3583" operator="greaterThan">
      <formula>1</formula>
    </cfRule>
    <cfRule type="cellIs" dxfId="14706" priority="3584" operator="lessThan">
      <formula>0.8</formula>
    </cfRule>
  </conditionalFormatting>
  <conditionalFormatting sqref="AF20 AF22 AF24 AF26 AF28">
    <cfRule type="cellIs" dxfId="14705" priority="3582" operator="lessThan">
      <formula>0</formula>
    </cfRule>
  </conditionalFormatting>
  <conditionalFormatting sqref="AG20 AG22 AG24 AG26 AG28">
    <cfRule type="cellIs" dxfId="14704" priority="3580" operator="greaterThan">
      <formula>1</formula>
    </cfRule>
    <cfRule type="cellIs" dxfId="14703" priority="3581" operator="lessThan">
      <formula>0.8</formula>
    </cfRule>
  </conditionalFormatting>
  <conditionalFormatting sqref="AF33">
    <cfRule type="cellIs" dxfId="14702" priority="3579" operator="lessThan">
      <formula>0</formula>
    </cfRule>
  </conditionalFormatting>
  <conditionalFormatting sqref="AG33">
    <cfRule type="cellIs" dxfId="14701" priority="3577" operator="greaterThan">
      <formula>1</formula>
    </cfRule>
    <cfRule type="cellIs" dxfId="14700" priority="3578" operator="lessThan">
      <formula>0.8</formula>
    </cfRule>
  </conditionalFormatting>
  <conditionalFormatting sqref="P41:P42">
    <cfRule type="cellIs" dxfId="14699" priority="3571" operator="greaterThan">
      <formula>0</formula>
    </cfRule>
  </conditionalFormatting>
  <conditionalFormatting sqref="Q41:Q42 AF34:AF42">
    <cfRule type="cellIs" dxfId="14698" priority="3576" operator="lessThan">
      <formula>0</formula>
    </cfRule>
  </conditionalFormatting>
  <conditionalFormatting sqref="R41:R42">
    <cfRule type="cellIs" dxfId="14697" priority="3574" operator="lessThan">
      <formula>0.8</formula>
    </cfRule>
    <cfRule type="cellIs" dxfId="14696" priority="3575" operator="greaterThan">
      <formula>1</formula>
    </cfRule>
  </conditionalFormatting>
  <conditionalFormatting sqref="R41:R42 AG34:AG42">
    <cfRule type="cellIs" dxfId="14695" priority="3572" operator="greaterThan">
      <formula>1</formula>
    </cfRule>
    <cfRule type="cellIs" dxfId="14694" priority="3573" operator="lessThan">
      <formula>0.8</formula>
    </cfRule>
  </conditionalFormatting>
  <conditionalFormatting sqref="AF137:AF144">
    <cfRule type="cellIs" dxfId="14693" priority="3570" operator="lessThan">
      <formula>0</formula>
    </cfRule>
  </conditionalFormatting>
  <conditionalFormatting sqref="AH137 S137">
    <cfRule type="cellIs" dxfId="14692" priority="3569" operator="lessThan">
      <formula>0.8</formula>
    </cfRule>
  </conditionalFormatting>
  <conditionalFormatting sqref="AG137:AG144">
    <cfRule type="cellIs" dxfId="14691" priority="3567" operator="greaterThan">
      <formula>1</formula>
    </cfRule>
    <cfRule type="cellIs" dxfId="14690" priority="3568" operator="lessThan">
      <formula>0.8</formula>
    </cfRule>
  </conditionalFormatting>
  <conditionalFormatting sqref="AF53:AF55">
    <cfRule type="cellIs" dxfId="14689" priority="3566" operator="lessThan">
      <formula>0</formula>
    </cfRule>
  </conditionalFormatting>
  <conditionalFormatting sqref="AG53:AG55">
    <cfRule type="cellIs" dxfId="14688" priority="3564" operator="greaterThan">
      <formula>1</formula>
    </cfRule>
    <cfRule type="cellIs" dxfId="14687" priority="3565" operator="lessThan">
      <formula>0.8</formula>
    </cfRule>
  </conditionalFormatting>
  <conditionalFormatting sqref="AF56 Q56">
    <cfRule type="cellIs" dxfId="14686" priority="3563" operator="lessThan">
      <formula>0</formula>
    </cfRule>
  </conditionalFormatting>
  <conditionalFormatting sqref="R56">
    <cfRule type="cellIs" dxfId="14685" priority="3561" operator="lessThan">
      <formula>0.8</formula>
    </cfRule>
    <cfRule type="cellIs" dxfId="14684" priority="3562" operator="greaterThan">
      <formula>1</formula>
    </cfRule>
  </conditionalFormatting>
  <conditionalFormatting sqref="AG56 R56">
    <cfRule type="cellIs" dxfId="14683" priority="3559" operator="greaterThan">
      <formula>1</formula>
    </cfRule>
    <cfRule type="cellIs" dxfId="14682" priority="3560" operator="lessThan">
      <formula>0.8</formula>
    </cfRule>
  </conditionalFormatting>
  <conditionalFormatting sqref="P56">
    <cfRule type="cellIs" dxfId="14681" priority="3558" operator="greaterThan">
      <formula>0</formula>
    </cfRule>
  </conditionalFormatting>
  <conditionalFormatting sqref="P52:P55">
    <cfRule type="cellIs" dxfId="14680" priority="3552" operator="greaterThan">
      <formula>0</formula>
    </cfRule>
  </conditionalFormatting>
  <conditionalFormatting sqref="Q52:Q55">
    <cfRule type="cellIs" dxfId="14679" priority="3557" operator="lessThan">
      <formula>0</formula>
    </cfRule>
  </conditionalFormatting>
  <conditionalFormatting sqref="R52:R55">
    <cfRule type="cellIs" dxfId="14678" priority="3555" operator="lessThan">
      <formula>0.8</formula>
    </cfRule>
    <cfRule type="cellIs" dxfId="14677" priority="3556" operator="greaterThan">
      <formula>1</formula>
    </cfRule>
  </conditionalFormatting>
  <conditionalFormatting sqref="R52:R55">
    <cfRule type="cellIs" dxfId="14676" priority="3553" operator="greaterThan">
      <formula>1</formula>
    </cfRule>
    <cfRule type="cellIs" dxfId="14675" priority="3554" operator="lessThan">
      <formula>0.8</formula>
    </cfRule>
  </conditionalFormatting>
  <conditionalFormatting sqref="P80:P81">
    <cfRule type="cellIs" dxfId="14674" priority="3546" operator="greaterThan">
      <formula>0</formula>
    </cfRule>
  </conditionalFormatting>
  <conditionalFormatting sqref="AF81 Q80:Q81">
    <cfRule type="cellIs" dxfId="14673" priority="3551" operator="lessThan">
      <formula>0</formula>
    </cfRule>
  </conditionalFormatting>
  <conditionalFormatting sqref="R80:R81">
    <cfRule type="cellIs" dxfId="14672" priority="3549" operator="lessThan">
      <formula>0.8</formula>
    </cfRule>
    <cfRule type="cellIs" dxfId="14671" priority="3550" operator="greaterThan">
      <formula>1</formula>
    </cfRule>
  </conditionalFormatting>
  <conditionalFormatting sqref="AG81 R80:R81">
    <cfRule type="cellIs" dxfId="14670" priority="3547" operator="greaterThan">
      <formula>1</formula>
    </cfRule>
    <cfRule type="cellIs" dxfId="14669" priority="3548" operator="lessThan">
      <formula>0.8</formula>
    </cfRule>
  </conditionalFormatting>
  <conditionalFormatting sqref="AH85">
    <cfRule type="cellIs" dxfId="14668" priority="3545" operator="lessThan">
      <formula>0.8</formula>
    </cfRule>
  </conditionalFormatting>
  <conditionalFormatting sqref="S85">
    <cfRule type="cellIs" dxfId="14667" priority="3544" operator="lessThan">
      <formula>0.8</formula>
    </cfRule>
  </conditionalFormatting>
  <conditionalFormatting sqref="AF99 AF101 AF103">
    <cfRule type="cellIs" dxfId="14666" priority="3543" operator="lessThan">
      <formula>0</formula>
    </cfRule>
  </conditionalFormatting>
  <conditionalFormatting sqref="AG99 AG101 AG103">
    <cfRule type="cellIs" dxfId="14665" priority="3541" operator="greaterThan">
      <formula>1</formula>
    </cfRule>
    <cfRule type="cellIs" dxfId="14664" priority="3542" operator="lessThan">
      <formula>0.8</formula>
    </cfRule>
  </conditionalFormatting>
  <conditionalFormatting sqref="AF105:AF107">
    <cfRule type="cellIs" dxfId="14663" priority="3540" operator="lessThan">
      <formula>0</formula>
    </cfRule>
  </conditionalFormatting>
  <conditionalFormatting sqref="AH100:AH107">
    <cfRule type="cellIs" dxfId="14662" priority="3539" operator="lessThan">
      <formula>0.8</formula>
    </cfRule>
  </conditionalFormatting>
  <conditionalFormatting sqref="AG105:AG107">
    <cfRule type="cellIs" dxfId="14661" priority="3537" operator="greaterThan">
      <formula>1</formula>
    </cfRule>
    <cfRule type="cellIs" dxfId="14660" priority="3538" operator="lessThan">
      <formula>0.8</formula>
    </cfRule>
  </conditionalFormatting>
  <conditionalFormatting sqref="P106:P107">
    <cfRule type="cellIs" dxfId="14659" priority="3531" operator="greaterThan">
      <formula>0</formula>
    </cfRule>
  </conditionalFormatting>
  <conditionalFormatting sqref="Q106:Q107">
    <cfRule type="cellIs" dxfId="14658" priority="3536" operator="lessThan">
      <formula>0</formula>
    </cfRule>
  </conditionalFormatting>
  <conditionalFormatting sqref="R106:R107">
    <cfRule type="cellIs" dxfId="14657" priority="3534" operator="lessThan">
      <formula>0.8</formula>
    </cfRule>
    <cfRule type="cellIs" dxfId="14656" priority="3535" operator="greaterThan">
      <formula>1</formula>
    </cfRule>
  </conditionalFormatting>
  <conditionalFormatting sqref="R106:R107">
    <cfRule type="cellIs" dxfId="14655" priority="3532" operator="greaterThan">
      <formula>1</formula>
    </cfRule>
    <cfRule type="cellIs" dxfId="14654" priority="3533" operator="lessThan">
      <formula>0.8</formula>
    </cfRule>
  </conditionalFormatting>
  <conditionalFormatting sqref="AF109">
    <cfRule type="cellIs" dxfId="14653" priority="3530" operator="lessThan">
      <formula>0</formula>
    </cfRule>
  </conditionalFormatting>
  <conditionalFormatting sqref="S109">
    <cfRule type="cellIs" dxfId="14652" priority="3529" operator="lessThan">
      <formula>0.8</formula>
    </cfRule>
  </conditionalFormatting>
  <conditionalFormatting sqref="AG109">
    <cfRule type="cellIs" dxfId="14651" priority="3527" operator="greaterThan">
      <formula>1</formula>
    </cfRule>
    <cfRule type="cellIs" dxfId="14650" priority="3528" operator="lessThan">
      <formula>0.8</formula>
    </cfRule>
  </conditionalFormatting>
  <conditionalFormatting sqref="S150">
    <cfRule type="cellIs" dxfId="14649" priority="3526" operator="lessThan">
      <formula>0.8</formula>
    </cfRule>
  </conditionalFormatting>
  <conditionalFormatting sqref="AH150">
    <cfRule type="cellIs" dxfId="14648" priority="3525" operator="lessThan">
      <formula>0.8</formula>
    </cfRule>
  </conditionalFormatting>
  <conditionalFormatting sqref="S149">
    <cfRule type="cellIs" dxfId="14647" priority="3524" operator="lessThan">
      <formula>0.8</formula>
    </cfRule>
  </conditionalFormatting>
  <conditionalFormatting sqref="Q26:Q29">
    <cfRule type="cellIs" dxfId="14646" priority="3523" operator="lessThan">
      <formula>0</formula>
    </cfRule>
  </conditionalFormatting>
  <conditionalFormatting sqref="S21:S29 AH21:AH29">
    <cfRule type="cellIs" dxfId="14645" priority="3522" operator="lessThan">
      <formula>0.8</formula>
    </cfRule>
  </conditionalFormatting>
  <conditionalFormatting sqref="R26:R29">
    <cfRule type="cellIs" dxfId="14644" priority="3520" operator="lessThan">
      <formula>0.8</formula>
    </cfRule>
    <cfRule type="cellIs" dxfId="14643" priority="3521" operator="greaterThan">
      <formula>1</formula>
    </cfRule>
  </conditionalFormatting>
  <conditionalFormatting sqref="R26:R29">
    <cfRule type="cellIs" dxfId="14642" priority="3518" operator="greaterThan">
      <formula>1</formula>
    </cfRule>
    <cfRule type="cellIs" dxfId="14641" priority="3519" operator="lessThan">
      <formula>0.8</formula>
    </cfRule>
  </conditionalFormatting>
  <conditionalFormatting sqref="P26:P29">
    <cfRule type="cellIs" dxfId="14640" priority="3517" operator="greaterThan">
      <formula>0</formula>
    </cfRule>
  </conditionalFormatting>
  <conditionalFormatting sqref="AH91 S91">
    <cfRule type="cellIs" dxfId="14639" priority="3516" operator="lessThan">
      <formula>0.8</formula>
    </cfRule>
  </conditionalFormatting>
  <conditionalFormatting sqref="P92:P94">
    <cfRule type="cellIs" dxfId="14638" priority="3510" operator="greaterThan">
      <formula>0</formula>
    </cfRule>
  </conditionalFormatting>
  <conditionalFormatting sqref="Q92:Q94">
    <cfRule type="cellIs" dxfId="14637" priority="3515" operator="lessThan">
      <formula>0</formula>
    </cfRule>
  </conditionalFormatting>
  <conditionalFormatting sqref="R92:R94">
    <cfRule type="cellIs" dxfId="14636" priority="3513" operator="lessThan">
      <formula>0.8</formula>
    </cfRule>
    <cfRule type="cellIs" dxfId="14635" priority="3514" operator="greaterThan">
      <formula>1</formula>
    </cfRule>
  </conditionalFormatting>
  <conditionalFormatting sqref="R92:R94">
    <cfRule type="cellIs" dxfId="14634" priority="3511" operator="greaterThan">
      <formula>1</formula>
    </cfRule>
    <cfRule type="cellIs" dxfId="14633" priority="3512" operator="lessThan">
      <formula>0.8</formula>
    </cfRule>
  </conditionalFormatting>
  <conditionalFormatting sqref="AF146 Q144:Q146">
    <cfRule type="cellIs" dxfId="14632" priority="3509" operator="lessThan">
      <formula>0</formula>
    </cfRule>
  </conditionalFormatting>
  <conditionalFormatting sqref="AH139:AH146 S139:S146">
    <cfRule type="cellIs" dxfId="14631" priority="3508" operator="lessThan">
      <formula>0.8</formula>
    </cfRule>
  </conditionalFormatting>
  <conditionalFormatting sqref="R144:R146">
    <cfRule type="cellIs" dxfId="14630" priority="3506" operator="lessThan">
      <formula>0.8</formula>
    </cfRule>
    <cfRule type="cellIs" dxfId="14629" priority="3507" operator="greaterThan">
      <formula>1</formula>
    </cfRule>
  </conditionalFormatting>
  <conditionalFormatting sqref="AG146 R144:R146">
    <cfRule type="cellIs" dxfId="14628" priority="3504" operator="greaterThan">
      <formula>1</formula>
    </cfRule>
    <cfRule type="cellIs" dxfId="14627" priority="3505" operator="lessThan">
      <formula>0.8</formula>
    </cfRule>
  </conditionalFormatting>
  <conditionalFormatting sqref="P144:P146">
    <cfRule type="cellIs" dxfId="14626" priority="3503" operator="greaterThan">
      <formula>0</formula>
    </cfRule>
  </conditionalFormatting>
  <conditionalFormatting sqref="Q119:Q120">
    <cfRule type="cellIs" dxfId="14625" priority="3502" operator="lessThan">
      <formula>0</formula>
    </cfRule>
  </conditionalFormatting>
  <conditionalFormatting sqref="R119:R120">
    <cfRule type="cellIs" dxfId="14624" priority="3500" operator="lessThan">
      <formula>0.8</formula>
    </cfRule>
    <cfRule type="cellIs" dxfId="14623" priority="3501" operator="greaterThan">
      <formula>1</formula>
    </cfRule>
  </conditionalFormatting>
  <conditionalFormatting sqref="R119:R120">
    <cfRule type="cellIs" dxfId="14622" priority="3498" operator="greaterThan">
      <formula>1</formula>
    </cfRule>
    <cfRule type="cellIs" dxfId="14621" priority="3499" operator="lessThan">
      <formula>0.8</formula>
    </cfRule>
  </conditionalFormatting>
  <conditionalFormatting sqref="P119:P120">
    <cfRule type="cellIs" dxfId="14620" priority="3497" operator="greaterThan">
      <formula>0</formula>
    </cfRule>
  </conditionalFormatting>
  <conditionalFormatting sqref="AF118:AF120">
    <cfRule type="cellIs" dxfId="14619" priority="3496" operator="lessThan">
      <formula>0</formula>
    </cfRule>
  </conditionalFormatting>
  <conditionalFormatting sqref="AG118:AG120">
    <cfRule type="cellIs" dxfId="14618" priority="3494" operator="greaterThan">
      <formula>1</formula>
    </cfRule>
    <cfRule type="cellIs" dxfId="14617" priority="3495" operator="lessThan">
      <formula>0.8</formula>
    </cfRule>
  </conditionalFormatting>
  <conditionalFormatting sqref="S44:S56">
    <cfRule type="cellIs" dxfId="14616" priority="3493" operator="lessThan">
      <formula>0.8</formula>
    </cfRule>
  </conditionalFormatting>
  <conditionalFormatting sqref="S108">
    <cfRule type="cellIs" dxfId="14615" priority="3492" operator="lessThan">
      <formula>0.8</formula>
    </cfRule>
  </conditionalFormatting>
  <conditionalFormatting sqref="S96">
    <cfRule type="cellIs" dxfId="14614" priority="3491" operator="lessThan">
      <formula>0.8</formula>
    </cfRule>
  </conditionalFormatting>
  <conditionalFormatting sqref="S97">
    <cfRule type="cellIs" dxfId="14613" priority="3490" operator="lessThan">
      <formula>0.8</formula>
    </cfRule>
  </conditionalFormatting>
  <conditionalFormatting sqref="S103">
    <cfRule type="cellIs" dxfId="14612" priority="3489" operator="lessThan">
      <formula>0.8</formula>
    </cfRule>
  </conditionalFormatting>
  <conditionalFormatting sqref="S99">
    <cfRule type="cellIs" dxfId="14611" priority="3488" operator="lessThan">
      <formula>0.8</formula>
    </cfRule>
  </conditionalFormatting>
  <conditionalFormatting sqref="S101">
    <cfRule type="cellIs" dxfId="14610" priority="3485" operator="lessThan">
      <formula>0.8</formula>
    </cfRule>
  </conditionalFormatting>
  <conditionalFormatting sqref="S100">
    <cfRule type="cellIs" dxfId="14609" priority="3487" operator="lessThan">
      <formula>0.8</formula>
    </cfRule>
  </conditionalFormatting>
  <conditionalFormatting sqref="S102">
    <cfRule type="cellIs" dxfId="14608" priority="3486" operator="lessThan">
      <formula>0.8</formula>
    </cfRule>
  </conditionalFormatting>
  <conditionalFormatting sqref="S98">
    <cfRule type="cellIs" dxfId="14607" priority="3484" operator="lessThan">
      <formula>0.8</formula>
    </cfRule>
  </conditionalFormatting>
  <conditionalFormatting sqref="S104">
    <cfRule type="cellIs" dxfId="14606" priority="3483" operator="lessThan">
      <formula>0.8</formula>
    </cfRule>
  </conditionalFormatting>
  <conditionalFormatting sqref="P118">
    <cfRule type="cellIs" dxfId="14605" priority="3477" operator="greaterThan">
      <formula>0</formula>
    </cfRule>
  </conditionalFormatting>
  <conditionalFormatting sqref="Q118">
    <cfRule type="cellIs" dxfId="14604" priority="3482" operator="lessThan">
      <formula>0</formula>
    </cfRule>
  </conditionalFormatting>
  <conditionalFormatting sqref="R118">
    <cfRule type="cellIs" dxfId="14603" priority="3480" operator="lessThan">
      <formula>0.8</formula>
    </cfRule>
    <cfRule type="cellIs" dxfId="14602" priority="3481" operator="greaterThan">
      <formula>1</formula>
    </cfRule>
  </conditionalFormatting>
  <conditionalFormatting sqref="R118">
    <cfRule type="cellIs" dxfId="14601" priority="3478" operator="greaterThan">
      <formula>1</formula>
    </cfRule>
    <cfRule type="cellIs" dxfId="14600" priority="3479" operator="lessThan">
      <formula>0.8</formula>
    </cfRule>
  </conditionalFormatting>
  <conditionalFormatting sqref="Q162:Q166">
    <cfRule type="cellIs" dxfId="14599" priority="3476" operator="lessThan">
      <formula>0</formula>
    </cfRule>
  </conditionalFormatting>
  <conditionalFormatting sqref="R162:R166">
    <cfRule type="cellIs" dxfId="14598" priority="3474" operator="lessThan">
      <formula>0.8</formula>
    </cfRule>
    <cfRule type="cellIs" dxfId="14597" priority="3475" operator="greaterThan">
      <formula>1</formula>
    </cfRule>
  </conditionalFormatting>
  <conditionalFormatting sqref="R162:R166">
    <cfRule type="cellIs" dxfId="14596" priority="3472" operator="greaterThan">
      <formula>1</formula>
    </cfRule>
    <cfRule type="cellIs" dxfId="14595" priority="3473" operator="lessThan">
      <formula>0.8</formula>
    </cfRule>
  </conditionalFormatting>
  <conditionalFormatting sqref="P162:P166">
    <cfRule type="cellIs" dxfId="14594" priority="3471" operator="greaterThan">
      <formula>0</formula>
    </cfRule>
  </conditionalFormatting>
  <conditionalFormatting sqref="P167:P168">
    <cfRule type="cellIs" dxfId="14593" priority="3465" operator="greaterThan">
      <formula>0</formula>
    </cfRule>
  </conditionalFormatting>
  <conditionalFormatting sqref="R167:R168">
    <cfRule type="cellIs" dxfId="14592" priority="3468" operator="lessThan">
      <formula>0.8</formula>
    </cfRule>
    <cfRule type="cellIs" dxfId="14591" priority="3469" operator="greaterThan">
      <formula>1</formula>
    </cfRule>
  </conditionalFormatting>
  <conditionalFormatting sqref="R167:R168">
    <cfRule type="cellIs" dxfId="14590" priority="3466" operator="greaterThan">
      <formula>1</formula>
    </cfRule>
    <cfRule type="cellIs" dxfId="14589" priority="3467" operator="lessThan">
      <formula>0.8</formula>
    </cfRule>
  </conditionalFormatting>
  <conditionalFormatting sqref="Q167:Q168">
    <cfRule type="cellIs" dxfId="14588" priority="3470" operator="lessThan">
      <formula>0</formula>
    </cfRule>
  </conditionalFormatting>
  <conditionalFormatting sqref="Q117">
    <cfRule type="cellIs" dxfId="14587" priority="3464" operator="lessThan">
      <formula>0</formula>
    </cfRule>
  </conditionalFormatting>
  <conditionalFormatting sqref="R117">
    <cfRule type="cellIs" dxfId="14586" priority="3462" operator="lessThan">
      <formula>0.8</formula>
    </cfRule>
    <cfRule type="cellIs" dxfId="14585" priority="3463" operator="greaterThan">
      <formula>1</formula>
    </cfRule>
  </conditionalFormatting>
  <conditionalFormatting sqref="R117">
    <cfRule type="cellIs" dxfId="14584" priority="3460" operator="greaterThan">
      <formula>1</formula>
    </cfRule>
    <cfRule type="cellIs" dxfId="14583" priority="3461" operator="lessThan">
      <formula>0.8</formula>
    </cfRule>
  </conditionalFormatting>
  <conditionalFormatting sqref="P117">
    <cfRule type="cellIs" dxfId="14582" priority="3459" operator="greaterThan">
      <formula>0</formula>
    </cfRule>
  </conditionalFormatting>
  <conditionalFormatting sqref="Q117">
    <cfRule type="cellIs" dxfId="14581" priority="3458" operator="lessThan">
      <formula>0</formula>
    </cfRule>
  </conditionalFormatting>
  <conditionalFormatting sqref="R117">
    <cfRule type="cellIs" dxfId="14580" priority="3456" operator="lessThan">
      <formula>0.8</formula>
    </cfRule>
    <cfRule type="cellIs" dxfId="14579" priority="3457" operator="greaterThan">
      <formula>1</formula>
    </cfRule>
  </conditionalFormatting>
  <conditionalFormatting sqref="R117">
    <cfRule type="cellIs" dxfId="14578" priority="3454" operator="greaterThan">
      <formula>1</formula>
    </cfRule>
    <cfRule type="cellIs" dxfId="14577" priority="3455" operator="lessThan">
      <formula>0.8</formula>
    </cfRule>
  </conditionalFormatting>
  <conditionalFormatting sqref="P117">
    <cfRule type="cellIs" dxfId="14576" priority="3453" operator="greaterThan">
      <formula>0</formula>
    </cfRule>
  </conditionalFormatting>
  <conditionalFormatting sqref="P117">
    <cfRule type="cellIs" dxfId="14575" priority="3447" operator="greaterThan">
      <formula>0</formula>
    </cfRule>
  </conditionalFormatting>
  <conditionalFormatting sqref="Q117">
    <cfRule type="cellIs" dxfId="14574" priority="3452" operator="lessThan">
      <formula>0</formula>
    </cfRule>
  </conditionalFormatting>
  <conditionalFormatting sqref="R117">
    <cfRule type="cellIs" dxfId="14573" priority="3450" operator="lessThan">
      <formula>0.8</formula>
    </cfRule>
    <cfRule type="cellIs" dxfId="14572" priority="3451" operator="greaterThan">
      <formula>1</formula>
    </cfRule>
  </conditionalFormatting>
  <conditionalFormatting sqref="R117">
    <cfRule type="cellIs" dxfId="14571" priority="3448" operator="greaterThan">
      <formula>1</formula>
    </cfRule>
    <cfRule type="cellIs" dxfId="14570" priority="3449" operator="lessThan">
      <formula>0.8</formula>
    </cfRule>
  </conditionalFormatting>
  <conditionalFormatting sqref="P117">
    <cfRule type="cellIs" dxfId="14569" priority="3441" operator="greaterThan">
      <formula>0</formula>
    </cfRule>
  </conditionalFormatting>
  <conditionalFormatting sqref="Q117">
    <cfRule type="cellIs" dxfId="14568" priority="3446" operator="lessThan">
      <formula>0</formula>
    </cfRule>
  </conditionalFormatting>
  <conditionalFormatting sqref="R117">
    <cfRule type="cellIs" dxfId="14567" priority="3444" operator="lessThan">
      <formula>0.8</formula>
    </cfRule>
    <cfRule type="cellIs" dxfId="14566" priority="3445" operator="greaterThan">
      <formula>1</formula>
    </cfRule>
  </conditionalFormatting>
  <conditionalFormatting sqref="R117">
    <cfRule type="cellIs" dxfId="14565" priority="3442" operator="greaterThan">
      <formula>1</formula>
    </cfRule>
    <cfRule type="cellIs" dxfId="14564" priority="3443" operator="lessThan">
      <formula>0.8</formula>
    </cfRule>
  </conditionalFormatting>
  <conditionalFormatting sqref="P117">
    <cfRule type="cellIs" dxfId="14563" priority="3435" operator="greaterThan">
      <formula>0</formula>
    </cfRule>
  </conditionalFormatting>
  <conditionalFormatting sqref="Q117">
    <cfRule type="cellIs" dxfId="14562" priority="3440" operator="lessThan">
      <formula>0</formula>
    </cfRule>
  </conditionalFormatting>
  <conditionalFormatting sqref="R117">
    <cfRule type="cellIs" dxfId="14561" priority="3438" operator="lessThan">
      <formula>0.8</formula>
    </cfRule>
    <cfRule type="cellIs" dxfId="14560" priority="3439" operator="greaterThan">
      <formula>1</formula>
    </cfRule>
  </conditionalFormatting>
  <conditionalFormatting sqref="R117">
    <cfRule type="cellIs" dxfId="14559" priority="3436" operator="greaterThan">
      <formula>1</formula>
    </cfRule>
    <cfRule type="cellIs" dxfId="14558" priority="3437" operator="lessThan">
      <formula>0.8</formula>
    </cfRule>
  </conditionalFormatting>
  <conditionalFormatting sqref="Q117">
    <cfRule type="cellIs" dxfId="14557" priority="3434" operator="lessThan">
      <formula>0</formula>
    </cfRule>
  </conditionalFormatting>
  <conditionalFormatting sqref="R117">
    <cfRule type="cellIs" dxfId="14556" priority="3432" operator="lessThan">
      <formula>0.8</formula>
    </cfRule>
    <cfRule type="cellIs" dxfId="14555" priority="3433" operator="greaterThan">
      <formula>1</formula>
    </cfRule>
  </conditionalFormatting>
  <conditionalFormatting sqref="R117">
    <cfRule type="cellIs" dxfId="14554" priority="3430" operator="greaterThan">
      <formula>1</formula>
    </cfRule>
    <cfRule type="cellIs" dxfId="14553" priority="3431" operator="lessThan">
      <formula>0.8</formula>
    </cfRule>
  </conditionalFormatting>
  <conditionalFormatting sqref="P117">
    <cfRule type="cellIs" dxfId="14552" priority="3429" operator="greaterThan">
      <formula>0</formula>
    </cfRule>
  </conditionalFormatting>
  <conditionalFormatting sqref="P117">
    <cfRule type="cellIs" dxfId="14551" priority="3423" operator="greaterThan">
      <formula>0</formula>
    </cfRule>
  </conditionalFormatting>
  <conditionalFormatting sqref="Q117">
    <cfRule type="cellIs" dxfId="14550" priority="3428" operator="lessThan">
      <formula>0</formula>
    </cfRule>
  </conditionalFormatting>
  <conditionalFormatting sqref="R117">
    <cfRule type="cellIs" dxfId="14549" priority="3426" operator="lessThan">
      <formula>0.8</formula>
    </cfRule>
    <cfRule type="cellIs" dxfId="14548" priority="3427" operator="greaterThan">
      <formula>1</formula>
    </cfRule>
  </conditionalFormatting>
  <conditionalFormatting sqref="R117">
    <cfRule type="cellIs" dxfId="14547" priority="3424" operator="greaterThan">
      <formula>1</formula>
    </cfRule>
    <cfRule type="cellIs" dxfId="14546" priority="3425" operator="lessThan">
      <formula>0.8</formula>
    </cfRule>
  </conditionalFormatting>
  <conditionalFormatting sqref="P117">
    <cfRule type="cellIs" dxfId="14545" priority="3417" operator="greaterThan">
      <formula>0</formula>
    </cfRule>
  </conditionalFormatting>
  <conditionalFormatting sqref="Q117">
    <cfRule type="cellIs" dxfId="14544" priority="3422" operator="lessThan">
      <formula>0</formula>
    </cfRule>
  </conditionalFormatting>
  <conditionalFormatting sqref="R117">
    <cfRule type="cellIs" dxfId="14543" priority="3420" operator="lessThan">
      <formula>0.8</formula>
    </cfRule>
    <cfRule type="cellIs" dxfId="14542" priority="3421" operator="greaterThan">
      <formula>1</formula>
    </cfRule>
  </conditionalFormatting>
  <conditionalFormatting sqref="R117">
    <cfRule type="cellIs" dxfId="14541" priority="3418" operator="greaterThan">
      <formula>1</formula>
    </cfRule>
    <cfRule type="cellIs" dxfId="14540" priority="3419" operator="lessThan">
      <formula>0.8</formula>
    </cfRule>
  </conditionalFormatting>
  <conditionalFormatting sqref="Q117">
    <cfRule type="cellIs" dxfId="14539" priority="3416" operator="lessThan">
      <formula>0</formula>
    </cfRule>
  </conditionalFormatting>
  <conditionalFormatting sqref="R117">
    <cfRule type="cellIs" dxfId="14538" priority="3414" operator="lessThan">
      <formula>0.8</formula>
    </cfRule>
    <cfRule type="cellIs" dxfId="14537" priority="3415" operator="greaterThan">
      <formula>1</formula>
    </cfRule>
  </conditionalFormatting>
  <conditionalFormatting sqref="R117">
    <cfRule type="cellIs" dxfId="14536" priority="3412" operator="greaterThan">
      <formula>1</formula>
    </cfRule>
    <cfRule type="cellIs" dxfId="14535" priority="3413" operator="lessThan">
      <formula>0.8</formula>
    </cfRule>
  </conditionalFormatting>
  <conditionalFormatting sqref="P117">
    <cfRule type="cellIs" dxfId="14534" priority="3411" operator="greaterThan">
      <formula>0</formula>
    </cfRule>
  </conditionalFormatting>
  <conditionalFormatting sqref="P117">
    <cfRule type="cellIs" dxfId="14533" priority="3405" operator="greaterThan">
      <formula>0</formula>
    </cfRule>
  </conditionalFormatting>
  <conditionalFormatting sqref="Q117">
    <cfRule type="cellIs" dxfId="14532" priority="3410" operator="lessThan">
      <formula>0</formula>
    </cfRule>
  </conditionalFormatting>
  <conditionalFormatting sqref="R117">
    <cfRule type="cellIs" dxfId="14531" priority="3408" operator="lessThan">
      <formula>0.8</formula>
    </cfRule>
    <cfRule type="cellIs" dxfId="14530" priority="3409" operator="greaterThan">
      <formula>1</formula>
    </cfRule>
  </conditionalFormatting>
  <conditionalFormatting sqref="R117">
    <cfRule type="cellIs" dxfId="14529" priority="3406" operator="greaterThan">
      <formula>1</formula>
    </cfRule>
    <cfRule type="cellIs" dxfId="14528" priority="3407" operator="lessThan">
      <formula>0.8</formula>
    </cfRule>
  </conditionalFormatting>
  <conditionalFormatting sqref="Q117">
    <cfRule type="cellIs" dxfId="14527" priority="3404" operator="lessThan">
      <formula>0</formula>
    </cfRule>
  </conditionalFormatting>
  <conditionalFormatting sqref="R117">
    <cfRule type="cellIs" dxfId="14526" priority="3402" operator="lessThan">
      <formula>0.8</formula>
    </cfRule>
    <cfRule type="cellIs" dxfId="14525" priority="3403" operator="greaterThan">
      <formula>1</formula>
    </cfRule>
  </conditionalFormatting>
  <conditionalFormatting sqref="R117">
    <cfRule type="cellIs" dxfId="14524" priority="3400" operator="greaterThan">
      <formula>1</formula>
    </cfRule>
    <cfRule type="cellIs" dxfId="14523" priority="3401" operator="lessThan">
      <formula>0.8</formula>
    </cfRule>
  </conditionalFormatting>
  <conditionalFormatting sqref="P117">
    <cfRule type="cellIs" dxfId="14522" priority="3399" operator="greaterThan">
      <formula>0</formula>
    </cfRule>
  </conditionalFormatting>
  <conditionalFormatting sqref="Q117">
    <cfRule type="cellIs" dxfId="14521" priority="3398" operator="lessThan">
      <formula>0</formula>
    </cfRule>
  </conditionalFormatting>
  <conditionalFormatting sqref="R117">
    <cfRule type="cellIs" dxfId="14520" priority="3396" operator="lessThan">
      <formula>0.8</formula>
    </cfRule>
    <cfRule type="cellIs" dxfId="14519" priority="3397" operator="greaterThan">
      <formula>1</formula>
    </cfRule>
  </conditionalFormatting>
  <conditionalFormatting sqref="R117">
    <cfRule type="cellIs" dxfId="14518" priority="3394" operator="greaterThan">
      <formula>1</formula>
    </cfRule>
    <cfRule type="cellIs" dxfId="14517" priority="3395" operator="lessThan">
      <formula>0.8</formula>
    </cfRule>
  </conditionalFormatting>
  <conditionalFormatting sqref="P117">
    <cfRule type="cellIs" dxfId="14516" priority="3393" operator="greaterThan">
      <formula>0</formula>
    </cfRule>
  </conditionalFormatting>
  <conditionalFormatting sqref="Q83">
    <cfRule type="cellIs" dxfId="14515" priority="3392" operator="lessThan">
      <formula>0</formula>
    </cfRule>
  </conditionalFormatting>
  <conditionalFormatting sqref="R83">
    <cfRule type="cellIs" dxfId="14514" priority="3390" operator="lessThan">
      <formula>0.8</formula>
    </cfRule>
    <cfRule type="cellIs" dxfId="14513" priority="3391" operator="greaterThan">
      <formula>1</formula>
    </cfRule>
  </conditionalFormatting>
  <conditionalFormatting sqref="R83">
    <cfRule type="cellIs" dxfId="14512" priority="3388" operator="greaterThan">
      <formula>1</formula>
    </cfRule>
    <cfRule type="cellIs" dxfId="14511" priority="3389" operator="lessThan">
      <formula>0.8</formula>
    </cfRule>
  </conditionalFormatting>
  <conditionalFormatting sqref="P83">
    <cfRule type="cellIs" dxfId="14510" priority="3387" operator="greaterThan">
      <formula>0</formula>
    </cfRule>
  </conditionalFormatting>
  <conditionalFormatting sqref="Q83">
    <cfRule type="cellIs" dxfId="14509" priority="3386" operator="lessThan">
      <formula>0</formula>
    </cfRule>
  </conditionalFormatting>
  <conditionalFormatting sqref="R83">
    <cfRule type="cellIs" dxfId="14508" priority="3384" operator="lessThan">
      <formula>0.8</formula>
    </cfRule>
    <cfRule type="cellIs" dxfId="14507" priority="3385" operator="greaterThan">
      <formula>1</formula>
    </cfRule>
  </conditionalFormatting>
  <conditionalFormatting sqref="R83">
    <cfRule type="cellIs" dxfId="14506" priority="3382" operator="greaterThan">
      <formula>1</formula>
    </cfRule>
    <cfRule type="cellIs" dxfId="14505" priority="3383" operator="lessThan">
      <formula>0.8</formula>
    </cfRule>
  </conditionalFormatting>
  <conditionalFormatting sqref="P83">
    <cfRule type="cellIs" dxfId="14504" priority="3381" operator="greaterThan">
      <formula>0</formula>
    </cfRule>
  </conditionalFormatting>
  <conditionalFormatting sqref="Q83">
    <cfRule type="cellIs" dxfId="14503" priority="3380" operator="lessThan">
      <formula>0</formula>
    </cfRule>
  </conditionalFormatting>
  <conditionalFormatting sqref="R83">
    <cfRule type="cellIs" dxfId="14502" priority="3378" operator="lessThan">
      <formula>0.8</formula>
    </cfRule>
    <cfRule type="cellIs" dxfId="14501" priority="3379" operator="greaterThan">
      <formula>1</formula>
    </cfRule>
  </conditionalFormatting>
  <conditionalFormatting sqref="R83">
    <cfRule type="cellIs" dxfId="14500" priority="3376" operator="greaterThan">
      <formula>1</formula>
    </cfRule>
    <cfRule type="cellIs" dxfId="14499" priority="3377" operator="lessThan">
      <formula>0.8</formula>
    </cfRule>
  </conditionalFormatting>
  <conditionalFormatting sqref="P83">
    <cfRule type="cellIs" dxfId="14498" priority="3375" operator="greaterThan">
      <formula>0</formula>
    </cfRule>
  </conditionalFormatting>
  <conditionalFormatting sqref="Q83">
    <cfRule type="cellIs" dxfId="14497" priority="3374" operator="lessThan">
      <formula>0</formula>
    </cfRule>
  </conditionalFormatting>
  <conditionalFormatting sqref="R83">
    <cfRule type="cellIs" dxfId="14496" priority="3372" operator="lessThan">
      <formula>0.8</formula>
    </cfRule>
    <cfRule type="cellIs" dxfId="14495" priority="3373" operator="greaterThan">
      <formula>1</formula>
    </cfRule>
  </conditionalFormatting>
  <conditionalFormatting sqref="R83">
    <cfRule type="cellIs" dxfId="14494" priority="3370" operator="greaterThan">
      <formula>1</formula>
    </cfRule>
    <cfRule type="cellIs" dxfId="14493" priority="3371" operator="lessThan">
      <formula>0.8</formula>
    </cfRule>
  </conditionalFormatting>
  <conditionalFormatting sqref="P83">
    <cfRule type="cellIs" dxfId="14492" priority="3369" operator="greaterThan">
      <formula>0</formula>
    </cfRule>
  </conditionalFormatting>
  <conditionalFormatting sqref="P83">
    <cfRule type="cellIs" dxfId="14491" priority="3363" operator="greaterThan">
      <formula>0</formula>
    </cfRule>
  </conditionalFormatting>
  <conditionalFormatting sqref="Q83">
    <cfRule type="cellIs" dxfId="14490" priority="3368" operator="lessThan">
      <formula>0</formula>
    </cfRule>
  </conditionalFormatting>
  <conditionalFormatting sqref="R83">
    <cfRule type="cellIs" dxfId="14489" priority="3366" operator="lessThan">
      <formula>0.8</formula>
    </cfRule>
    <cfRule type="cellIs" dxfId="14488" priority="3367" operator="greaterThan">
      <formula>1</formula>
    </cfRule>
  </conditionalFormatting>
  <conditionalFormatting sqref="R83">
    <cfRule type="cellIs" dxfId="14487" priority="3364" operator="greaterThan">
      <formula>1</formula>
    </cfRule>
    <cfRule type="cellIs" dxfId="14486" priority="3365" operator="lessThan">
      <formula>0.8</formula>
    </cfRule>
  </conditionalFormatting>
  <conditionalFormatting sqref="P83">
    <cfRule type="cellIs" dxfId="14485" priority="3357" operator="greaterThan">
      <formula>0</formula>
    </cfRule>
  </conditionalFormatting>
  <conditionalFormatting sqref="Q83">
    <cfRule type="cellIs" dxfId="14484" priority="3362" operator="lessThan">
      <formula>0</formula>
    </cfRule>
  </conditionalFormatting>
  <conditionalFormatting sqref="R83">
    <cfRule type="cellIs" dxfId="14483" priority="3360" operator="lessThan">
      <formula>0.8</formula>
    </cfRule>
    <cfRule type="cellIs" dxfId="14482" priority="3361" operator="greaterThan">
      <formula>1</formula>
    </cfRule>
  </conditionalFormatting>
  <conditionalFormatting sqref="R83">
    <cfRule type="cellIs" dxfId="14481" priority="3358" operator="greaterThan">
      <formula>1</formula>
    </cfRule>
    <cfRule type="cellIs" dxfId="14480" priority="3359" operator="lessThan">
      <formula>0.8</formula>
    </cfRule>
  </conditionalFormatting>
  <conditionalFormatting sqref="R83">
    <cfRule type="cellIs" dxfId="14479" priority="3354" operator="lessThan">
      <formula>0.8</formula>
    </cfRule>
    <cfRule type="cellIs" dxfId="14478" priority="3355" operator="greaterThan">
      <formula>1</formula>
    </cfRule>
  </conditionalFormatting>
  <conditionalFormatting sqref="R83">
    <cfRule type="cellIs" dxfId="14477" priority="3352" operator="greaterThan">
      <formula>1</formula>
    </cfRule>
    <cfRule type="cellIs" dxfId="14476" priority="3353" operator="lessThan">
      <formula>0.8</formula>
    </cfRule>
  </conditionalFormatting>
  <conditionalFormatting sqref="P83">
    <cfRule type="cellIs" dxfId="14475" priority="3351" operator="greaterThan">
      <formula>0</formula>
    </cfRule>
  </conditionalFormatting>
  <conditionalFormatting sqref="Q83">
    <cfRule type="cellIs" dxfId="14474" priority="3356" operator="lessThan">
      <formula>0</formula>
    </cfRule>
  </conditionalFormatting>
  <conditionalFormatting sqref="Q83">
    <cfRule type="cellIs" dxfId="14473" priority="3350" operator="lessThan">
      <formula>0</formula>
    </cfRule>
  </conditionalFormatting>
  <conditionalFormatting sqref="R83">
    <cfRule type="cellIs" dxfId="14472" priority="3348" operator="lessThan">
      <formula>0.8</formula>
    </cfRule>
    <cfRule type="cellIs" dxfId="14471" priority="3349" operator="greaterThan">
      <formula>1</formula>
    </cfRule>
  </conditionalFormatting>
  <conditionalFormatting sqref="R83">
    <cfRule type="cellIs" dxfId="14470" priority="3346" operator="greaterThan">
      <formula>1</formula>
    </cfRule>
    <cfRule type="cellIs" dxfId="14469" priority="3347" operator="lessThan">
      <formula>0.8</formula>
    </cfRule>
  </conditionalFormatting>
  <conditionalFormatting sqref="P83">
    <cfRule type="cellIs" dxfId="14468" priority="3345" operator="greaterThan">
      <formula>0</formula>
    </cfRule>
  </conditionalFormatting>
  <conditionalFormatting sqref="P83">
    <cfRule type="cellIs" dxfId="14467" priority="3339" operator="greaterThan">
      <formula>0</formula>
    </cfRule>
  </conditionalFormatting>
  <conditionalFormatting sqref="Q83">
    <cfRule type="cellIs" dxfId="14466" priority="3344" operator="lessThan">
      <formula>0</formula>
    </cfRule>
  </conditionalFormatting>
  <conditionalFormatting sqref="R83">
    <cfRule type="cellIs" dxfId="14465" priority="3342" operator="lessThan">
      <formula>0.8</formula>
    </cfRule>
    <cfRule type="cellIs" dxfId="14464" priority="3343" operator="greaterThan">
      <formula>1</formula>
    </cfRule>
  </conditionalFormatting>
  <conditionalFormatting sqref="R83">
    <cfRule type="cellIs" dxfId="14463" priority="3340" operator="greaterThan">
      <formula>1</formula>
    </cfRule>
    <cfRule type="cellIs" dxfId="14462" priority="3341" operator="lessThan">
      <formula>0.8</formula>
    </cfRule>
  </conditionalFormatting>
  <conditionalFormatting sqref="P83">
    <cfRule type="cellIs" dxfId="14461" priority="3333" operator="greaterThan">
      <formula>0</formula>
    </cfRule>
  </conditionalFormatting>
  <conditionalFormatting sqref="Q83">
    <cfRule type="cellIs" dxfId="14460" priority="3338" operator="lessThan">
      <formula>0</formula>
    </cfRule>
  </conditionalFormatting>
  <conditionalFormatting sqref="R83">
    <cfRule type="cellIs" dxfId="14459" priority="3336" operator="lessThan">
      <formula>0.8</formula>
    </cfRule>
    <cfRule type="cellIs" dxfId="14458" priority="3337" operator="greaterThan">
      <formula>1</formula>
    </cfRule>
  </conditionalFormatting>
  <conditionalFormatting sqref="R83">
    <cfRule type="cellIs" dxfId="14457" priority="3334" operator="greaterThan">
      <formula>1</formula>
    </cfRule>
    <cfRule type="cellIs" dxfId="14456" priority="3335" operator="lessThan">
      <formula>0.8</formula>
    </cfRule>
  </conditionalFormatting>
  <conditionalFormatting sqref="R83">
    <cfRule type="cellIs" dxfId="14455" priority="3330" operator="lessThan">
      <formula>0.8</formula>
    </cfRule>
    <cfRule type="cellIs" dxfId="14454" priority="3331" operator="greaterThan">
      <formula>1</formula>
    </cfRule>
  </conditionalFormatting>
  <conditionalFormatting sqref="R83">
    <cfRule type="cellIs" dxfId="14453" priority="3328" operator="greaterThan">
      <formula>1</formula>
    </cfRule>
    <cfRule type="cellIs" dxfId="14452" priority="3329" operator="lessThan">
      <formula>0.8</formula>
    </cfRule>
  </conditionalFormatting>
  <conditionalFormatting sqref="P83">
    <cfRule type="cellIs" dxfId="14451" priority="3327" operator="greaterThan">
      <formula>0</formula>
    </cfRule>
  </conditionalFormatting>
  <conditionalFormatting sqref="Q83">
    <cfRule type="cellIs" dxfId="14450" priority="3332" operator="lessThan">
      <formula>0</formula>
    </cfRule>
  </conditionalFormatting>
  <conditionalFormatting sqref="P83">
    <cfRule type="cellIs" dxfId="14449" priority="3321" operator="greaterThan">
      <formula>0</formula>
    </cfRule>
  </conditionalFormatting>
  <conditionalFormatting sqref="Q83">
    <cfRule type="cellIs" dxfId="14448" priority="3326" operator="lessThan">
      <formula>0</formula>
    </cfRule>
  </conditionalFormatting>
  <conditionalFormatting sqref="R83">
    <cfRule type="cellIs" dxfId="14447" priority="3324" operator="lessThan">
      <formula>0.8</formula>
    </cfRule>
    <cfRule type="cellIs" dxfId="14446" priority="3325" operator="greaterThan">
      <formula>1</formula>
    </cfRule>
  </conditionalFormatting>
  <conditionalFormatting sqref="R83">
    <cfRule type="cellIs" dxfId="14445" priority="3322" operator="greaterThan">
      <formula>1</formula>
    </cfRule>
    <cfRule type="cellIs" dxfId="14444" priority="3323" operator="lessThan">
      <formula>0.8</formula>
    </cfRule>
  </conditionalFormatting>
  <conditionalFormatting sqref="R83">
    <cfRule type="cellIs" dxfId="14443" priority="3318" operator="lessThan">
      <formula>0.8</formula>
    </cfRule>
    <cfRule type="cellIs" dxfId="14442" priority="3319" operator="greaterThan">
      <formula>1</formula>
    </cfRule>
  </conditionalFormatting>
  <conditionalFormatting sqref="R83">
    <cfRule type="cellIs" dxfId="14441" priority="3316" operator="greaterThan">
      <formula>1</formula>
    </cfRule>
    <cfRule type="cellIs" dxfId="14440" priority="3317" operator="lessThan">
      <formula>0.8</formula>
    </cfRule>
  </conditionalFormatting>
  <conditionalFormatting sqref="P83">
    <cfRule type="cellIs" dxfId="14439" priority="3315" operator="greaterThan">
      <formula>0</formula>
    </cfRule>
  </conditionalFormatting>
  <conditionalFormatting sqref="Q83">
    <cfRule type="cellIs" dxfId="14438" priority="3320" operator="lessThan">
      <formula>0</formula>
    </cfRule>
  </conditionalFormatting>
  <conditionalFormatting sqref="R83">
    <cfRule type="cellIs" dxfId="14437" priority="3312" operator="lessThan">
      <formula>0.8</formula>
    </cfRule>
    <cfRule type="cellIs" dxfId="14436" priority="3313" operator="greaterThan">
      <formula>1</formula>
    </cfRule>
  </conditionalFormatting>
  <conditionalFormatting sqref="R83">
    <cfRule type="cellIs" dxfId="14435" priority="3310" operator="greaterThan">
      <formula>1</formula>
    </cfRule>
    <cfRule type="cellIs" dxfId="14434" priority="3311" operator="lessThan">
      <formula>0.8</formula>
    </cfRule>
  </conditionalFormatting>
  <conditionalFormatting sqref="P83">
    <cfRule type="cellIs" dxfId="14433" priority="3309" operator="greaterThan">
      <formula>0</formula>
    </cfRule>
  </conditionalFormatting>
  <conditionalFormatting sqref="Q83">
    <cfRule type="cellIs" dxfId="14432" priority="3314" operator="lessThan">
      <formula>0</formula>
    </cfRule>
  </conditionalFormatting>
  <conditionalFormatting sqref="Q83">
    <cfRule type="cellIs" dxfId="14431" priority="3308" operator="lessThan">
      <formula>0</formula>
    </cfRule>
  </conditionalFormatting>
  <conditionalFormatting sqref="R83">
    <cfRule type="cellIs" dxfId="14430" priority="3306" operator="lessThan">
      <formula>0.8</formula>
    </cfRule>
    <cfRule type="cellIs" dxfId="14429" priority="3307" operator="greaterThan">
      <formula>1</formula>
    </cfRule>
  </conditionalFormatting>
  <conditionalFormatting sqref="R83">
    <cfRule type="cellIs" dxfId="14428" priority="3304" operator="greaterThan">
      <formula>1</formula>
    </cfRule>
    <cfRule type="cellIs" dxfId="14427" priority="3305" operator="lessThan">
      <formula>0.8</formula>
    </cfRule>
  </conditionalFormatting>
  <conditionalFormatting sqref="P83">
    <cfRule type="cellIs" dxfId="14426" priority="3303" operator="greaterThan">
      <formula>0</formula>
    </cfRule>
  </conditionalFormatting>
  <conditionalFormatting sqref="Q83">
    <cfRule type="cellIs" dxfId="14425" priority="3297" operator="lessThan">
      <formula>0</formula>
    </cfRule>
  </conditionalFormatting>
  <conditionalFormatting sqref="R83">
    <cfRule type="cellIs" dxfId="14424" priority="3301" operator="lessThan">
      <formula>0.8</formula>
    </cfRule>
    <cfRule type="cellIs" dxfId="14423" priority="3302" operator="greaterThan">
      <formula>1</formula>
    </cfRule>
  </conditionalFormatting>
  <conditionalFormatting sqref="R83">
    <cfRule type="cellIs" dxfId="14422" priority="3299" operator="greaterThan">
      <formula>1</formula>
    </cfRule>
    <cfRule type="cellIs" dxfId="14421" priority="3300" operator="lessThan">
      <formula>0.8</formula>
    </cfRule>
  </conditionalFormatting>
  <conditionalFormatting sqref="P83">
    <cfRule type="cellIs" dxfId="14420" priority="3298" operator="greaterThan">
      <formula>0</formula>
    </cfRule>
  </conditionalFormatting>
  <conditionalFormatting sqref="Q83">
    <cfRule type="cellIs" dxfId="14419" priority="3296" operator="lessThan">
      <formula>0</formula>
    </cfRule>
  </conditionalFormatting>
  <conditionalFormatting sqref="R83">
    <cfRule type="cellIs" dxfId="14418" priority="3294" operator="lessThan">
      <formula>0.8</formula>
    </cfRule>
    <cfRule type="cellIs" dxfId="14417" priority="3295" operator="greaterThan">
      <formula>1</formula>
    </cfRule>
  </conditionalFormatting>
  <conditionalFormatting sqref="R83">
    <cfRule type="cellIs" dxfId="14416" priority="3292" operator="greaterThan">
      <formula>1</formula>
    </cfRule>
    <cfRule type="cellIs" dxfId="14415" priority="3293" operator="lessThan">
      <formula>0.8</formula>
    </cfRule>
  </conditionalFormatting>
  <conditionalFormatting sqref="P83">
    <cfRule type="cellIs" dxfId="14414" priority="3291" operator="greaterThan">
      <formula>0</formula>
    </cfRule>
  </conditionalFormatting>
  <conditionalFormatting sqref="Q83">
    <cfRule type="cellIs" dxfId="14413" priority="3290" operator="lessThan">
      <formula>0</formula>
    </cfRule>
  </conditionalFormatting>
  <conditionalFormatting sqref="R83">
    <cfRule type="cellIs" dxfId="14412" priority="3288" operator="lessThan">
      <formula>0.8</formula>
    </cfRule>
    <cfRule type="cellIs" dxfId="14411" priority="3289" operator="greaterThan">
      <formula>1</formula>
    </cfRule>
  </conditionalFormatting>
  <conditionalFormatting sqref="R83">
    <cfRule type="cellIs" dxfId="14410" priority="3286" operator="greaterThan">
      <formula>1</formula>
    </cfRule>
    <cfRule type="cellIs" dxfId="14409" priority="3287" operator="lessThan">
      <formula>0.8</formula>
    </cfRule>
  </conditionalFormatting>
  <conditionalFormatting sqref="P83">
    <cfRule type="cellIs" dxfId="14408" priority="3285" operator="greaterThan">
      <formula>0</formula>
    </cfRule>
  </conditionalFormatting>
  <conditionalFormatting sqref="Q83">
    <cfRule type="cellIs" dxfId="14407" priority="3284" operator="lessThan">
      <formula>0</formula>
    </cfRule>
  </conditionalFormatting>
  <conditionalFormatting sqref="R83">
    <cfRule type="cellIs" dxfId="14406" priority="3282" operator="lessThan">
      <formula>0.8</formula>
    </cfRule>
    <cfRule type="cellIs" dxfId="14405" priority="3283" operator="greaterThan">
      <formula>1</formula>
    </cfRule>
  </conditionalFormatting>
  <conditionalFormatting sqref="R83">
    <cfRule type="cellIs" dxfId="14404" priority="3280" operator="greaterThan">
      <formula>1</formula>
    </cfRule>
    <cfRule type="cellIs" dxfId="14403" priority="3281" operator="lessThan">
      <formula>0.8</formula>
    </cfRule>
  </conditionalFormatting>
  <conditionalFormatting sqref="P83">
    <cfRule type="cellIs" dxfId="14402" priority="3279" operator="greaterThan">
      <formula>0</formula>
    </cfRule>
  </conditionalFormatting>
  <conditionalFormatting sqref="Q83">
    <cfRule type="cellIs" dxfId="14401" priority="3278" operator="lessThan">
      <formula>0</formula>
    </cfRule>
  </conditionalFormatting>
  <conditionalFormatting sqref="R83">
    <cfRule type="cellIs" dxfId="14400" priority="3276" operator="lessThan">
      <formula>0.8</formula>
    </cfRule>
    <cfRule type="cellIs" dxfId="14399" priority="3277" operator="greaterThan">
      <formula>1</formula>
    </cfRule>
  </conditionalFormatting>
  <conditionalFormatting sqref="R83">
    <cfRule type="cellIs" dxfId="14398" priority="3274" operator="greaterThan">
      <formula>1</formula>
    </cfRule>
    <cfRule type="cellIs" dxfId="14397" priority="3275" operator="lessThan">
      <formula>0.8</formula>
    </cfRule>
  </conditionalFormatting>
  <conditionalFormatting sqref="P83">
    <cfRule type="cellIs" dxfId="14396" priority="3273" operator="greaterThan">
      <formula>0</formula>
    </cfRule>
  </conditionalFormatting>
  <conditionalFormatting sqref="Q83">
    <cfRule type="cellIs" dxfId="14395" priority="3272" operator="lessThan">
      <formula>0</formula>
    </cfRule>
  </conditionalFormatting>
  <conditionalFormatting sqref="R83">
    <cfRule type="cellIs" dxfId="14394" priority="3270" operator="lessThan">
      <formula>0.8</formula>
    </cfRule>
    <cfRule type="cellIs" dxfId="14393" priority="3271" operator="greaterThan">
      <formula>1</formula>
    </cfRule>
  </conditionalFormatting>
  <conditionalFormatting sqref="R83">
    <cfRule type="cellIs" dxfId="14392" priority="3268" operator="greaterThan">
      <formula>1</formula>
    </cfRule>
    <cfRule type="cellIs" dxfId="14391" priority="3269" operator="lessThan">
      <formula>0.8</formula>
    </cfRule>
  </conditionalFormatting>
  <conditionalFormatting sqref="P83">
    <cfRule type="cellIs" dxfId="14390" priority="3267" operator="greaterThan">
      <formula>0</formula>
    </cfRule>
  </conditionalFormatting>
  <conditionalFormatting sqref="P83">
    <cfRule type="cellIs" dxfId="14389" priority="3261" operator="greaterThan">
      <formula>0</formula>
    </cfRule>
  </conditionalFormatting>
  <conditionalFormatting sqref="Q83">
    <cfRule type="cellIs" dxfId="14388" priority="3266" operator="lessThan">
      <formula>0</formula>
    </cfRule>
  </conditionalFormatting>
  <conditionalFormatting sqref="R83">
    <cfRule type="cellIs" dxfId="14387" priority="3264" operator="lessThan">
      <formula>0.8</formula>
    </cfRule>
    <cfRule type="cellIs" dxfId="14386" priority="3265" operator="greaterThan">
      <formula>1</formula>
    </cfRule>
  </conditionalFormatting>
  <conditionalFormatting sqref="R83">
    <cfRule type="cellIs" dxfId="14385" priority="3262" operator="greaterThan">
      <formula>1</formula>
    </cfRule>
    <cfRule type="cellIs" dxfId="14384" priority="3263" operator="lessThan">
      <formula>0.8</formula>
    </cfRule>
  </conditionalFormatting>
  <conditionalFormatting sqref="P83">
    <cfRule type="cellIs" dxfId="14383" priority="3255" operator="greaterThan">
      <formula>0</formula>
    </cfRule>
  </conditionalFormatting>
  <conditionalFormatting sqref="Q83">
    <cfRule type="cellIs" dxfId="14382" priority="3260" operator="lessThan">
      <formula>0</formula>
    </cfRule>
  </conditionalFormatting>
  <conditionalFormatting sqref="R83">
    <cfRule type="cellIs" dxfId="14381" priority="3258" operator="lessThan">
      <formula>0.8</formula>
    </cfRule>
    <cfRule type="cellIs" dxfId="14380" priority="3259" operator="greaterThan">
      <formula>1</formula>
    </cfRule>
  </conditionalFormatting>
  <conditionalFormatting sqref="R83">
    <cfRule type="cellIs" dxfId="14379" priority="3256" operator="greaterThan">
      <formula>1</formula>
    </cfRule>
    <cfRule type="cellIs" dxfId="14378" priority="3257" operator="lessThan">
      <formula>0.8</formula>
    </cfRule>
  </conditionalFormatting>
  <conditionalFormatting sqref="R83">
    <cfRule type="cellIs" dxfId="14377" priority="3252" operator="lessThan">
      <formula>0.8</formula>
    </cfRule>
    <cfRule type="cellIs" dxfId="14376" priority="3253" operator="greaterThan">
      <formula>1</formula>
    </cfRule>
  </conditionalFormatting>
  <conditionalFormatting sqref="R83">
    <cfRule type="cellIs" dxfId="14375" priority="3250" operator="greaterThan">
      <formula>1</formula>
    </cfRule>
    <cfRule type="cellIs" dxfId="14374" priority="3251" operator="lessThan">
      <formula>0.8</formula>
    </cfRule>
  </conditionalFormatting>
  <conditionalFormatting sqref="P83">
    <cfRule type="cellIs" dxfId="14373" priority="3249" operator="greaterThan">
      <formula>0</formula>
    </cfRule>
  </conditionalFormatting>
  <conditionalFormatting sqref="Q83">
    <cfRule type="cellIs" dxfId="14372" priority="3254" operator="lessThan">
      <formula>0</formula>
    </cfRule>
  </conditionalFormatting>
  <conditionalFormatting sqref="Q83">
    <cfRule type="cellIs" dxfId="14371" priority="3248" operator="lessThan">
      <formula>0</formula>
    </cfRule>
  </conditionalFormatting>
  <conditionalFormatting sqref="R83">
    <cfRule type="cellIs" dxfId="14370" priority="3246" operator="lessThan">
      <formula>0.8</formula>
    </cfRule>
    <cfRule type="cellIs" dxfId="14369" priority="3247" operator="greaterThan">
      <formula>1</formula>
    </cfRule>
  </conditionalFormatting>
  <conditionalFormatting sqref="R83">
    <cfRule type="cellIs" dxfId="14368" priority="3244" operator="greaterThan">
      <formula>1</formula>
    </cfRule>
    <cfRule type="cellIs" dxfId="14367" priority="3245" operator="lessThan">
      <formula>0.8</formula>
    </cfRule>
  </conditionalFormatting>
  <conditionalFormatting sqref="P83">
    <cfRule type="cellIs" dxfId="14366" priority="3243" operator="greaterThan">
      <formula>0</formula>
    </cfRule>
  </conditionalFormatting>
  <conditionalFormatting sqref="Q83">
    <cfRule type="cellIs" dxfId="14365" priority="3242" operator="lessThan">
      <formula>0</formula>
    </cfRule>
  </conditionalFormatting>
  <conditionalFormatting sqref="R83">
    <cfRule type="cellIs" dxfId="14364" priority="3240" operator="lessThan">
      <formula>0.8</formula>
    </cfRule>
    <cfRule type="cellIs" dxfId="14363" priority="3241" operator="greaterThan">
      <formula>1</formula>
    </cfRule>
  </conditionalFormatting>
  <conditionalFormatting sqref="R83">
    <cfRule type="cellIs" dxfId="14362" priority="3238" operator="greaterThan">
      <formula>1</formula>
    </cfRule>
    <cfRule type="cellIs" dxfId="14361" priority="3239" operator="lessThan">
      <formula>0.8</formula>
    </cfRule>
  </conditionalFormatting>
  <conditionalFormatting sqref="P83">
    <cfRule type="cellIs" dxfId="14360" priority="3237" operator="greaterThan">
      <formula>0</formula>
    </cfRule>
  </conditionalFormatting>
  <conditionalFormatting sqref="Q83">
    <cfRule type="cellIs" dxfId="14359" priority="3236" operator="lessThan">
      <formula>0</formula>
    </cfRule>
  </conditionalFormatting>
  <conditionalFormatting sqref="R83">
    <cfRule type="cellIs" dxfId="14358" priority="3234" operator="lessThan">
      <formula>0.8</formula>
    </cfRule>
    <cfRule type="cellIs" dxfId="14357" priority="3235" operator="greaterThan">
      <formula>1</formula>
    </cfRule>
  </conditionalFormatting>
  <conditionalFormatting sqref="R83">
    <cfRule type="cellIs" dxfId="14356" priority="3232" operator="greaterThan">
      <formula>1</formula>
    </cfRule>
    <cfRule type="cellIs" dxfId="14355" priority="3233" operator="lessThan">
      <formula>0.8</formula>
    </cfRule>
  </conditionalFormatting>
  <conditionalFormatting sqref="P83">
    <cfRule type="cellIs" dxfId="14354" priority="3231" operator="greaterThan">
      <formula>0</formula>
    </cfRule>
  </conditionalFormatting>
  <conditionalFormatting sqref="Q83">
    <cfRule type="cellIs" dxfId="14353" priority="3230" operator="lessThan">
      <formula>0</formula>
    </cfRule>
  </conditionalFormatting>
  <conditionalFormatting sqref="R83">
    <cfRule type="cellIs" dxfId="14352" priority="3228" operator="lessThan">
      <formula>0.8</formula>
    </cfRule>
    <cfRule type="cellIs" dxfId="14351" priority="3229" operator="greaterThan">
      <formula>1</formula>
    </cfRule>
  </conditionalFormatting>
  <conditionalFormatting sqref="R83">
    <cfRule type="cellIs" dxfId="14350" priority="3226" operator="greaterThan">
      <formula>1</formula>
    </cfRule>
    <cfRule type="cellIs" dxfId="14349" priority="3227" operator="lessThan">
      <formula>0.8</formula>
    </cfRule>
  </conditionalFormatting>
  <conditionalFormatting sqref="P83">
    <cfRule type="cellIs" dxfId="14348" priority="3225" operator="greaterThan">
      <formula>0</formula>
    </cfRule>
  </conditionalFormatting>
  <conditionalFormatting sqref="P83">
    <cfRule type="cellIs" dxfId="14347" priority="3219" operator="greaterThan">
      <formula>0</formula>
    </cfRule>
  </conditionalFormatting>
  <conditionalFormatting sqref="Q83">
    <cfRule type="cellIs" dxfId="14346" priority="3224" operator="lessThan">
      <formula>0</formula>
    </cfRule>
  </conditionalFormatting>
  <conditionalFormatting sqref="R83">
    <cfRule type="cellIs" dxfId="14345" priority="3222" operator="lessThan">
      <formula>0.8</formula>
    </cfRule>
    <cfRule type="cellIs" dxfId="14344" priority="3223" operator="greaterThan">
      <formula>1</formula>
    </cfRule>
  </conditionalFormatting>
  <conditionalFormatting sqref="R83">
    <cfRule type="cellIs" dxfId="14343" priority="3220" operator="greaterThan">
      <formula>1</formula>
    </cfRule>
    <cfRule type="cellIs" dxfId="14342" priority="3221" operator="lessThan">
      <formula>0.8</formula>
    </cfRule>
  </conditionalFormatting>
  <conditionalFormatting sqref="P83">
    <cfRule type="cellIs" dxfId="14341" priority="3213" operator="greaterThan">
      <formula>0</formula>
    </cfRule>
  </conditionalFormatting>
  <conditionalFormatting sqref="Q83">
    <cfRule type="cellIs" dxfId="14340" priority="3218" operator="lessThan">
      <formula>0</formula>
    </cfRule>
  </conditionalFormatting>
  <conditionalFormatting sqref="R83">
    <cfRule type="cellIs" dxfId="14339" priority="3216" operator="lessThan">
      <formula>0.8</formula>
    </cfRule>
    <cfRule type="cellIs" dxfId="14338" priority="3217" operator="greaterThan">
      <formula>1</formula>
    </cfRule>
  </conditionalFormatting>
  <conditionalFormatting sqref="R83">
    <cfRule type="cellIs" dxfId="14337" priority="3214" operator="greaterThan">
      <formula>1</formula>
    </cfRule>
    <cfRule type="cellIs" dxfId="14336" priority="3215" operator="lessThan">
      <formula>0.8</formula>
    </cfRule>
  </conditionalFormatting>
  <conditionalFormatting sqref="R83">
    <cfRule type="cellIs" dxfId="14335" priority="3210" operator="lessThan">
      <formula>0.8</formula>
    </cfRule>
    <cfRule type="cellIs" dxfId="14334" priority="3211" operator="greaterThan">
      <formula>1</formula>
    </cfRule>
  </conditionalFormatting>
  <conditionalFormatting sqref="R83">
    <cfRule type="cellIs" dxfId="14333" priority="3208" operator="greaterThan">
      <formula>1</formula>
    </cfRule>
    <cfRule type="cellIs" dxfId="14332" priority="3209" operator="lessThan">
      <formula>0.8</formula>
    </cfRule>
  </conditionalFormatting>
  <conditionalFormatting sqref="P83">
    <cfRule type="cellIs" dxfId="14331" priority="3207" operator="greaterThan">
      <formula>0</formula>
    </cfRule>
  </conditionalFormatting>
  <conditionalFormatting sqref="Q83">
    <cfRule type="cellIs" dxfId="14330" priority="3212" operator="lessThan">
      <formula>0</formula>
    </cfRule>
  </conditionalFormatting>
  <conditionalFormatting sqref="Q83">
    <cfRule type="cellIs" dxfId="14329" priority="3206" operator="lessThan">
      <formula>0</formula>
    </cfRule>
  </conditionalFormatting>
  <conditionalFormatting sqref="R83">
    <cfRule type="cellIs" dxfId="14328" priority="3204" operator="lessThan">
      <formula>0.8</formula>
    </cfRule>
    <cfRule type="cellIs" dxfId="14327" priority="3205" operator="greaterThan">
      <formula>1</formula>
    </cfRule>
  </conditionalFormatting>
  <conditionalFormatting sqref="R83">
    <cfRule type="cellIs" dxfId="14326" priority="3202" operator="greaterThan">
      <formula>1</formula>
    </cfRule>
    <cfRule type="cellIs" dxfId="14325" priority="3203" operator="lessThan">
      <formula>0.8</formula>
    </cfRule>
  </conditionalFormatting>
  <conditionalFormatting sqref="P83">
    <cfRule type="cellIs" dxfId="14324" priority="3201" operator="greaterThan">
      <formula>0</formula>
    </cfRule>
  </conditionalFormatting>
  <conditionalFormatting sqref="P83">
    <cfRule type="cellIs" dxfId="14323" priority="3195" operator="greaterThan">
      <formula>0</formula>
    </cfRule>
  </conditionalFormatting>
  <conditionalFormatting sqref="Q83">
    <cfRule type="cellIs" dxfId="14322" priority="3200" operator="lessThan">
      <formula>0</formula>
    </cfRule>
  </conditionalFormatting>
  <conditionalFormatting sqref="R83">
    <cfRule type="cellIs" dxfId="14321" priority="3198" operator="lessThan">
      <formula>0.8</formula>
    </cfRule>
    <cfRule type="cellIs" dxfId="14320" priority="3199" operator="greaterThan">
      <formula>1</formula>
    </cfRule>
  </conditionalFormatting>
  <conditionalFormatting sqref="R83">
    <cfRule type="cellIs" dxfId="14319" priority="3196" operator="greaterThan">
      <formula>1</formula>
    </cfRule>
    <cfRule type="cellIs" dxfId="14318" priority="3197" operator="lessThan">
      <formula>0.8</formula>
    </cfRule>
  </conditionalFormatting>
  <conditionalFormatting sqref="P83">
    <cfRule type="cellIs" dxfId="14317" priority="3189" operator="greaterThan">
      <formula>0</formula>
    </cfRule>
  </conditionalFormatting>
  <conditionalFormatting sqref="Q83">
    <cfRule type="cellIs" dxfId="14316" priority="3194" operator="lessThan">
      <formula>0</formula>
    </cfRule>
  </conditionalFormatting>
  <conditionalFormatting sqref="R83">
    <cfRule type="cellIs" dxfId="14315" priority="3192" operator="lessThan">
      <formula>0.8</formula>
    </cfRule>
    <cfRule type="cellIs" dxfId="14314" priority="3193" operator="greaterThan">
      <formula>1</formula>
    </cfRule>
  </conditionalFormatting>
  <conditionalFormatting sqref="R83">
    <cfRule type="cellIs" dxfId="14313" priority="3190" operator="greaterThan">
      <formula>1</formula>
    </cfRule>
    <cfRule type="cellIs" dxfId="14312" priority="3191" operator="lessThan">
      <formula>0.8</formula>
    </cfRule>
  </conditionalFormatting>
  <conditionalFormatting sqref="R83">
    <cfRule type="cellIs" dxfId="14311" priority="3186" operator="lessThan">
      <formula>0.8</formula>
    </cfRule>
    <cfRule type="cellIs" dxfId="14310" priority="3187" operator="greaterThan">
      <formula>1</formula>
    </cfRule>
  </conditionalFormatting>
  <conditionalFormatting sqref="R83">
    <cfRule type="cellIs" dxfId="14309" priority="3184" operator="greaterThan">
      <formula>1</formula>
    </cfRule>
    <cfRule type="cellIs" dxfId="14308" priority="3185" operator="lessThan">
      <formula>0.8</formula>
    </cfRule>
  </conditionalFormatting>
  <conditionalFormatting sqref="P83">
    <cfRule type="cellIs" dxfId="14307" priority="3183" operator="greaterThan">
      <formula>0</formula>
    </cfRule>
  </conditionalFormatting>
  <conditionalFormatting sqref="Q83">
    <cfRule type="cellIs" dxfId="14306" priority="3188" operator="lessThan">
      <formula>0</formula>
    </cfRule>
  </conditionalFormatting>
  <conditionalFormatting sqref="P83">
    <cfRule type="cellIs" dxfId="14305" priority="3177" operator="greaterThan">
      <formula>0</formula>
    </cfRule>
  </conditionalFormatting>
  <conditionalFormatting sqref="Q83">
    <cfRule type="cellIs" dxfId="14304" priority="3182" operator="lessThan">
      <formula>0</formula>
    </cfRule>
  </conditionalFormatting>
  <conditionalFormatting sqref="R83">
    <cfRule type="cellIs" dxfId="14303" priority="3180" operator="lessThan">
      <formula>0.8</formula>
    </cfRule>
    <cfRule type="cellIs" dxfId="14302" priority="3181" operator="greaterThan">
      <formula>1</formula>
    </cfRule>
  </conditionalFormatting>
  <conditionalFormatting sqref="R83">
    <cfRule type="cellIs" dxfId="14301" priority="3178" operator="greaterThan">
      <formula>1</formula>
    </cfRule>
    <cfRule type="cellIs" dxfId="14300" priority="3179" operator="lessThan">
      <formula>0.8</formula>
    </cfRule>
  </conditionalFormatting>
  <conditionalFormatting sqref="R83">
    <cfRule type="cellIs" dxfId="14299" priority="3174" operator="lessThan">
      <formula>0.8</formula>
    </cfRule>
    <cfRule type="cellIs" dxfId="14298" priority="3175" operator="greaterThan">
      <formula>1</formula>
    </cfRule>
  </conditionalFormatting>
  <conditionalFormatting sqref="R83">
    <cfRule type="cellIs" dxfId="14297" priority="3172" operator="greaterThan">
      <formula>1</formula>
    </cfRule>
    <cfRule type="cellIs" dxfId="14296" priority="3173" operator="lessThan">
      <formula>0.8</formula>
    </cfRule>
  </conditionalFormatting>
  <conditionalFormatting sqref="P83">
    <cfRule type="cellIs" dxfId="14295" priority="3171" operator="greaterThan">
      <formula>0</formula>
    </cfRule>
  </conditionalFormatting>
  <conditionalFormatting sqref="Q83">
    <cfRule type="cellIs" dxfId="14294" priority="3176" operator="lessThan">
      <formula>0</formula>
    </cfRule>
  </conditionalFormatting>
  <conditionalFormatting sqref="R83">
    <cfRule type="cellIs" dxfId="14293" priority="3168" operator="lessThan">
      <formula>0.8</formula>
    </cfRule>
    <cfRule type="cellIs" dxfId="14292" priority="3169" operator="greaterThan">
      <formula>1</formula>
    </cfRule>
  </conditionalFormatting>
  <conditionalFormatting sqref="R83">
    <cfRule type="cellIs" dxfId="14291" priority="3166" operator="greaterThan">
      <formula>1</formula>
    </cfRule>
    <cfRule type="cellIs" dxfId="14290" priority="3167" operator="lessThan">
      <formula>0.8</formula>
    </cfRule>
  </conditionalFormatting>
  <conditionalFormatting sqref="P83">
    <cfRule type="cellIs" dxfId="14289" priority="3165" operator="greaterThan">
      <formula>0</formula>
    </cfRule>
  </conditionalFormatting>
  <conditionalFormatting sqref="Q83">
    <cfRule type="cellIs" dxfId="14288" priority="3170" operator="lessThan">
      <formula>0</formula>
    </cfRule>
  </conditionalFormatting>
  <conditionalFormatting sqref="Q83">
    <cfRule type="cellIs" dxfId="14287" priority="3164" operator="lessThan">
      <formula>0</formula>
    </cfRule>
  </conditionalFormatting>
  <conditionalFormatting sqref="R83">
    <cfRule type="cellIs" dxfId="14286" priority="3162" operator="lessThan">
      <formula>0.8</formula>
    </cfRule>
    <cfRule type="cellIs" dxfId="14285" priority="3163" operator="greaterThan">
      <formula>1</formula>
    </cfRule>
  </conditionalFormatting>
  <conditionalFormatting sqref="R83">
    <cfRule type="cellIs" dxfId="14284" priority="3160" operator="greaterThan">
      <formula>1</formula>
    </cfRule>
    <cfRule type="cellIs" dxfId="14283" priority="3161" operator="lessThan">
      <formula>0.8</formula>
    </cfRule>
  </conditionalFormatting>
  <conditionalFormatting sqref="P83">
    <cfRule type="cellIs" dxfId="14282" priority="3159" operator="greaterThan">
      <formula>0</formula>
    </cfRule>
  </conditionalFormatting>
  <conditionalFormatting sqref="Q83">
    <cfRule type="cellIs" dxfId="14281" priority="3153" operator="lessThan">
      <formula>0</formula>
    </cfRule>
  </conditionalFormatting>
  <conditionalFormatting sqref="R83">
    <cfRule type="cellIs" dxfId="14280" priority="3157" operator="lessThan">
      <formula>0.8</formula>
    </cfRule>
    <cfRule type="cellIs" dxfId="14279" priority="3158" operator="greaterThan">
      <formula>1</formula>
    </cfRule>
  </conditionalFormatting>
  <conditionalFormatting sqref="R83">
    <cfRule type="cellIs" dxfId="14278" priority="3155" operator="greaterThan">
      <formula>1</formula>
    </cfRule>
    <cfRule type="cellIs" dxfId="14277" priority="3156" operator="lessThan">
      <formula>0.8</formula>
    </cfRule>
  </conditionalFormatting>
  <conditionalFormatting sqref="P83">
    <cfRule type="cellIs" dxfId="14276" priority="3154" operator="greaterThan">
      <formula>0</formula>
    </cfRule>
  </conditionalFormatting>
  <conditionalFormatting sqref="Q83">
    <cfRule type="cellIs" dxfId="14275" priority="3152" operator="lessThan">
      <formula>0</formula>
    </cfRule>
  </conditionalFormatting>
  <conditionalFormatting sqref="R83">
    <cfRule type="cellIs" dxfId="14274" priority="3150" operator="lessThan">
      <formula>0.8</formula>
    </cfRule>
    <cfRule type="cellIs" dxfId="14273" priority="3151" operator="greaterThan">
      <formula>1</formula>
    </cfRule>
  </conditionalFormatting>
  <conditionalFormatting sqref="R83">
    <cfRule type="cellIs" dxfId="14272" priority="3148" operator="greaterThan">
      <formula>1</formula>
    </cfRule>
    <cfRule type="cellIs" dxfId="14271" priority="3149" operator="lessThan">
      <formula>0.8</formula>
    </cfRule>
  </conditionalFormatting>
  <conditionalFormatting sqref="P83">
    <cfRule type="cellIs" dxfId="14270" priority="3147" operator="greaterThan">
      <formula>0</formula>
    </cfRule>
  </conditionalFormatting>
  <conditionalFormatting sqref="Q83">
    <cfRule type="cellIs" dxfId="14269" priority="3146" operator="lessThan">
      <formula>0</formula>
    </cfRule>
  </conditionalFormatting>
  <conditionalFormatting sqref="R83">
    <cfRule type="cellIs" dxfId="14268" priority="3144" operator="lessThan">
      <formula>0.8</formula>
    </cfRule>
    <cfRule type="cellIs" dxfId="14267" priority="3145" operator="greaterThan">
      <formula>1</formula>
    </cfRule>
  </conditionalFormatting>
  <conditionalFormatting sqref="R83">
    <cfRule type="cellIs" dxfId="14266" priority="3142" operator="greaterThan">
      <formula>1</formula>
    </cfRule>
    <cfRule type="cellIs" dxfId="14265" priority="3143" operator="lessThan">
      <formula>0.8</formula>
    </cfRule>
  </conditionalFormatting>
  <conditionalFormatting sqref="P83">
    <cfRule type="cellIs" dxfId="14264" priority="3141" operator="greaterThan">
      <formula>0</formula>
    </cfRule>
  </conditionalFormatting>
  <conditionalFormatting sqref="Q83">
    <cfRule type="cellIs" dxfId="14263" priority="3140" operator="lessThan">
      <formula>0</formula>
    </cfRule>
  </conditionalFormatting>
  <conditionalFormatting sqref="R83">
    <cfRule type="cellIs" dxfId="14262" priority="3138" operator="lessThan">
      <formula>0.8</formula>
    </cfRule>
    <cfRule type="cellIs" dxfId="14261" priority="3139" operator="greaterThan">
      <formula>1</formula>
    </cfRule>
  </conditionalFormatting>
  <conditionalFormatting sqref="R83">
    <cfRule type="cellIs" dxfId="14260" priority="3136" operator="greaterThan">
      <formula>1</formula>
    </cfRule>
    <cfRule type="cellIs" dxfId="14259" priority="3137" operator="lessThan">
      <formula>0.8</formula>
    </cfRule>
  </conditionalFormatting>
  <conditionalFormatting sqref="P83">
    <cfRule type="cellIs" dxfId="14258" priority="3135" operator="greaterThan">
      <formula>0</formula>
    </cfRule>
  </conditionalFormatting>
  <conditionalFormatting sqref="Q83">
    <cfRule type="cellIs" dxfId="14257" priority="3134" operator="lessThan">
      <formula>0</formula>
    </cfRule>
  </conditionalFormatting>
  <conditionalFormatting sqref="R83">
    <cfRule type="cellIs" dxfId="14256" priority="3132" operator="lessThan">
      <formula>0.8</formula>
    </cfRule>
    <cfRule type="cellIs" dxfId="14255" priority="3133" operator="greaterThan">
      <formula>1</formula>
    </cfRule>
  </conditionalFormatting>
  <conditionalFormatting sqref="R83">
    <cfRule type="cellIs" dxfId="14254" priority="3130" operator="greaterThan">
      <formula>1</formula>
    </cfRule>
    <cfRule type="cellIs" dxfId="14253" priority="3131" operator="lessThan">
      <formula>0.8</formula>
    </cfRule>
  </conditionalFormatting>
  <conditionalFormatting sqref="P83">
    <cfRule type="cellIs" dxfId="14252" priority="3129" operator="greaterThan">
      <formula>0</formula>
    </cfRule>
  </conditionalFormatting>
  <conditionalFormatting sqref="Q83">
    <cfRule type="cellIs" dxfId="14251" priority="3128" operator="lessThan">
      <formula>0</formula>
    </cfRule>
  </conditionalFormatting>
  <conditionalFormatting sqref="R83">
    <cfRule type="cellIs" dxfId="14250" priority="3126" operator="lessThan">
      <formula>0.8</formula>
    </cfRule>
    <cfRule type="cellIs" dxfId="14249" priority="3127" operator="greaterThan">
      <formula>1</formula>
    </cfRule>
  </conditionalFormatting>
  <conditionalFormatting sqref="R83">
    <cfRule type="cellIs" dxfId="14248" priority="3124" operator="greaterThan">
      <formula>1</formula>
    </cfRule>
    <cfRule type="cellIs" dxfId="14247" priority="3125" operator="lessThan">
      <formula>0.8</formula>
    </cfRule>
  </conditionalFormatting>
  <conditionalFormatting sqref="P83">
    <cfRule type="cellIs" dxfId="14246" priority="3123" operator="greaterThan">
      <formula>0</formula>
    </cfRule>
  </conditionalFormatting>
  <conditionalFormatting sqref="P83">
    <cfRule type="cellIs" dxfId="14245" priority="3117" operator="greaterThan">
      <formula>0</formula>
    </cfRule>
  </conditionalFormatting>
  <conditionalFormatting sqref="Q83">
    <cfRule type="cellIs" dxfId="14244" priority="3122" operator="lessThan">
      <formula>0</formula>
    </cfRule>
  </conditionalFormatting>
  <conditionalFormatting sqref="R83">
    <cfRule type="cellIs" dxfId="14243" priority="3120" operator="lessThan">
      <formula>0.8</formula>
    </cfRule>
    <cfRule type="cellIs" dxfId="14242" priority="3121" operator="greaterThan">
      <formula>1</formula>
    </cfRule>
  </conditionalFormatting>
  <conditionalFormatting sqref="R83">
    <cfRule type="cellIs" dxfId="14241" priority="3118" operator="greaterThan">
      <formula>1</formula>
    </cfRule>
    <cfRule type="cellIs" dxfId="14240" priority="3119" operator="lessThan">
      <formula>0.8</formula>
    </cfRule>
  </conditionalFormatting>
  <conditionalFormatting sqref="P83">
    <cfRule type="cellIs" dxfId="14239" priority="3111" operator="greaterThan">
      <formula>0</formula>
    </cfRule>
  </conditionalFormatting>
  <conditionalFormatting sqref="Q83">
    <cfRule type="cellIs" dxfId="14238" priority="3116" operator="lessThan">
      <formula>0</formula>
    </cfRule>
  </conditionalFormatting>
  <conditionalFormatting sqref="R83">
    <cfRule type="cellIs" dxfId="14237" priority="3114" operator="lessThan">
      <formula>0.8</formula>
    </cfRule>
    <cfRule type="cellIs" dxfId="14236" priority="3115" operator="greaterThan">
      <formula>1</formula>
    </cfRule>
  </conditionalFormatting>
  <conditionalFormatting sqref="R83">
    <cfRule type="cellIs" dxfId="14235" priority="3112" operator="greaterThan">
      <formula>1</formula>
    </cfRule>
    <cfRule type="cellIs" dxfId="14234" priority="3113" operator="lessThan">
      <formula>0.8</formula>
    </cfRule>
  </conditionalFormatting>
  <conditionalFormatting sqref="R83">
    <cfRule type="cellIs" dxfId="14233" priority="3108" operator="lessThan">
      <formula>0.8</formula>
    </cfRule>
    <cfRule type="cellIs" dxfId="14232" priority="3109" operator="greaterThan">
      <formula>1</formula>
    </cfRule>
  </conditionalFormatting>
  <conditionalFormatting sqref="R83">
    <cfRule type="cellIs" dxfId="14231" priority="3106" operator="greaterThan">
      <formula>1</formula>
    </cfRule>
    <cfRule type="cellIs" dxfId="14230" priority="3107" operator="lessThan">
      <formula>0.8</formula>
    </cfRule>
  </conditionalFormatting>
  <conditionalFormatting sqref="P83">
    <cfRule type="cellIs" dxfId="14229" priority="3105" operator="greaterThan">
      <formula>0</formula>
    </cfRule>
  </conditionalFormatting>
  <conditionalFormatting sqref="Q83">
    <cfRule type="cellIs" dxfId="14228" priority="3110" operator="lessThan">
      <formula>0</formula>
    </cfRule>
  </conditionalFormatting>
  <conditionalFormatting sqref="Q83">
    <cfRule type="cellIs" dxfId="14227" priority="3099" operator="lessThan">
      <formula>0</formula>
    </cfRule>
  </conditionalFormatting>
  <conditionalFormatting sqref="P83">
    <cfRule type="cellIs" dxfId="14226" priority="3100" operator="greaterThan">
      <formula>0</formula>
    </cfRule>
  </conditionalFormatting>
  <conditionalFormatting sqref="R83">
    <cfRule type="cellIs" dxfId="14225" priority="3103" operator="lessThan">
      <formula>0.8</formula>
    </cfRule>
    <cfRule type="cellIs" dxfId="14224" priority="3104" operator="greaterThan">
      <formula>1</formula>
    </cfRule>
  </conditionalFormatting>
  <conditionalFormatting sqref="R83">
    <cfRule type="cellIs" dxfId="14223" priority="3101" operator="greaterThan">
      <formula>1</formula>
    </cfRule>
    <cfRule type="cellIs" dxfId="14222" priority="3102" operator="lessThan">
      <formula>0.8</formula>
    </cfRule>
  </conditionalFormatting>
  <conditionalFormatting sqref="Q83">
    <cfRule type="cellIs" dxfId="14221" priority="3093" operator="lessThan">
      <formula>0</formula>
    </cfRule>
  </conditionalFormatting>
  <conditionalFormatting sqref="R83">
    <cfRule type="cellIs" dxfId="14220" priority="3097" operator="lessThan">
      <formula>0.8</formula>
    </cfRule>
    <cfRule type="cellIs" dxfId="14219" priority="3098" operator="greaterThan">
      <formula>1</formula>
    </cfRule>
  </conditionalFormatting>
  <conditionalFormatting sqref="R83">
    <cfRule type="cellIs" dxfId="14218" priority="3095" operator="greaterThan">
      <formula>1</formula>
    </cfRule>
    <cfRule type="cellIs" dxfId="14217" priority="3096" operator="lessThan">
      <formula>0.8</formula>
    </cfRule>
  </conditionalFormatting>
  <conditionalFormatting sqref="P83">
    <cfRule type="cellIs" dxfId="14216" priority="3094" operator="greaterThan">
      <formula>0</formula>
    </cfRule>
  </conditionalFormatting>
  <conditionalFormatting sqref="Q83">
    <cfRule type="cellIs" dxfId="14215" priority="3092" operator="lessThan">
      <formula>0</formula>
    </cfRule>
  </conditionalFormatting>
  <conditionalFormatting sqref="R83">
    <cfRule type="cellIs" dxfId="14214" priority="3090" operator="lessThan">
      <formula>0.8</formula>
    </cfRule>
    <cfRule type="cellIs" dxfId="14213" priority="3091" operator="greaterThan">
      <formula>1</formula>
    </cfRule>
  </conditionalFormatting>
  <conditionalFormatting sqref="R83">
    <cfRule type="cellIs" dxfId="14212" priority="3088" operator="greaterThan">
      <formula>1</formula>
    </cfRule>
    <cfRule type="cellIs" dxfId="14211" priority="3089" operator="lessThan">
      <formula>0.8</formula>
    </cfRule>
  </conditionalFormatting>
  <conditionalFormatting sqref="P83">
    <cfRule type="cellIs" dxfId="14210" priority="3087" operator="greaterThan">
      <formula>0</formula>
    </cfRule>
  </conditionalFormatting>
  <conditionalFormatting sqref="Q83">
    <cfRule type="cellIs" dxfId="14209" priority="3086" operator="lessThan">
      <formula>0</formula>
    </cfRule>
  </conditionalFormatting>
  <conditionalFormatting sqref="R83">
    <cfRule type="cellIs" dxfId="14208" priority="3084" operator="lessThan">
      <formula>0.8</formula>
    </cfRule>
    <cfRule type="cellIs" dxfId="14207" priority="3085" operator="greaterThan">
      <formula>1</formula>
    </cfRule>
  </conditionalFormatting>
  <conditionalFormatting sqref="R83">
    <cfRule type="cellIs" dxfId="14206" priority="3082" operator="greaterThan">
      <formula>1</formula>
    </cfRule>
    <cfRule type="cellIs" dxfId="14205" priority="3083" operator="lessThan">
      <formula>0.8</formula>
    </cfRule>
  </conditionalFormatting>
  <conditionalFormatting sqref="P83">
    <cfRule type="cellIs" dxfId="14204" priority="3081" operator="greaterThan">
      <formula>0</formula>
    </cfRule>
  </conditionalFormatting>
  <conditionalFormatting sqref="Q83">
    <cfRule type="cellIs" dxfId="14203" priority="3080" operator="lessThan">
      <formula>0</formula>
    </cfRule>
  </conditionalFormatting>
  <conditionalFormatting sqref="R83">
    <cfRule type="cellIs" dxfId="14202" priority="3078" operator="lessThan">
      <formula>0.8</formula>
    </cfRule>
    <cfRule type="cellIs" dxfId="14201" priority="3079" operator="greaterThan">
      <formula>1</formula>
    </cfRule>
  </conditionalFormatting>
  <conditionalFormatting sqref="R83">
    <cfRule type="cellIs" dxfId="14200" priority="3076" operator="greaterThan">
      <formula>1</formula>
    </cfRule>
    <cfRule type="cellIs" dxfId="14199" priority="3077" operator="lessThan">
      <formula>0.8</formula>
    </cfRule>
  </conditionalFormatting>
  <conditionalFormatting sqref="P83">
    <cfRule type="cellIs" dxfId="14198" priority="3075" operator="greaterThan">
      <formula>0</formula>
    </cfRule>
  </conditionalFormatting>
  <conditionalFormatting sqref="Q83">
    <cfRule type="cellIs" dxfId="14197" priority="3074" operator="lessThan">
      <formula>0</formula>
    </cfRule>
  </conditionalFormatting>
  <conditionalFormatting sqref="R83">
    <cfRule type="cellIs" dxfId="14196" priority="3072" operator="lessThan">
      <formula>0.8</formula>
    </cfRule>
    <cfRule type="cellIs" dxfId="14195" priority="3073" operator="greaterThan">
      <formula>1</formula>
    </cfRule>
  </conditionalFormatting>
  <conditionalFormatting sqref="R83">
    <cfRule type="cellIs" dxfId="14194" priority="3070" operator="greaterThan">
      <formula>1</formula>
    </cfRule>
    <cfRule type="cellIs" dxfId="14193" priority="3071" operator="lessThan">
      <formula>0.8</formula>
    </cfRule>
  </conditionalFormatting>
  <conditionalFormatting sqref="P83">
    <cfRule type="cellIs" dxfId="14192" priority="3069" operator="greaterThan">
      <formula>0</formula>
    </cfRule>
  </conditionalFormatting>
  <conditionalFormatting sqref="Q83">
    <cfRule type="cellIs" dxfId="14191" priority="3068" operator="lessThan">
      <formula>0</formula>
    </cfRule>
  </conditionalFormatting>
  <conditionalFormatting sqref="R83">
    <cfRule type="cellIs" dxfId="14190" priority="3066" operator="lessThan">
      <formula>0.8</formula>
    </cfRule>
    <cfRule type="cellIs" dxfId="14189" priority="3067" operator="greaterThan">
      <formula>1</formula>
    </cfRule>
  </conditionalFormatting>
  <conditionalFormatting sqref="R83">
    <cfRule type="cellIs" dxfId="14188" priority="3064" operator="greaterThan">
      <formula>1</formula>
    </cfRule>
    <cfRule type="cellIs" dxfId="14187" priority="3065" operator="lessThan">
      <formula>0.8</formula>
    </cfRule>
  </conditionalFormatting>
  <conditionalFormatting sqref="P83">
    <cfRule type="cellIs" dxfId="14186" priority="3063" operator="greaterThan">
      <formula>0</formula>
    </cfRule>
  </conditionalFormatting>
  <conditionalFormatting sqref="Q83">
    <cfRule type="cellIs" dxfId="14185" priority="3062" operator="lessThan">
      <formula>0</formula>
    </cfRule>
  </conditionalFormatting>
  <conditionalFormatting sqref="R83">
    <cfRule type="cellIs" dxfId="14184" priority="3060" operator="lessThan">
      <formula>0.8</formula>
    </cfRule>
    <cfRule type="cellIs" dxfId="14183" priority="3061" operator="greaterThan">
      <formula>1</formula>
    </cfRule>
  </conditionalFormatting>
  <conditionalFormatting sqref="R83">
    <cfRule type="cellIs" dxfId="14182" priority="3058" operator="greaterThan">
      <formula>1</formula>
    </cfRule>
    <cfRule type="cellIs" dxfId="14181" priority="3059" operator="lessThan">
      <formula>0.8</formula>
    </cfRule>
  </conditionalFormatting>
  <conditionalFormatting sqref="P83">
    <cfRule type="cellIs" dxfId="14180" priority="3057" operator="greaterThan">
      <formula>0</formula>
    </cfRule>
  </conditionalFormatting>
  <conditionalFormatting sqref="Q83">
    <cfRule type="cellIs" dxfId="14179" priority="3056" operator="lessThan">
      <formula>0</formula>
    </cfRule>
  </conditionalFormatting>
  <conditionalFormatting sqref="R83">
    <cfRule type="cellIs" dxfId="14178" priority="3054" operator="lessThan">
      <formula>0.8</formula>
    </cfRule>
    <cfRule type="cellIs" dxfId="14177" priority="3055" operator="greaterThan">
      <formula>1</formula>
    </cfRule>
  </conditionalFormatting>
  <conditionalFormatting sqref="R83">
    <cfRule type="cellIs" dxfId="14176" priority="3052" operator="greaterThan">
      <formula>1</formula>
    </cfRule>
    <cfRule type="cellIs" dxfId="14175" priority="3053" operator="lessThan">
      <formula>0.8</formula>
    </cfRule>
  </conditionalFormatting>
  <conditionalFormatting sqref="P83">
    <cfRule type="cellIs" dxfId="14174" priority="3051" operator="greaterThan">
      <formula>0</formula>
    </cfRule>
  </conditionalFormatting>
  <conditionalFormatting sqref="P83">
    <cfRule type="cellIs" dxfId="14173" priority="3045" operator="greaterThan">
      <formula>0</formula>
    </cfRule>
  </conditionalFormatting>
  <conditionalFormatting sqref="Q83">
    <cfRule type="cellIs" dxfId="14172" priority="3050" operator="lessThan">
      <formula>0</formula>
    </cfRule>
  </conditionalFormatting>
  <conditionalFormatting sqref="R83">
    <cfRule type="cellIs" dxfId="14171" priority="3048" operator="lessThan">
      <formula>0.8</formula>
    </cfRule>
    <cfRule type="cellIs" dxfId="14170" priority="3049" operator="greaterThan">
      <formula>1</formula>
    </cfRule>
  </conditionalFormatting>
  <conditionalFormatting sqref="R83">
    <cfRule type="cellIs" dxfId="14169" priority="3046" operator="greaterThan">
      <formula>1</formula>
    </cfRule>
    <cfRule type="cellIs" dxfId="14168" priority="3047" operator="lessThan">
      <formula>0.8</formula>
    </cfRule>
  </conditionalFormatting>
  <conditionalFormatting sqref="P83">
    <cfRule type="cellIs" dxfId="14167" priority="3039" operator="greaterThan">
      <formula>0</formula>
    </cfRule>
  </conditionalFormatting>
  <conditionalFormatting sqref="Q83">
    <cfRule type="cellIs" dxfId="14166" priority="3044" operator="lessThan">
      <formula>0</formula>
    </cfRule>
  </conditionalFormatting>
  <conditionalFormatting sqref="R83">
    <cfRule type="cellIs" dxfId="14165" priority="3042" operator="lessThan">
      <formula>0.8</formula>
    </cfRule>
    <cfRule type="cellIs" dxfId="14164" priority="3043" operator="greaterThan">
      <formula>1</formula>
    </cfRule>
  </conditionalFormatting>
  <conditionalFormatting sqref="R83">
    <cfRule type="cellIs" dxfId="14163" priority="3040" operator="greaterThan">
      <formula>1</formula>
    </cfRule>
    <cfRule type="cellIs" dxfId="14162" priority="3041" operator="lessThan">
      <formula>0.8</formula>
    </cfRule>
  </conditionalFormatting>
  <conditionalFormatting sqref="R83">
    <cfRule type="cellIs" dxfId="14161" priority="3036" operator="lessThan">
      <formula>0.8</formula>
    </cfRule>
    <cfRule type="cellIs" dxfId="14160" priority="3037" operator="greaterThan">
      <formula>1</formula>
    </cfRule>
  </conditionalFormatting>
  <conditionalFormatting sqref="R83">
    <cfRule type="cellIs" dxfId="14159" priority="3034" operator="greaterThan">
      <formula>1</formula>
    </cfRule>
    <cfRule type="cellIs" dxfId="14158" priority="3035" operator="lessThan">
      <formula>0.8</formula>
    </cfRule>
  </conditionalFormatting>
  <conditionalFormatting sqref="P83">
    <cfRule type="cellIs" dxfId="14157" priority="3033" operator="greaterThan">
      <formula>0</formula>
    </cfRule>
  </conditionalFormatting>
  <conditionalFormatting sqref="Q83">
    <cfRule type="cellIs" dxfId="14156" priority="3038" operator="lessThan">
      <formula>0</formula>
    </cfRule>
  </conditionalFormatting>
  <conditionalFormatting sqref="Q83">
    <cfRule type="cellIs" dxfId="14155" priority="3032" operator="lessThan">
      <formula>0</formula>
    </cfRule>
  </conditionalFormatting>
  <conditionalFormatting sqref="R83">
    <cfRule type="cellIs" dxfId="14154" priority="3030" operator="lessThan">
      <formula>0.8</formula>
    </cfRule>
    <cfRule type="cellIs" dxfId="14153" priority="3031" operator="greaterThan">
      <formula>1</formula>
    </cfRule>
  </conditionalFormatting>
  <conditionalFormatting sqref="R83">
    <cfRule type="cellIs" dxfId="14152" priority="3028" operator="greaterThan">
      <formula>1</formula>
    </cfRule>
    <cfRule type="cellIs" dxfId="14151" priority="3029" operator="lessThan">
      <formula>0.8</formula>
    </cfRule>
  </conditionalFormatting>
  <conditionalFormatting sqref="P83">
    <cfRule type="cellIs" dxfId="14150" priority="3027" operator="greaterThan">
      <formula>0</formula>
    </cfRule>
  </conditionalFormatting>
  <conditionalFormatting sqref="P83">
    <cfRule type="cellIs" dxfId="14149" priority="3021" operator="greaterThan">
      <formula>0</formula>
    </cfRule>
  </conditionalFormatting>
  <conditionalFormatting sqref="Q83">
    <cfRule type="cellIs" dxfId="14148" priority="3026" operator="lessThan">
      <formula>0</formula>
    </cfRule>
  </conditionalFormatting>
  <conditionalFormatting sqref="R83">
    <cfRule type="cellIs" dxfId="14147" priority="3024" operator="lessThan">
      <formula>0.8</formula>
    </cfRule>
    <cfRule type="cellIs" dxfId="14146" priority="3025" operator="greaterThan">
      <formula>1</formula>
    </cfRule>
  </conditionalFormatting>
  <conditionalFormatting sqref="R83">
    <cfRule type="cellIs" dxfId="14145" priority="3022" operator="greaterThan">
      <formula>1</formula>
    </cfRule>
    <cfRule type="cellIs" dxfId="14144" priority="3023" operator="lessThan">
      <formula>0.8</formula>
    </cfRule>
  </conditionalFormatting>
  <conditionalFormatting sqref="P83">
    <cfRule type="cellIs" dxfId="14143" priority="3015" operator="greaterThan">
      <formula>0</formula>
    </cfRule>
  </conditionalFormatting>
  <conditionalFormatting sqref="Q83">
    <cfRule type="cellIs" dxfId="14142" priority="3020" operator="lessThan">
      <formula>0</formula>
    </cfRule>
  </conditionalFormatting>
  <conditionalFormatting sqref="R83">
    <cfRule type="cellIs" dxfId="14141" priority="3018" operator="lessThan">
      <formula>0.8</formula>
    </cfRule>
    <cfRule type="cellIs" dxfId="14140" priority="3019" operator="greaterThan">
      <formula>1</formula>
    </cfRule>
  </conditionalFormatting>
  <conditionalFormatting sqref="R83">
    <cfRule type="cellIs" dxfId="14139" priority="3016" operator="greaterThan">
      <formula>1</formula>
    </cfRule>
    <cfRule type="cellIs" dxfId="14138" priority="3017" operator="lessThan">
      <formula>0.8</formula>
    </cfRule>
  </conditionalFormatting>
  <conditionalFormatting sqref="R83">
    <cfRule type="cellIs" dxfId="14137" priority="3012" operator="lessThan">
      <formula>0.8</formula>
    </cfRule>
    <cfRule type="cellIs" dxfId="14136" priority="3013" operator="greaterThan">
      <formula>1</formula>
    </cfRule>
  </conditionalFormatting>
  <conditionalFormatting sqref="R83">
    <cfRule type="cellIs" dxfId="14135" priority="3010" operator="greaterThan">
      <formula>1</formula>
    </cfRule>
    <cfRule type="cellIs" dxfId="14134" priority="3011" operator="lessThan">
      <formula>0.8</formula>
    </cfRule>
  </conditionalFormatting>
  <conditionalFormatting sqref="P83">
    <cfRule type="cellIs" dxfId="14133" priority="3009" operator="greaterThan">
      <formula>0</formula>
    </cfRule>
  </conditionalFormatting>
  <conditionalFormatting sqref="Q83">
    <cfRule type="cellIs" dxfId="14132" priority="3014" operator="lessThan">
      <formula>0</formula>
    </cfRule>
  </conditionalFormatting>
  <conditionalFormatting sqref="P83">
    <cfRule type="cellIs" dxfId="14131" priority="3003" operator="greaterThan">
      <formula>0</formula>
    </cfRule>
  </conditionalFormatting>
  <conditionalFormatting sqref="Q83">
    <cfRule type="cellIs" dxfId="14130" priority="3008" operator="lessThan">
      <formula>0</formula>
    </cfRule>
  </conditionalFormatting>
  <conditionalFormatting sqref="R83">
    <cfRule type="cellIs" dxfId="14129" priority="3006" operator="lessThan">
      <formula>0.8</formula>
    </cfRule>
    <cfRule type="cellIs" dxfId="14128" priority="3007" operator="greaterThan">
      <formula>1</formula>
    </cfRule>
  </conditionalFormatting>
  <conditionalFormatting sqref="R83">
    <cfRule type="cellIs" dxfId="14127" priority="3004" operator="greaterThan">
      <formula>1</formula>
    </cfRule>
    <cfRule type="cellIs" dxfId="14126" priority="3005" operator="lessThan">
      <formula>0.8</formula>
    </cfRule>
  </conditionalFormatting>
  <conditionalFormatting sqref="R83">
    <cfRule type="cellIs" dxfId="14125" priority="3000" operator="lessThan">
      <formula>0.8</formula>
    </cfRule>
    <cfRule type="cellIs" dxfId="14124" priority="3001" operator="greaterThan">
      <formula>1</formula>
    </cfRule>
  </conditionalFormatting>
  <conditionalFormatting sqref="R83">
    <cfRule type="cellIs" dxfId="14123" priority="2998" operator="greaterThan">
      <formula>1</formula>
    </cfRule>
    <cfRule type="cellIs" dxfId="14122" priority="2999" operator="lessThan">
      <formula>0.8</formula>
    </cfRule>
  </conditionalFormatting>
  <conditionalFormatting sqref="P83">
    <cfRule type="cellIs" dxfId="14121" priority="2997" operator="greaterThan">
      <formula>0</formula>
    </cfRule>
  </conditionalFormatting>
  <conditionalFormatting sqref="Q83">
    <cfRule type="cellIs" dxfId="14120" priority="3002" operator="lessThan">
      <formula>0</formula>
    </cfRule>
  </conditionalFormatting>
  <conditionalFormatting sqref="R83">
    <cfRule type="cellIs" dxfId="14119" priority="2994" operator="lessThan">
      <formula>0.8</formula>
    </cfRule>
    <cfRule type="cellIs" dxfId="14118" priority="2995" operator="greaterThan">
      <formula>1</formula>
    </cfRule>
  </conditionalFormatting>
  <conditionalFormatting sqref="R83">
    <cfRule type="cellIs" dxfId="14117" priority="2992" operator="greaterThan">
      <formula>1</formula>
    </cfRule>
    <cfRule type="cellIs" dxfId="14116" priority="2993" operator="lessThan">
      <formula>0.8</formula>
    </cfRule>
  </conditionalFormatting>
  <conditionalFormatting sqref="P83">
    <cfRule type="cellIs" dxfId="14115" priority="2991" operator="greaterThan">
      <formula>0</formula>
    </cfRule>
  </conditionalFormatting>
  <conditionalFormatting sqref="Q83">
    <cfRule type="cellIs" dxfId="14114" priority="2996" operator="lessThan">
      <formula>0</formula>
    </cfRule>
  </conditionalFormatting>
  <conditionalFormatting sqref="Q83">
    <cfRule type="cellIs" dxfId="14113" priority="2990" operator="lessThan">
      <formula>0</formula>
    </cfRule>
  </conditionalFormatting>
  <conditionalFormatting sqref="R83">
    <cfRule type="cellIs" dxfId="14112" priority="2988" operator="lessThan">
      <formula>0.8</formula>
    </cfRule>
    <cfRule type="cellIs" dxfId="14111" priority="2989" operator="greaterThan">
      <formula>1</formula>
    </cfRule>
  </conditionalFormatting>
  <conditionalFormatting sqref="R83">
    <cfRule type="cellIs" dxfId="14110" priority="2986" operator="greaterThan">
      <formula>1</formula>
    </cfRule>
    <cfRule type="cellIs" dxfId="14109" priority="2987" operator="lessThan">
      <formula>0.8</formula>
    </cfRule>
  </conditionalFormatting>
  <conditionalFormatting sqref="P83">
    <cfRule type="cellIs" dxfId="14108" priority="2985" operator="greaterThan">
      <formula>0</formula>
    </cfRule>
  </conditionalFormatting>
  <conditionalFormatting sqref="Q83">
    <cfRule type="cellIs" dxfId="14107" priority="2979" operator="lessThan">
      <formula>0</formula>
    </cfRule>
  </conditionalFormatting>
  <conditionalFormatting sqref="R83">
    <cfRule type="cellIs" dxfId="14106" priority="2983" operator="lessThan">
      <formula>0.8</formula>
    </cfRule>
    <cfRule type="cellIs" dxfId="14105" priority="2984" operator="greaterThan">
      <formula>1</formula>
    </cfRule>
  </conditionalFormatting>
  <conditionalFormatting sqref="R83">
    <cfRule type="cellIs" dxfId="14104" priority="2981" operator="greaterThan">
      <formula>1</formula>
    </cfRule>
    <cfRule type="cellIs" dxfId="14103" priority="2982" operator="lessThan">
      <formula>0.8</formula>
    </cfRule>
  </conditionalFormatting>
  <conditionalFormatting sqref="P83">
    <cfRule type="cellIs" dxfId="14102" priority="2980" operator="greaterThan">
      <formula>0</formula>
    </cfRule>
  </conditionalFormatting>
  <conditionalFormatting sqref="Q83">
    <cfRule type="cellIs" dxfId="14101" priority="2978" operator="lessThan">
      <formula>0</formula>
    </cfRule>
  </conditionalFormatting>
  <conditionalFormatting sqref="R83">
    <cfRule type="cellIs" dxfId="14100" priority="2976" operator="lessThan">
      <formula>0.8</formula>
    </cfRule>
    <cfRule type="cellIs" dxfId="14099" priority="2977" operator="greaterThan">
      <formula>1</formula>
    </cfRule>
  </conditionalFormatting>
  <conditionalFormatting sqref="R83">
    <cfRule type="cellIs" dxfId="14098" priority="2974" operator="greaterThan">
      <formula>1</formula>
    </cfRule>
    <cfRule type="cellIs" dxfId="14097" priority="2975" operator="lessThan">
      <formula>0.8</formula>
    </cfRule>
  </conditionalFormatting>
  <conditionalFormatting sqref="P83">
    <cfRule type="cellIs" dxfId="14096" priority="2973" operator="greaterThan">
      <formula>0</formula>
    </cfRule>
  </conditionalFormatting>
  <conditionalFormatting sqref="Q83">
    <cfRule type="cellIs" dxfId="14095" priority="2972" operator="lessThan">
      <formula>0</formula>
    </cfRule>
  </conditionalFormatting>
  <conditionalFormatting sqref="R83">
    <cfRule type="cellIs" dxfId="14094" priority="2970" operator="lessThan">
      <formula>0.8</formula>
    </cfRule>
    <cfRule type="cellIs" dxfId="14093" priority="2971" operator="greaterThan">
      <formula>1</formula>
    </cfRule>
  </conditionalFormatting>
  <conditionalFormatting sqref="R83">
    <cfRule type="cellIs" dxfId="14092" priority="2968" operator="greaterThan">
      <formula>1</formula>
    </cfRule>
    <cfRule type="cellIs" dxfId="14091" priority="2969" operator="lessThan">
      <formula>0.8</formula>
    </cfRule>
  </conditionalFormatting>
  <conditionalFormatting sqref="P83">
    <cfRule type="cellIs" dxfId="14090" priority="2967" operator="greaterThan">
      <formula>0</formula>
    </cfRule>
  </conditionalFormatting>
  <conditionalFormatting sqref="Q83">
    <cfRule type="cellIs" dxfId="14089" priority="2966" operator="lessThan">
      <formula>0</formula>
    </cfRule>
  </conditionalFormatting>
  <conditionalFormatting sqref="R83">
    <cfRule type="cellIs" dxfId="14088" priority="2964" operator="lessThan">
      <formula>0.8</formula>
    </cfRule>
    <cfRule type="cellIs" dxfId="14087" priority="2965" operator="greaterThan">
      <formula>1</formula>
    </cfRule>
  </conditionalFormatting>
  <conditionalFormatting sqref="R83">
    <cfRule type="cellIs" dxfId="14086" priority="2962" operator="greaterThan">
      <formula>1</formula>
    </cfRule>
    <cfRule type="cellIs" dxfId="14085" priority="2963" operator="lessThan">
      <formula>0.8</formula>
    </cfRule>
  </conditionalFormatting>
  <conditionalFormatting sqref="P83">
    <cfRule type="cellIs" dxfId="14084" priority="2961" operator="greaterThan">
      <formula>0</formula>
    </cfRule>
  </conditionalFormatting>
  <conditionalFormatting sqref="Q83">
    <cfRule type="cellIs" dxfId="14083" priority="2960" operator="lessThan">
      <formula>0</formula>
    </cfRule>
  </conditionalFormatting>
  <conditionalFormatting sqref="R83">
    <cfRule type="cellIs" dxfId="14082" priority="2958" operator="lessThan">
      <formula>0.8</formula>
    </cfRule>
    <cfRule type="cellIs" dxfId="14081" priority="2959" operator="greaterThan">
      <formula>1</formula>
    </cfRule>
  </conditionalFormatting>
  <conditionalFormatting sqref="R83">
    <cfRule type="cellIs" dxfId="14080" priority="2956" operator="greaterThan">
      <formula>1</formula>
    </cfRule>
    <cfRule type="cellIs" dxfId="14079" priority="2957" operator="lessThan">
      <formula>0.8</formula>
    </cfRule>
  </conditionalFormatting>
  <conditionalFormatting sqref="P83">
    <cfRule type="cellIs" dxfId="14078" priority="2955" operator="greaterThan">
      <formula>0</formula>
    </cfRule>
  </conditionalFormatting>
  <conditionalFormatting sqref="Q83">
    <cfRule type="cellIs" dxfId="14077" priority="2954" operator="lessThan">
      <formula>0</formula>
    </cfRule>
  </conditionalFormatting>
  <conditionalFormatting sqref="R83">
    <cfRule type="cellIs" dxfId="14076" priority="2952" operator="lessThan">
      <formula>0.8</formula>
    </cfRule>
    <cfRule type="cellIs" dxfId="14075" priority="2953" operator="greaterThan">
      <formula>1</formula>
    </cfRule>
  </conditionalFormatting>
  <conditionalFormatting sqref="R83">
    <cfRule type="cellIs" dxfId="14074" priority="2950" operator="greaterThan">
      <formula>1</formula>
    </cfRule>
    <cfRule type="cellIs" dxfId="14073" priority="2951" operator="lessThan">
      <formula>0.8</formula>
    </cfRule>
  </conditionalFormatting>
  <conditionalFormatting sqref="P83">
    <cfRule type="cellIs" dxfId="14072" priority="2949" operator="greaterThan">
      <formula>0</formula>
    </cfRule>
  </conditionalFormatting>
  <conditionalFormatting sqref="P83">
    <cfRule type="cellIs" dxfId="14071" priority="2943" operator="greaterThan">
      <formula>0</formula>
    </cfRule>
  </conditionalFormatting>
  <conditionalFormatting sqref="Q83">
    <cfRule type="cellIs" dxfId="14070" priority="2948" operator="lessThan">
      <formula>0</formula>
    </cfRule>
  </conditionalFormatting>
  <conditionalFormatting sqref="R83">
    <cfRule type="cellIs" dxfId="14069" priority="2946" operator="lessThan">
      <formula>0.8</formula>
    </cfRule>
    <cfRule type="cellIs" dxfId="14068" priority="2947" operator="greaterThan">
      <formula>1</formula>
    </cfRule>
  </conditionalFormatting>
  <conditionalFormatting sqref="R83">
    <cfRule type="cellIs" dxfId="14067" priority="2944" operator="greaterThan">
      <formula>1</formula>
    </cfRule>
    <cfRule type="cellIs" dxfId="14066" priority="2945" operator="lessThan">
      <formula>0.8</formula>
    </cfRule>
  </conditionalFormatting>
  <conditionalFormatting sqref="P83">
    <cfRule type="cellIs" dxfId="14065" priority="2937" operator="greaterThan">
      <formula>0</formula>
    </cfRule>
  </conditionalFormatting>
  <conditionalFormatting sqref="Q83">
    <cfRule type="cellIs" dxfId="14064" priority="2942" operator="lessThan">
      <formula>0</formula>
    </cfRule>
  </conditionalFormatting>
  <conditionalFormatting sqref="R83">
    <cfRule type="cellIs" dxfId="14063" priority="2940" operator="lessThan">
      <formula>0.8</formula>
    </cfRule>
    <cfRule type="cellIs" dxfId="14062" priority="2941" operator="greaterThan">
      <formula>1</formula>
    </cfRule>
  </conditionalFormatting>
  <conditionalFormatting sqref="R83">
    <cfRule type="cellIs" dxfId="14061" priority="2938" operator="greaterThan">
      <formula>1</formula>
    </cfRule>
    <cfRule type="cellIs" dxfId="14060" priority="2939" operator="lessThan">
      <formula>0.8</formula>
    </cfRule>
  </conditionalFormatting>
  <conditionalFormatting sqref="R83">
    <cfRule type="cellIs" dxfId="14059" priority="2934" operator="lessThan">
      <formula>0.8</formula>
    </cfRule>
    <cfRule type="cellIs" dxfId="14058" priority="2935" operator="greaterThan">
      <formula>1</formula>
    </cfRule>
  </conditionalFormatting>
  <conditionalFormatting sqref="R83">
    <cfRule type="cellIs" dxfId="14057" priority="2932" operator="greaterThan">
      <formula>1</formula>
    </cfRule>
    <cfRule type="cellIs" dxfId="14056" priority="2933" operator="lessThan">
      <formula>0.8</formula>
    </cfRule>
  </conditionalFormatting>
  <conditionalFormatting sqref="P83">
    <cfRule type="cellIs" dxfId="14055" priority="2931" operator="greaterThan">
      <formula>0</formula>
    </cfRule>
  </conditionalFormatting>
  <conditionalFormatting sqref="Q83">
    <cfRule type="cellIs" dxfId="14054" priority="2936" operator="lessThan">
      <formula>0</formula>
    </cfRule>
  </conditionalFormatting>
  <conditionalFormatting sqref="P123 P125:P129">
    <cfRule type="cellIs" dxfId="14053" priority="2925" operator="greaterThan">
      <formula>0</formula>
    </cfRule>
  </conditionalFormatting>
  <conditionalFormatting sqref="Q123 Q125:Q129">
    <cfRule type="cellIs" dxfId="14052" priority="2930" operator="lessThan">
      <formula>0</formula>
    </cfRule>
  </conditionalFormatting>
  <conditionalFormatting sqref="R123 R125:R129">
    <cfRule type="cellIs" dxfId="14051" priority="2928" operator="lessThan">
      <formula>0.8</formula>
    </cfRule>
    <cfRule type="cellIs" dxfId="14050" priority="2929" operator="greaterThan">
      <formula>1</formula>
    </cfRule>
  </conditionalFormatting>
  <conditionalFormatting sqref="R123 R125:R129">
    <cfRule type="cellIs" dxfId="14049" priority="2926" operator="greaterThan">
      <formula>1</formula>
    </cfRule>
    <cfRule type="cellIs" dxfId="14048" priority="2927" operator="lessThan">
      <formula>0.8</formula>
    </cfRule>
  </conditionalFormatting>
  <conditionalFormatting sqref="Q123 Q125:Q129">
    <cfRule type="cellIs" dxfId="14047" priority="2924" operator="lessThan">
      <formula>0</formula>
    </cfRule>
  </conditionalFormatting>
  <conditionalFormatting sqref="R123 R125:R129">
    <cfRule type="cellIs" dxfId="14046" priority="2922" operator="lessThan">
      <formula>0.8</formula>
    </cfRule>
    <cfRule type="cellIs" dxfId="14045" priority="2923" operator="greaterThan">
      <formula>1</formula>
    </cfRule>
  </conditionalFormatting>
  <conditionalFormatting sqref="R123 R125:R129">
    <cfRule type="cellIs" dxfId="14044" priority="2920" operator="greaterThan">
      <formula>1</formula>
    </cfRule>
    <cfRule type="cellIs" dxfId="14043" priority="2921" operator="lessThan">
      <formula>0.8</formula>
    </cfRule>
  </conditionalFormatting>
  <conditionalFormatting sqref="P123 P125:P129">
    <cfRule type="cellIs" dxfId="14042" priority="2919" operator="greaterThan">
      <formula>0</formula>
    </cfRule>
  </conditionalFormatting>
  <conditionalFormatting sqref="Q31">
    <cfRule type="cellIs" dxfId="14041" priority="2918" operator="lessThan">
      <formula>0</formula>
    </cfRule>
  </conditionalFormatting>
  <conditionalFormatting sqref="R31">
    <cfRule type="cellIs" dxfId="14040" priority="2916" operator="lessThan">
      <formula>0.8</formula>
    </cfRule>
    <cfRule type="cellIs" dxfId="14039" priority="2917" operator="greaterThan">
      <formula>1</formula>
    </cfRule>
  </conditionalFormatting>
  <conditionalFormatting sqref="R31">
    <cfRule type="cellIs" dxfId="14038" priority="2914" operator="greaterThan">
      <formula>1</formula>
    </cfRule>
    <cfRule type="cellIs" dxfId="14037" priority="2915" operator="lessThan">
      <formula>0.8</formula>
    </cfRule>
  </conditionalFormatting>
  <conditionalFormatting sqref="P31">
    <cfRule type="cellIs" dxfId="14036" priority="2913" operator="greaterThan">
      <formula>0</formula>
    </cfRule>
  </conditionalFormatting>
  <conditionalFormatting sqref="Q31">
    <cfRule type="cellIs" dxfId="14035" priority="2912" operator="lessThan">
      <formula>0</formula>
    </cfRule>
  </conditionalFormatting>
  <conditionalFormatting sqref="R31">
    <cfRule type="cellIs" dxfId="14034" priority="2910" operator="lessThan">
      <formula>0.8</formula>
    </cfRule>
    <cfRule type="cellIs" dxfId="14033" priority="2911" operator="greaterThan">
      <formula>1</formula>
    </cfRule>
  </conditionalFormatting>
  <conditionalFormatting sqref="R31">
    <cfRule type="cellIs" dxfId="14032" priority="2908" operator="greaterThan">
      <formula>1</formula>
    </cfRule>
    <cfRule type="cellIs" dxfId="14031" priority="2909" operator="lessThan">
      <formula>0.8</formula>
    </cfRule>
  </conditionalFormatting>
  <conditionalFormatting sqref="P31">
    <cfRule type="cellIs" dxfId="14030" priority="2907" operator="greaterThan">
      <formula>0</formula>
    </cfRule>
  </conditionalFormatting>
  <conditionalFormatting sqref="Q31">
    <cfRule type="cellIs" dxfId="14029" priority="2906" operator="lessThan">
      <formula>0</formula>
    </cfRule>
  </conditionalFormatting>
  <conditionalFormatting sqref="R31">
    <cfRule type="cellIs" dxfId="14028" priority="2904" operator="lessThan">
      <formula>0.8</formula>
    </cfRule>
    <cfRule type="cellIs" dxfId="14027" priority="2905" operator="greaterThan">
      <formula>1</formula>
    </cfRule>
  </conditionalFormatting>
  <conditionalFormatting sqref="R31">
    <cfRule type="cellIs" dxfId="14026" priority="2902" operator="greaterThan">
      <formula>1</formula>
    </cfRule>
    <cfRule type="cellIs" dxfId="14025" priority="2903" operator="lessThan">
      <formula>0.8</formula>
    </cfRule>
  </conditionalFormatting>
  <conditionalFormatting sqref="P31">
    <cfRule type="cellIs" dxfId="14024" priority="2901" operator="greaterThan">
      <formula>0</formula>
    </cfRule>
  </conditionalFormatting>
  <conditionalFormatting sqref="Q31">
    <cfRule type="cellIs" dxfId="14023" priority="2900" operator="lessThan">
      <formula>0</formula>
    </cfRule>
  </conditionalFormatting>
  <conditionalFormatting sqref="R31">
    <cfRule type="cellIs" dxfId="14022" priority="2898" operator="lessThan">
      <formula>0.8</formula>
    </cfRule>
    <cfRule type="cellIs" dxfId="14021" priority="2899" operator="greaterThan">
      <formula>1</formula>
    </cfRule>
  </conditionalFormatting>
  <conditionalFormatting sqref="R31">
    <cfRule type="cellIs" dxfId="14020" priority="2896" operator="greaterThan">
      <formula>1</formula>
    </cfRule>
    <cfRule type="cellIs" dxfId="14019" priority="2897" operator="lessThan">
      <formula>0.8</formula>
    </cfRule>
  </conditionalFormatting>
  <conditionalFormatting sqref="P31">
    <cfRule type="cellIs" dxfId="14018" priority="2895" operator="greaterThan">
      <formula>0</formula>
    </cfRule>
  </conditionalFormatting>
  <conditionalFormatting sqref="P31">
    <cfRule type="cellIs" dxfId="14017" priority="2889" operator="greaterThan">
      <formula>0</formula>
    </cfRule>
  </conditionalFormatting>
  <conditionalFormatting sqref="Q31">
    <cfRule type="cellIs" dxfId="14016" priority="2894" operator="lessThan">
      <formula>0</formula>
    </cfRule>
  </conditionalFormatting>
  <conditionalFormatting sqref="R31">
    <cfRule type="cellIs" dxfId="14015" priority="2892" operator="lessThan">
      <formula>0.8</formula>
    </cfRule>
    <cfRule type="cellIs" dxfId="14014" priority="2893" operator="greaterThan">
      <formula>1</formula>
    </cfRule>
  </conditionalFormatting>
  <conditionalFormatting sqref="R31">
    <cfRule type="cellIs" dxfId="14013" priority="2890" operator="greaterThan">
      <formula>1</formula>
    </cfRule>
    <cfRule type="cellIs" dxfId="14012" priority="2891" operator="lessThan">
      <formula>0.8</formula>
    </cfRule>
  </conditionalFormatting>
  <conditionalFormatting sqref="P31">
    <cfRule type="cellIs" dxfId="14011" priority="2883" operator="greaterThan">
      <formula>0</formula>
    </cfRule>
  </conditionalFormatting>
  <conditionalFormatting sqref="Q31">
    <cfRule type="cellIs" dxfId="14010" priority="2888" operator="lessThan">
      <formula>0</formula>
    </cfRule>
  </conditionalFormatting>
  <conditionalFormatting sqref="R31">
    <cfRule type="cellIs" dxfId="14009" priority="2886" operator="lessThan">
      <formula>0.8</formula>
    </cfRule>
    <cfRule type="cellIs" dxfId="14008" priority="2887" operator="greaterThan">
      <formula>1</formula>
    </cfRule>
  </conditionalFormatting>
  <conditionalFormatting sqref="R31">
    <cfRule type="cellIs" dxfId="14007" priority="2884" operator="greaterThan">
      <formula>1</formula>
    </cfRule>
    <cfRule type="cellIs" dxfId="14006" priority="2885" operator="lessThan">
      <formula>0.8</formula>
    </cfRule>
  </conditionalFormatting>
  <conditionalFormatting sqref="R31">
    <cfRule type="cellIs" dxfId="14005" priority="2880" operator="lessThan">
      <formula>0.8</formula>
    </cfRule>
    <cfRule type="cellIs" dxfId="14004" priority="2881" operator="greaterThan">
      <formula>1</formula>
    </cfRule>
  </conditionalFormatting>
  <conditionalFormatting sqref="R31">
    <cfRule type="cellIs" dxfId="14003" priority="2878" operator="greaterThan">
      <formula>1</formula>
    </cfRule>
    <cfRule type="cellIs" dxfId="14002" priority="2879" operator="lessThan">
      <formula>0.8</formula>
    </cfRule>
  </conditionalFormatting>
  <conditionalFormatting sqref="P31">
    <cfRule type="cellIs" dxfId="14001" priority="2877" operator="greaterThan">
      <formula>0</formula>
    </cfRule>
  </conditionalFormatting>
  <conditionalFormatting sqref="Q31">
    <cfRule type="cellIs" dxfId="14000" priority="2882" operator="lessThan">
      <formula>0</formula>
    </cfRule>
  </conditionalFormatting>
  <conditionalFormatting sqref="Q31">
    <cfRule type="cellIs" dxfId="13999" priority="2876" operator="lessThan">
      <formula>0</formula>
    </cfRule>
  </conditionalFormatting>
  <conditionalFormatting sqref="R31">
    <cfRule type="cellIs" dxfId="13998" priority="2874" operator="lessThan">
      <formula>0.8</formula>
    </cfRule>
    <cfRule type="cellIs" dxfId="13997" priority="2875" operator="greaterThan">
      <formula>1</formula>
    </cfRule>
  </conditionalFormatting>
  <conditionalFormatting sqref="R31">
    <cfRule type="cellIs" dxfId="13996" priority="2872" operator="greaterThan">
      <formula>1</formula>
    </cfRule>
    <cfRule type="cellIs" dxfId="13995" priority="2873" operator="lessThan">
      <formula>0.8</formula>
    </cfRule>
  </conditionalFormatting>
  <conditionalFormatting sqref="P31">
    <cfRule type="cellIs" dxfId="13994" priority="2871" operator="greaterThan">
      <formula>0</formula>
    </cfRule>
  </conditionalFormatting>
  <conditionalFormatting sqref="P31">
    <cfRule type="cellIs" dxfId="13993" priority="2865" operator="greaterThan">
      <formula>0</formula>
    </cfRule>
  </conditionalFormatting>
  <conditionalFormatting sqref="Q31">
    <cfRule type="cellIs" dxfId="13992" priority="2870" operator="lessThan">
      <formula>0</formula>
    </cfRule>
  </conditionalFormatting>
  <conditionalFormatting sqref="R31">
    <cfRule type="cellIs" dxfId="13991" priority="2868" operator="lessThan">
      <formula>0.8</formula>
    </cfRule>
    <cfRule type="cellIs" dxfId="13990" priority="2869" operator="greaterThan">
      <formula>1</formula>
    </cfRule>
  </conditionalFormatting>
  <conditionalFormatting sqref="R31">
    <cfRule type="cellIs" dxfId="13989" priority="2866" operator="greaterThan">
      <formula>1</formula>
    </cfRule>
    <cfRule type="cellIs" dxfId="13988" priority="2867" operator="lessThan">
      <formula>0.8</formula>
    </cfRule>
  </conditionalFormatting>
  <conditionalFormatting sqref="P31">
    <cfRule type="cellIs" dxfId="13987" priority="2859" operator="greaterThan">
      <formula>0</formula>
    </cfRule>
  </conditionalFormatting>
  <conditionalFormatting sqref="Q31">
    <cfRule type="cellIs" dxfId="13986" priority="2864" operator="lessThan">
      <formula>0</formula>
    </cfRule>
  </conditionalFormatting>
  <conditionalFormatting sqref="R31">
    <cfRule type="cellIs" dxfId="13985" priority="2862" operator="lessThan">
      <formula>0.8</formula>
    </cfRule>
    <cfRule type="cellIs" dxfId="13984" priority="2863" operator="greaterThan">
      <formula>1</formula>
    </cfRule>
  </conditionalFormatting>
  <conditionalFormatting sqref="R31">
    <cfRule type="cellIs" dxfId="13983" priority="2860" operator="greaterThan">
      <formula>1</formula>
    </cfRule>
    <cfRule type="cellIs" dxfId="13982" priority="2861" operator="lessThan">
      <formula>0.8</formula>
    </cfRule>
  </conditionalFormatting>
  <conditionalFormatting sqref="R31">
    <cfRule type="cellIs" dxfId="13981" priority="2856" operator="lessThan">
      <formula>0.8</formula>
    </cfRule>
    <cfRule type="cellIs" dxfId="13980" priority="2857" operator="greaterThan">
      <formula>1</formula>
    </cfRule>
  </conditionalFormatting>
  <conditionalFormatting sqref="R31">
    <cfRule type="cellIs" dxfId="13979" priority="2854" operator="greaterThan">
      <formula>1</formula>
    </cfRule>
    <cfRule type="cellIs" dxfId="13978" priority="2855" operator="lessThan">
      <formula>0.8</formula>
    </cfRule>
  </conditionalFormatting>
  <conditionalFormatting sqref="P31">
    <cfRule type="cellIs" dxfId="13977" priority="2853" operator="greaterThan">
      <formula>0</formula>
    </cfRule>
  </conditionalFormatting>
  <conditionalFormatting sqref="Q31">
    <cfRule type="cellIs" dxfId="13976" priority="2858" operator="lessThan">
      <formula>0</formula>
    </cfRule>
  </conditionalFormatting>
  <conditionalFormatting sqref="P31">
    <cfRule type="cellIs" dxfId="13975" priority="2847" operator="greaterThan">
      <formula>0</formula>
    </cfRule>
  </conditionalFormatting>
  <conditionalFormatting sqref="Q31">
    <cfRule type="cellIs" dxfId="13974" priority="2852" operator="lessThan">
      <formula>0</formula>
    </cfRule>
  </conditionalFormatting>
  <conditionalFormatting sqref="R31">
    <cfRule type="cellIs" dxfId="13973" priority="2850" operator="lessThan">
      <formula>0.8</formula>
    </cfRule>
    <cfRule type="cellIs" dxfId="13972" priority="2851" operator="greaterThan">
      <formula>1</formula>
    </cfRule>
  </conditionalFormatting>
  <conditionalFormatting sqref="R31">
    <cfRule type="cellIs" dxfId="13971" priority="2848" operator="greaterThan">
      <formula>1</formula>
    </cfRule>
    <cfRule type="cellIs" dxfId="13970" priority="2849" operator="lessThan">
      <formula>0.8</formula>
    </cfRule>
  </conditionalFormatting>
  <conditionalFormatting sqref="R31">
    <cfRule type="cellIs" dxfId="13969" priority="2844" operator="lessThan">
      <formula>0.8</formula>
    </cfRule>
    <cfRule type="cellIs" dxfId="13968" priority="2845" operator="greaterThan">
      <formula>1</formula>
    </cfRule>
  </conditionalFormatting>
  <conditionalFormatting sqref="R31">
    <cfRule type="cellIs" dxfId="13967" priority="2842" operator="greaterThan">
      <formula>1</formula>
    </cfRule>
    <cfRule type="cellIs" dxfId="13966" priority="2843" operator="lessThan">
      <formula>0.8</formula>
    </cfRule>
  </conditionalFormatting>
  <conditionalFormatting sqref="P31">
    <cfRule type="cellIs" dxfId="13965" priority="2841" operator="greaterThan">
      <formula>0</formula>
    </cfRule>
  </conditionalFormatting>
  <conditionalFormatting sqref="Q31">
    <cfRule type="cellIs" dxfId="13964" priority="2846" operator="lessThan">
      <formula>0</formula>
    </cfRule>
  </conditionalFormatting>
  <conditionalFormatting sqref="R31">
    <cfRule type="cellIs" dxfId="13963" priority="2838" operator="lessThan">
      <formula>0.8</formula>
    </cfRule>
    <cfRule type="cellIs" dxfId="13962" priority="2839" operator="greaterThan">
      <formula>1</formula>
    </cfRule>
  </conditionalFormatting>
  <conditionalFormatting sqref="R31">
    <cfRule type="cellIs" dxfId="13961" priority="2836" operator="greaterThan">
      <formula>1</formula>
    </cfRule>
    <cfRule type="cellIs" dxfId="13960" priority="2837" operator="lessThan">
      <formula>0.8</formula>
    </cfRule>
  </conditionalFormatting>
  <conditionalFormatting sqref="P31">
    <cfRule type="cellIs" dxfId="13959" priority="2835" operator="greaterThan">
      <formula>0</formula>
    </cfRule>
  </conditionalFormatting>
  <conditionalFormatting sqref="Q31">
    <cfRule type="cellIs" dxfId="13958" priority="2840" operator="lessThan">
      <formula>0</formula>
    </cfRule>
  </conditionalFormatting>
  <conditionalFormatting sqref="Q31">
    <cfRule type="cellIs" dxfId="13957" priority="2834" operator="lessThan">
      <formula>0</formula>
    </cfRule>
  </conditionalFormatting>
  <conditionalFormatting sqref="R31">
    <cfRule type="cellIs" dxfId="13956" priority="2832" operator="lessThan">
      <formula>0.8</formula>
    </cfRule>
    <cfRule type="cellIs" dxfId="13955" priority="2833" operator="greaterThan">
      <formula>1</formula>
    </cfRule>
  </conditionalFormatting>
  <conditionalFormatting sqref="R31">
    <cfRule type="cellIs" dxfId="13954" priority="2830" operator="greaterThan">
      <formula>1</formula>
    </cfRule>
    <cfRule type="cellIs" dxfId="13953" priority="2831" operator="lessThan">
      <formula>0.8</formula>
    </cfRule>
  </conditionalFormatting>
  <conditionalFormatting sqref="P31">
    <cfRule type="cellIs" dxfId="13952" priority="2829" operator="greaterThan">
      <formula>0</formula>
    </cfRule>
  </conditionalFormatting>
  <conditionalFormatting sqref="Q31">
    <cfRule type="cellIs" dxfId="13951" priority="2823" operator="lessThan">
      <formula>0</formula>
    </cfRule>
  </conditionalFormatting>
  <conditionalFormatting sqref="R31">
    <cfRule type="cellIs" dxfId="13950" priority="2827" operator="lessThan">
      <formula>0.8</formula>
    </cfRule>
    <cfRule type="cellIs" dxfId="13949" priority="2828" operator="greaterThan">
      <formula>1</formula>
    </cfRule>
  </conditionalFormatting>
  <conditionalFormatting sqref="R31">
    <cfRule type="cellIs" dxfId="13948" priority="2825" operator="greaterThan">
      <formula>1</formula>
    </cfRule>
    <cfRule type="cellIs" dxfId="13947" priority="2826" operator="lessThan">
      <formula>0.8</formula>
    </cfRule>
  </conditionalFormatting>
  <conditionalFormatting sqref="P31">
    <cfRule type="cellIs" dxfId="13946" priority="2824" operator="greaterThan">
      <formula>0</formula>
    </cfRule>
  </conditionalFormatting>
  <conditionalFormatting sqref="Q31">
    <cfRule type="cellIs" dxfId="13945" priority="2822" operator="lessThan">
      <formula>0</formula>
    </cfRule>
  </conditionalFormatting>
  <conditionalFormatting sqref="R31">
    <cfRule type="cellIs" dxfId="13944" priority="2820" operator="lessThan">
      <formula>0.8</formula>
    </cfRule>
    <cfRule type="cellIs" dxfId="13943" priority="2821" operator="greaterThan">
      <formula>1</formula>
    </cfRule>
  </conditionalFormatting>
  <conditionalFormatting sqref="R31">
    <cfRule type="cellIs" dxfId="13942" priority="2818" operator="greaterThan">
      <formula>1</formula>
    </cfRule>
    <cfRule type="cellIs" dxfId="13941" priority="2819" operator="lessThan">
      <formula>0.8</formula>
    </cfRule>
  </conditionalFormatting>
  <conditionalFormatting sqref="P31">
    <cfRule type="cellIs" dxfId="13940" priority="2817" operator="greaterThan">
      <formula>0</formula>
    </cfRule>
  </conditionalFormatting>
  <conditionalFormatting sqref="Q31">
    <cfRule type="cellIs" dxfId="13939" priority="2816" operator="lessThan">
      <formula>0</formula>
    </cfRule>
  </conditionalFormatting>
  <conditionalFormatting sqref="R31">
    <cfRule type="cellIs" dxfId="13938" priority="2814" operator="lessThan">
      <formula>0.8</formula>
    </cfRule>
    <cfRule type="cellIs" dxfId="13937" priority="2815" operator="greaterThan">
      <formula>1</formula>
    </cfRule>
  </conditionalFormatting>
  <conditionalFormatting sqref="R31">
    <cfRule type="cellIs" dxfId="13936" priority="2812" operator="greaterThan">
      <formula>1</formula>
    </cfRule>
    <cfRule type="cellIs" dxfId="13935" priority="2813" operator="lessThan">
      <formula>0.8</formula>
    </cfRule>
  </conditionalFormatting>
  <conditionalFormatting sqref="P31">
    <cfRule type="cellIs" dxfId="13934" priority="2811" operator="greaterThan">
      <formula>0</formula>
    </cfRule>
  </conditionalFormatting>
  <conditionalFormatting sqref="Q31">
    <cfRule type="cellIs" dxfId="13933" priority="2810" operator="lessThan">
      <formula>0</formula>
    </cfRule>
  </conditionalFormatting>
  <conditionalFormatting sqref="R31">
    <cfRule type="cellIs" dxfId="13932" priority="2808" operator="lessThan">
      <formula>0.8</formula>
    </cfRule>
    <cfRule type="cellIs" dxfId="13931" priority="2809" operator="greaterThan">
      <formula>1</formula>
    </cfRule>
  </conditionalFormatting>
  <conditionalFormatting sqref="R31">
    <cfRule type="cellIs" dxfId="13930" priority="2806" operator="greaterThan">
      <formula>1</formula>
    </cfRule>
    <cfRule type="cellIs" dxfId="13929" priority="2807" operator="lessThan">
      <formula>0.8</formula>
    </cfRule>
  </conditionalFormatting>
  <conditionalFormatting sqref="P31">
    <cfRule type="cellIs" dxfId="13928" priority="2805" operator="greaterThan">
      <formula>0</formula>
    </cfRule>
  </conditionalFormatting>
  <conditionalFormatting sqref="Q31">
    <cfRule type="cellIs" dxfId="13927" priority="2804" operator="lessThan">
      <formula>0</formula>
    </cfRule>
  </conditionalFormatting>
  <conditionalFormatting sqref="R31">
    <cfRule type="cellIs" dxfId="13926" priority="2802" operator="lessThan">
      <formula>0.8</formula>
    </cfRule>
    <cfRule type="cellIs" dxfId="13925" priority="2803" operator="greaterThan">
      <formula>1</formula>
    </cfRule>
  </conditionalFormatting>
  <conditionalFormatting sqref="R31">
    <cfRule type="cellIs" dxfId="13924" priority="2800" operator="greaterThan">
      <formula>1</formula>
    </cfRule>
    <cfRule type="cellIs" dxfId="13923" priority="2801" operator="lessThan">
      <formula>0.8</formula>
    </cfRule>
  </conditionalFormatting>
  <conditionalFormatting sqref="P31">
    <cfRule type="cellIs" dxfId="13922" priority="2799" operator="greaterThan">
      <formula>0</formula>
    </cfRule>
  </conditionalFormatting>
  <conditionalFormatting sqref="Q31">
    <cfRule type="cellIs" dxfId="13921" priority="2798" operator="lessThan">
      <formula>0</formula>
    </cfRule>
  </conditionalFormatting>
  <conditionalFormatting sqref="R31">
    <cfRule type="cellIs" dxfId="13920" priority="2796" operator="lessThan">
      <formula>0.8</formula>
    </cfRule>
    <cfRule type="cellIs" dxfId="13919" priority="2797" operator="greaterThan">
      <formula>1</formula>
    </cfRule>
  </conditionalFormatting>
  <conditionalFormatting sqref="R31">
    <cfRule type="cellIs" dxfId="13918" priority="2794" operator="greaterThan">
      <formula>1</formula>
    </cfRule>
    <cfRule type="cellIs" dxfId="13917" priority="2795" operator="lessThan">
      <formula>0.8</formula>
    </cfRule>
  </conditionalFormatting>
  <conditionalFormatting sqref="P31">
    <cfRule type="cellIs" dxfId="13916" priority="2793" operator="greaterThan">
      <formula>0</formula>
    </cfRule>
  </conditionalFormatting>
  <conditionalFormatting sqref="P31">
    <cfRule type="cellIs" dxfId="13915" priority="2787" operator="greaterThan">
      <formula>0</formula>
    </cfRule>
  </conditionalFormatting>
  <conditionalFormatting sqref="Q31">
    <cfRule type="cellIs" dxfId="13914" priority="2792" operator="lessThan">
      <formula>0</formula>
    </cfRule>
  </conditionalFormatting>
  <conditionalFormatting sqref="R31">
    <cfRule type="cellIs" dxfId="13913" priority="2790" operator="lessThan">
      <formula>0.8</formula>
    </cfRule>
    <cfRule type="cellIs" dxfId="13912" priority="2791" operator="greaterThan">
      <formula>1</formula>
    </cfRule>
  </conditionalFormatting>
  <conditionalFormatting sqref="R31">
    <cfRule type="cellIs" dxfId="13911" priority="2788" operator="greaterThan">
      <formula>1</formula>
    </cfRule>
    <cfRule type="cellIs" dxfId="13910" priority="2789" operator="lessThan">
      <formula>0.8</formula>
    </cfRule>
  </conditionalFormatting>
  <conditionalFormatting sqref="P31">
    <cfRule type="cellIs" dxfId="13909" priority="2781" operator="greaterThan">
      <formula>0</formula>
    </cfRule>
  </conditionalFormatting>
  <conditionalFormatting sqref="Q31">
    <cfRule type="cellIs" dxfId="13908" priority="2786" operator="lessThan">
      <formula>0</formula>
    </cfRule>
  </conditionalFormatting>
  <conditionalFormatting sqref="R31">
    <cfRule type="cellIs" dxfId="13907" priority="2784" operator="lessThan">
      <formula>0.8</formula>
    </cfRule>
    <cfRule type="cellIs" dxfId="13906" priority="2785" operator="greaterThan">
      <formula>1</formula>
    </cfRule>
  </conditionalFormatting>
  <conditionalFormatting sqref="R31">
    <cfRule type="cellIs" dxfId="13905" priority="2782" operator="greaterThan">
      <formula>1</formula>
    </cfRule>
    <cfRule type="cellIs" dxfId="13904" priority="2783" operator="lessThan">
      <formula>0.8</formula>
    </cfRule>
  </conditionalFormatting>
  <conditionalFormatting sqref="R31">
    <cfRule type="cellIs" dxfId="13903" priority="2778" operator="lessThan">
      <formula>0.8</formula>
    </cfRule>
    <cfRule type="cellIs" dxfId="13902" priority="2779" operator="greaterThan">
      <formula>1</formula>
    </cfRule>
  </conditionalFormatting>
  <conditionalFormatting sqref="R31">
    <cfRule type="cellIs" dxfId="13901" priority="2776" operator="greaterThan">
      <formula>1</formula>
    </cfRule>
    <cfRule type="cellIs" dxfId="13900" priority="2777" operator="lessThan">
      <formula>0.8</formula>
    </cfRule>
  </conditionalFormatting>
  <conditionalFormatting sqref="P31">
    <cfRule type="cellIs" dxfId="13899" priority="2775" operator="greaterThan">
      <formula>0</formula>
    </cfRule>
  </conditionalFormatting>
  <conditionalFormatting sqref="Q31">
    <cfRule type="cellIs" dxfId="13898" priority="2780" operator="lessThan">
      <formula>0</formula>
    </cfRule>
  </conditionalFormatting>
  <conditionalFormatting sqref="Q31">
    <cfRule type="cellIs" dxfId="13897" priority="2774" operator="lessThan">
      <formula>0</formula>
    </cfRule>
  </conditionalFormatting>
  <conditionalFormatting sqref="R31">
    <cfRule type="cellIs" dxfId="13896" priority="2772" operator="lessThan">
      <formula>0.8</formula>
    </cfRule>
    <cfRule type="cellIs" dxfId="13895" priority="2773" operator="greaterThan">
      <formula>1</formula>
    </cfRule>
  </conditionalFormatting>
  <conditionalFormatting sqref="R31">
    <cfRule type="cellIs" dxfId="13894" priority="2770" operator="greaterThan">
      <formula>1</formula>
    </cfRule>
    <cfRule type="cellIs" dxfId="13893" priority="2771" operator="lessThan">
      <formula>0.8</formula>
    </cfRule>
  </conditionalFormatting>
  <conditionalFormatting sqref="P31">
    <cfRule type="cellIs" dxfId="13892" priority="2769" operator="greaterThan">
      <formula>0</formula>
    </cfRule>
  </conditionalFormatting>
  <conditionalFormatting sqref="Q31">
    <cfRule type="cellIs" dxfId="13891" priority="2768" operator="lessThan">
      <formula>0</formula>
    </cfRule>
  </conditionalFormatting>
  <conditionalFormatting sqref="R31">
    <cfRule type="cellIs" dxfId="13890" priority="2766" operator="lessThan">
      <formula>0.8</formula>
    </cfRule>
    <cfRule type="cellIs" dxfId="13889" priority="2767" operator="greaterThan">
      <formula>1</formula>
    </cfRule>
  </conditionalFormatting>
  <conditionalFormatting sqref="R31">
    <cfRule type="cellIs" dxfId="13888" priority="2764" operator="greaterThan">
      <formula>1</formula>
    </cfRule>
    <cfRule type="cellIs" dxfId="13887" priority="2765" operator="lessThan">
      <formula>0.8</formula>
    </cfRule>
  </conditionalFormatting>
  <conditionalFormatting sqref="P31">
    <cfRule type="cellIs" dxfId="13886" priority="2763" operator="greaterThan">
      <formula>0</formula>
    </cfRule>
  </conditionalFormatting>
  <conditionalFormatting sqref="Q31">
    <cfRule type="cellIs" dxfId="13885" priority="2762" operator="lessThan">
      <formula>0</formula>
    </cfRule>
  </conditionalFormatting>
  <conditionalFormatting sqref="R31">
    <cfRule type="cellIs" dxfId="13884" priority="2760" operator="lessThan">
      <formula>0.8</formula>
    </cfRule>
    <cfRule type="cellIs" dxfId="13883" priority="2761" operator="greaterThan">
      <formula>1</formula>
    </cfRule>
  </conditionalFormatting>
  <conditionalFormatting sqref="R31">
    <cfRule type="cellIs" dxfId="13882" priority="2758" operator="greaterThan">
      <formula>1</formula>
    </cfRule>
    <cfRule type="cellIs" dxfId="13881" priority="2759" operator="lessThan">
      <formula>0.8</formula>
    </cfRule>
  </conditionalFormatting>
  <conditionalFormatting sqref="P31">
    <cfRule type="cellIs" dxfId="13880" priority="2757" operator="greaterThan">
      <formula>0</formula>
    </cfRule>
  </conditionalFormatting>
  <conditionalFormatting sqref="Q31">
    <cfRule type="cellIs" dxfId="13879" priority="2756" operator="lessThan">
      <formula>0</formula>
    </cfRule>
  </conditionalFormatting>
  <conditionalFormatting sqref="R31">
    <cfRule type="cellIs" dxfId="13878" priority="2754" operator="lessThan">
      <formula>0.8</formula>
    </cfRule>
    <cfRule type="cellIs" dxfId="13877" priority="2755" operator="greaterThan">
      <formula>1</formula>
    </cfRule>
  </conditionalFormatting>
  <conditionalFormatting sqref="R31">
    <cfRule type="cellIs" dxfId="13876" priority="2752" operator="greaterThan">
      <formula>1</formula>
    </cfRule>
    <cfRule type="cellIs" dxfId="13875" priority="2753" operator="lessThan">
      <formula>0.8</formula>
    </cfRule>
  </conditionalFormatting>
  <conditionalFormatting sqref="P31">
    <cfRule type="cellIs" dxfId="13874" priority="2751" operator="greaterThan">
      <formula>0</formula>
    </cfRule>
  </conditionalFormatting>
  <conditionalFormatting sqref="P31">
    <cfRule type="cellIs" dxfId="13873" priority="2745" operator="greaterThan">
      <formula>0</formula>
    </cfRule>
  </conditionalFormatting>
  <conditionalFormatting sqref="Q31">
    <cfRule type="cellIs" dxfId="13872" priority="2750" operator="lessThan">
      <formula>0</formula>
    </cfRule>
  </conditionalFormatting>
  <conditionalFormatting sqref="R31">
    <cfRule type="cellIs" dxfId="13871" priority="2748" operator="lessThan">
      <formula>0.8</formula>
    </cfRule>
    <cfRule type="cellIs" dxfId="13870" priority="2749" operator="greaterThan">
      <formula>1</formula>
    </cfRule>
  </conditionalFormatting>
  <conditionalFormatting sqref="R31">
    <cfRule type="cellIs" dxfId="13869" priority="2746" operator="greaterThan">
      <formula>1</formula>
    </cfRule>
    <cfRule type="cellIs" dxfId="13868" priority="2747" operator="lessThan">
      <formula>0.8</formula>
    </cfRule>
  </conditionalFormatting>
  <conditionalFormatting sqref="P31">
    <cfRule type="cellIs" dxfId="13867" priority="2739" operator="greaterThan">
      <formula>0</formula>
    </cfRule>
  </conditionalFormatting>
  <conditionalFormatting sqref="Q31">
    <cfRule type="cellIs" dxfId="13866" priority="2744" operator="lessThan">
      <formula>0</formula>
    </cfRule>
  </conditionalFormatting>
  <conditionalFormatting sqref="R31">
    <cfRule type="cellIs" dxfId="13865" priority="2742" operator="lessThan">
      <formula>0.8</formula>
    </cfRule>
    <cfRule type="cellIs" dxfId="13864" priority="2743" operator="greaterThan">
      <formula>1</formula>
    </cfRule>
  </conditionalFormatting>
  <conditionalFormatting sqref="R31">
    <cfRule type="cellIs" dxfId="13863" priority="2740" operator="greaterThan">
      <formula>1</formula>
    </cfRule>
    <cfRule type="cellIs" dxfId="13862" priority="2741" operator="lessThan">
      <formula>0.8</formula>
    </cfRule>
  </conditionalFormatting>
  <conditionalFormatting sqref="R31">
    <cfRule type="cellIs" dxfId="13861" priority="2736" operator="lessThan">
      <formula>0.8</formula>
    </cfRule>
    <cfRule type="cellIs" dxfId="13860" priority="2737" operator="greaterThan">
      <formula>1</formula>
    </cfRule>
  </conditionalFormatting>
  <conditionalFormatting sqref="R31">
    <cfRule type="cellIs" dxfId="13859" priority="2734" operator="greaterThan">
      <formula>1</formula>
    </cfRule>
    <cfRule type="cellIs" dxfId="13858" priority="2735" operator="lessThan">
      <formula>0.8</formula>
    </cfRule>
  </conditionalFormatting>
  <conditionalFormatting sqref="P31">
    <cfRule type="cellIs" dxfId="13857" priority="2733" operator="greaterThan">
      <formula>0</formula>
    </cfRule>
  </conditionalFormatting>
  <conditionalFormatting sqref="Q31">
    <cfRule type="cellIs" dxfId="13856" priority="2738" operator="lessThan">
      <formula>0</formula>
    </cfRule>
  </conditionalFormatting>
  <conditionalFormatting sqref="Q31">
    <cfRule type="cellIs" dxfId="13855" priority="2732" operator="lessThan">
      <formula>0</formula>
    </cfRule>
  </conditionalFormatting>
  <conditionalFormatting sqref="R31">
    <cfRule type="cellIs" dxfId="13854" priority="2730" operator="lessThan">
      <formula>0.8</formula>
    </cfRule>
    <cfRule type="cellIs" dxfId="13853" priority="2731" operator="greaterThan">
      <formula>1</formula>
    </cfRule>
  </conditionalFormatting>
  <conditionalFormatting sqref="R31">
    <cfRule type="cellIs" dxfId="13852" priority="2728" operator="greaterThan">
      <formula>1</formula>
    </cfRule>
    <cfRule type="cellIs" dxfId="13851" priority="2729" operator="lessThan">
      <formula>0.8</formula>
    </cfRule>
  </conditionalFormatting>
  <conditionalFormatting sqref="P31">
    <cfRule type="cellIs" dxfId="13850" priority="2727" operator="greaterThan">
      <formula>0</formula>
    </cfRule>
  </conditionalFormatting>
  <conditionalFormatting sqref="P31">
    <cfRule type="cellIs" dxfId="13849" priority="2721" operator="greaterThan">
      <formula>0</formula>
    </cfRule>
  </conditionalFormatting>
  <conditionalFormatting sqref="Q31">
    <cfRule type="cellIs" dxfId="13848" priority="2726" operator="lessThan">
      <formula>0</formula>
    </cfRule>
  </conditionalFormatting>
  <conditionalFormatting sqref="R31">
    <cfRule type="cellIs" dxfId="13847" priority="2724" operator="lessThan">
      <formula>0.8</formula>
    </cfRule>
    <cfRule type="cellIs" dxfId="13846" priority="2725" operator="greaterThan">
      <formula>1</formula>
    </cfRule>
  </conditionalFormatting>
  <conditionalFormatting sqref="R31">
    <cfRule type="cellIs" dxfId="13845" priority="2722" operator="greaterThan">
      <formula>1</formula>
    </cfRule>
    <cfRule type="cellIs" dxfId="13844" priority="2723" operator="lessThan">
      <formula>0.8</formula>
    </cfRule>
  </conditionalFormatting>
  <conditionalFormatting sqref="P31">
    <cfRule type="cellIs" dxfId="13843" priority="2715" operator="greaterThan">
      <formula>0</formula>
    </cfRule>
  </conditionalFormatting>
  <conditionalFormatting sqref="Q31">
    <cfRule type="cellIs" dxfId="13842" priority="2720" operator="lessThan">
      <formula>0</formula>
    </cfRule>
  </conditionalFormatting>
  <conditionalFormatting sqref="R31">
    <cfRule type="cellIs" dxfId="13841" priority="2718" operator="lessThan">
      <formula>0.8</formula>
    </cfRule>
    <cfRule type="cellIs" dxfId="13840" priority="2719" operator="greaterThan">
      <formula>1</formula>
    </cfRule>
  </conditionalFormatting>
  <conditionalFormatting sqref="R31">
    <cfRule type="cellIs" dxfId="13839" priority="2716" operator="greaterThan">
      <formula>1</formula>
    </cfRule>
    <cfRule type="cellIs" dxfId="13838" priority="2717" operator="lessThan">
      <formula>0.8</formula>
    </cfRule>
  </conditionalFormatting>
  <conditionalFormatting sqref="R31">
    <cfRule type="cellIs" dxfId="13837" priority="2712" operator="lessThan">
      <formula>0.8</formula>
    </cfRule>
    <cfRule type="cellIs" dxfId="13836" priority="2713" operator="greaterThan">
      <formula>1</formula>
    </cfRule>
  </conditionalFormatting>
  <conditionalFormatting sqref="R31">
    <cfRule type="cellIs" dxfId="13835" priority="2710" operator="greaterThan">
      <formula>1</formula>
    </cfRule>
    <cfRule type="cellIs" dxfId="13834" priority="2711" operator="lessThan">
      <formula>0.8</formula>
    </cfRule>
  </conditionalFormatting>
  <conditionalFormatting sqref="P31">
    <cfRule type="cellIs" dxfId="13833" priority="2709" operator="greaterThan">
      <formula>0</formula>
    </cfRule>
  </conditionalFormatting>
  <conditionalFormatting sqref="Q31">
    <cfRule type="cellIs" dxfId="13832" priority="2714" operator="lessThan">
      <formula>0</formula>
    </cfRule>
  </conditionalFormatting>
  <conditionalFormatting sqref="P31">
    <cfRule type="cellIs" dxfId="13831" priority="2703" operator="greaterThan">
      <formula>0</formula>
    </cfRule>
  </conditionalFormatting>
  <conditionalFormatting sqref="Q31">
    <cfRule type="cellIs" dxfId="13830" priority="2708" operator="lessThan">
      <formula>0</formula>
    </cfRule>
  </conditionalFormatting>
  <conditionalFormatting sqref="R31">
    <cfRule type="cellIs" dxfId="13829" priority="2706" operator="lessThan">
      <formula>0.8</formula>
    </cfRule>
    <cfRule type="cellIs" dxfId="13828" priority="2707" operator="greaterThan">
      <formula>1</formula>
    </cfRule>
  </conditionalFormatting>
  <conditionalFormatting sqref="R31">
    <cfRule type="cellIs" dxfId="13827" priority="2704" operator="greaterThan">
      <formula>1</formula>
    </cfRule>
    <cfRule type="cellIs" dxfId="13826" priority="2705" operator="lessThan">
      <formula>0.8</formula>
    </cfRule>
  </conditionalFormatting>
  <conditionalFormatting sqref="R31">
    <cfRule type="cellIs" dxfId="13825" priority="2700" operator="lessThan">
      <formula>0.8</formula>
    </cfRule>
    <cfRule type="cellIs" dxfId="13824" priority="2701" operator="greaterThan">
      <formula>1</formula>
    </cfRule>
  </conditionalFormatting>
  <conditionalFormatting sqref="R31">
    <cfRule type="cellIs" dxfId="13823" priority="2698" operator="greaterThan">
      <formula>1</formula>
    </cfRule>
    <cfRule type="cellIs" dxfId="13822" priority="2699" operator="lessThan">
      <formula>0.8</formula>
    </cfRule>
  </conditionalFormatting>
  <conditionalFormatting sqref="P31">
    <cfRule type="cellIs" dxfId="13821" priority="2697" operator="greaterThan">
      <formula>0</formula>
    </cfRule>
  </conditionalFormatting>
  <conditionalFormatting sqref="Q31">
    <cfRule type="cellIs" dxfId="13820" priority="2702" operator="lessThan">
      <formula>0</formula>
    </cfRule>
  </conditionalFormatting>
  <conditionalFormatting sqref="R31">
    <cfRule type="cellIs" dxfId="13819" priority="2694" operator="lessThan">
      <formula>0.8</formula>
    </cfRule>
    <cfRule type="cellIs" dxfId="13818" priority="2695" operator="greaterThan">
      <formula>1</formula>
    </cfRule>
  </conditionalFormatting>
  <conditionalFormatting sqref="R31">
    <cfRule type="cellIs" dxfId="13817" priority="2692" operator="greaterThan">
      <formula>1</formula>
    </cfRule>
    <cfRule type="cellIs" dxfId="13816" priority="2693" operator="lessThan">
      <formula>0.8</formula>
    </cfRule>
  </conditionalFormatting>
  <conditionalFormatting sqref="P31">
    <cfRule type="cellIs" dxfId="13815" priority="2691" operator="greaterThan">
      <formula>0</formula>
    </cfRule>
  </conditionalFormatting>
  <conditionalFormatting sqref="Q31">
    <cfRule type="cellIs" dxfId="13814" priority="2696" operator="lessThan">
      <formula>0</formula>
    </cfRule>
  </conditionalFormatting>
  <conditionalFormatting sqref="Q31">
    <cfRule type="cellIs" dxfId="13813" priority="2690" operator="lessThan">
      <formula>0</formula>
    </cfRule>
  </conditionalFormatting>
  <conditionalFormatting sqref="R31">
    <cfRule type="cellIs" dxfId="13812" priority="2688" operator="lessThan">
      <formula>0.8</formula>
    </cfRule>
    <cfRule type="cellIs" dxfId="13811" priority="2689" operator="greaterThan">
      <formula>1</formula>
    </cfRule>
  </conditionalFormatting>
  <conditionalFormatting sqref="R31">
    <cfRule type="cellIs" dxfId="13810" priority="2686" operator="greaterThan">
      <formula>1</formula>
    </cfRule>
    <cfRule type="cellIs" dxfId="13809" priority="2687" operator="lessThan">
      <formula>0.8</formula>
    </cfRule>
  </conditionalFormatting>
  <conditionalFormatting sqref="P31">
    <cfRule type="cellIs" dxfId="13808" priority="2685" operator="greaterThan">
      <formula>0</formula>
    </cfRule>
  </conditionalFormatting>
  <conditionalFormatting sqref="Q31">
    <cfRule type="cellIs" dxfId="13807" priority="2679" operator="lessThan">
      <formula>0</formula>
    </cfRule>
  </conditionalFormatting>
  <conditionalFormatting sqref="R31">
    <cfRule type="cellIs" dxfId="13806" priority="2683" operator="lessThan">
      <formula>0.8</formula>
    </cfRule>
    <cfRule type="cellIs" dxfId="13805" priority="2684" operator="greaterThan">
      <formula>1</formula>
    </cfRule>
  </conditionalFormatting>
  <conditionalFormatting sqref="R31">
    <cfRule type="cellIs" dxfId="13804" priority="2681" operator="greaterThan">
      <formula>1</formula>
    </cfRule>
    <cfRule type="cellIs" dxfId="13803" priority="2682" operator="lessThan">
      <formula>0.8</formula>
    </cfRule>
  </conditionalFormatting>
  <conditionalFormatting sqref="P31">
    <cfRule type="cellIs" dxfId="13802" priority="2680" operator="greaterThan">
      <formula>0</formula>
    </cfRule>
  </conditionalFormatting>
  <conditionalFormatting sqref="Q31">
    <cfRule type="cellIs" dxfId="13801" priority="2678" operator="lessThan">
      <formula>0</formula>
    </cfRule>
  </conditionalFormatting>
  <conditionalFormatting sqref="R31">
    <cfRule type="cellIs" dxfId="13800" priority="2676" operator="lessThan">
      <formula>0.8</formula>
    </cfRule>
    <cfRule type="cellIs" dxfId="13799" priority="2677" operator="greaterThan">
      <formula>1</formula>
    </cfRule>
  </conditionalFormatting>
  <conditionalFormatting sqref="R31">
    <cfRule type="cellIs" dxfId="13798" priority="2674" operator="greaterThan">
      <formula>1</formula>
    </cfRule>
    <cfRule type="cellIs" dxfId="13797" priority="2675" operator="lessThan">
      <formula>0.8</formula>
    </cfRule>
  </conditionalFormatting>
  <conditionalFormatting sqref="P31">
    <cfRule type="cellIs" dxfId="13796" priority="2673" operator="greaterThan">
      <formula>0</formula>
    </cfRule>
  </conditionalFormatting>
  <conditionalFormatting sqref="Q31">
    <cfRule type="cellIs" dxfId="13795" priority="2672" operator="lessThan">
      <formula>0</formula>
    </cfRule>
  </conditionalFormatting>
  <conditionalFormatting sqref="R31">
    <cfRule type="cellIs" dxfId="13794" priority="2670" operator="lessThan">
      <formula>0.8</formula>
    </cfRule>
    <cfRule type="cellIs" dxfId="13793" priority="2671" operator="greaterThan">
      <formula>1</formula>
    </cfRule>
  </conditionalFormatting>
  <conditionalFormatting sqref="R31">
    <cfRule type="cellIs" dxfId="13792" priority="2668" operator="greaterThan">
      <formula>1</formula>
    </cfRule>
    <cfRule type="cellIs" dxfId="13791" priority="2669" operator="lessThan">
      <formula>0.8</formula>
    </cfRule>
  </conditionalFormatting>
  <conditionalFormatting sqref="P31">
    <cfRule type="cellIs" dxfId="13790" priority="2667" operator="greaterThan">
      <formula>0</formula>
    </cfRule>
  </conditionalFormatting>
  <conditionalFormatting sqref="Q31">
    <cfRule type="cellIs" dxfId="13789" priority="2666" operator="lessThan">
      <formula>0</formula>
    </cfRule>
  </conditionalFormatting>
  <conditionalFormatting sqref="R31">
    <cfRule type="cellIs" dxfId="13788" priority="2664" operator="lessThan">
      <formula>0.8</formula>
    </cfRule>
    <cfRule type="cellIs" dxfId="13787" priority="2665" operator="greaterThan">
      <formula>1</formula>
    </cfRule>
  </conditionalFormatting>
  <conditionalFormatting sqref="R31">
    <cfRule type="cellIs" dxfId="13786" priority="2662" operator="greaterThan">
      <formula>1</formula>
    </cfRule>
    <cfRule type="cellIs" dxfId="13785" priority="2663" operator="lessThan">
      <formula>0.8</formula>
    </cfRule>
  </conditionalFormatting>
  <conditionalFormatting sqref="P31">
    <cfRule type="cellIs" dxfId="13784" priority="2661" operator="greaterThan">
      <formula>0</formula>
    </cfRule>
  </conditionalFormatting>
  <conditionalFormatting sqref="Q31">
    <cfRule type="cellIs" dxfId="13783" priority="2660" operator="lessThan">
      <formula>0</formula>
    </cfRule>
  </conditionalFormatting>
  <conditionalFormatting sqref="R31">
    <cfRule type="cellIs" dxfId="13782" priority="2658" operator="lessThan">
      <formula>0.8</formula>
    </cfRule>
    <cfRule type="cellIs" dxfId="13781" priority="2659" operator="greaterThan">
      <formula>1</formula>
    </cfRule>
  </conditionalFormatting>
  <conditionalFormatting sqref="R31">
    <cfRule type="cellIs" dxfId="13780" priority="2656" operator="greaterThan">
      <formula>1</formula>
    </cfRule>
    <cfRule type="cellIs" dxfId="13779" priority="2657" operator="lessThan">
      <formula>0.8</formula>
    </cfRule>
  </conditionalFormatting>
  <conditionalFormatting sqref="P31">
    <cfRule type="cellIs" dxfId="13778" priority="2655" operator="greaterThan">
      <formula>0</formula>
    </cfRule>
  </conditionalFormatting>
  <conditionalFormatting sqref="Q31">
    <cfRule type="cellIs" dxfId="13777" priority="2654" operator="lessThan">
      <formula>0</formula>
    </cfRule>
  </conditionalFormatting>
  <conditionalFormatting sqref="R31">
    <cfRule type="cellIs" dxfId="13776" priority="2652" operator="lessThan">
      <formula>0.8</formula>
    </cfRule>
    <cfRule type="cellIs" dxfId="13775" priority="2653" operator="greaterThan">
      <formula>1</formula>
    </cfRule>
  </conditionalFormatting>
  <conditionalFormatting sqref="R31">
    <cfRule type="cellIs" dxfId="13774" priority="2650" operator="greaterThan">
      <formula>1</formula>
    </cfRule>
    <cfRule type="cellIs" dxfId="13773" priority="2651" operator="lessThan">
      <formula>0.8</formula>
    </cfRule>
  </conditionalFormatting>
  <conditionalFormatting sqref="P31">
    <cfRule type="cellIs" dxfId="13772" priority="2649" operator="greaterThan">
      <formula>0</formula>
    </cfRule>
  </conditionalFormatting>
  <conditionalFormatting sqref="P31">
    <cfRule type="cellIs" dxfId="13771" priority="2643" operator="greaterThan">
      <formula>0</formula>
    </cfRule>
  </conditionalFormatting>
  <conditionalFormatting sqref="Q31">
    <cfRule type="cellIs" dxfId="13770" priority="2648" operator="lessThan">
      <formula>0</formula>
    </cfRule>
  </conditionalFormatting>
  <conditionalFormatting sqref="R31">
    <cfRule type="cellIs" dxfId="13769" priority="2646" operator="lessThan">
      <formula>0.8</formula>
    </cfRule>
    <cfRule type="cellIs" dxfId="13768" priority="2647" operator="greaterThan">
      <formula>1</formula>
    </cfRule>
  </conditionalFormatting>
  <conditionalFormatting sqref="R31">
    <cfRule type="cellIs" dxfId="13767" priority="2644" operator="greaterThan">
      <formula>1</formula>
    </cfRule>
    <cfRule type="cellIs" dxfId="13766" priority="2645" operator="lessThan">
      <formula>0.8</formula>
    </cfRule>
  </conditionalFormatting>
  <conditionalFormatting sqref="P31">
    <cfRule type="cellIs" dxfId="13765" priority="2637" operator="greaterThan">
      <formula>0</formula>
    </cfRule>
  </conditionalFormatting>
  <conditionalFormatting sqref="Q31">
    <cfRule type="cellIs" dxfId="13764" priority="2642" operator="lessThan">
      <formula>0</formula>
    </cfRule>
  </conditionalFormatting>
  <conditionalFormatting sqref="R31">
    <cfRule type="cellIs" dxfId="13763" priority="2640" operator="lessThan">
      <formula>0.8</formula>
    </cfRule>
    <cfRule type="cellIs" dxfId="13762" priority="2641" operator="greaterThan">
      <formula>1</formula>
    </cfRule>
  </conditionalFormatting>
  <conditionalFormatting sqref="R31">
    <cfRule type="cellIs" dxfId="13761" priority="2638" operator="greaterThan">
      <formula>1</formula>
    </cfRule>
    <cfRule type="cellIs" dxfId="13760" priority="2639" operator="lessThan">
      <formula>0.8</formula>
    </cfRule>
  </conditionalFormatting>
  <conditionalFormatting sqref="R31">
    <cfRule type="cellIs" dxfId="13759" priority="2634" operator="lessThan">
      <formula>0.8</formula>
    </cfRule>
    <cfRule type="cellIs" dxfId="13758" priority="2635" operator="greaterThan">
      <formula>1</formula>
    </cfRule>
  </conditionalFormatting>
  <conditionalFormatting sqref="R31">
    <cfRule type="cellIs" dxfId="13757" priority="2632" operator="greaterThan">
      <formula>1</formula>
    </cfRule>
    <cfRule type="cellIs" dxfId="13756" priority="2633" operator="lessThan">
      <formula>0.8</formula>
    </cfRule>
  </conditionalFormatting>
  <conditionalFormatting sqref="P31">
    <cfRule type="cellIs" dxfId="13755" priority="2631" operator="greaterThan">
      <formula>0</formula>
    </cfRule>
  </conditionalFormatting>
  <conditionalFormatting sqref="Q31">
    <cfRule type="cellIs" dxfId="13754" priority="2636" operator="lessThan">
      <formula>0</formula>
    </cfRule>
  </conditionalFormatting>
  <conditionalFormatting sqref="P79">
    <cfRule type="cellIs" dxfId="13753" priority="2625" operator="greaterThan">
      <formula>0</formula>
    </cfRule>
  </conditionalFormatting>
  <conditionalFormatting sqref="Q79">
    <cfRule type="cellIs" dxfId="13752" priority="2630" operator="lessThan">
      <formula>0</formula>
    </cfRule>
  </conditionalFormatting>
  <conditionalFormatting sqref="R79">
    <cfRule type="cellIs" dxfId="13751" priority="2628" operator="lessThan">
      <formula>0.8</formula>
    </cfRule>
    <cfRule type="cellIs" dxfId="13750" priority="2629" operator="greaterThan">
      <formula>1</formula>
    </cfRule>
  </conditionalFormatting>
  <conditionalFormatting sqref="R79">
    <cfRule type="cellIs" dxfId="13749" priority="2626" operator="greaterThan">
      <formula>1</formula>
    </cfRule>
    <cfRule type="cellIs" dxfId="13748" priority="2627" operator="lessThan">
      <formula>0.8</formula>
    </cfRule>
  </conditionalFormatting>
  <conditionalFormatting sqref="Q79">
    <cfRule type="cellIs" dxfId="13747" priority="2624" operator="lessThan">
      <formula>0</formula>
    </cfRule>
  </conditionalFormatting>
  <conditionalFormatting sqref="R79">
    <cfRule type="cellIs" dxfId="13746" priority="2622" operator="lessThan">
      <formula>0.8</formula>
    </cfRule>
    <cfRule type="cellIs" dxfId="13745" priority="2623" operator="greaterThan">
      <formula>1</formula>
    </cfRule>
  </conditionalFormatting>
  <conditionalFormatting sqref="R79">
    <cfRule type="cellIs" dxfId="13744" priority="2620" operator="greaterThan">
      <formula>1</formula>
    </cfRule>
    <cfRule type="cellIs" dxfId="13743" priority="2621" operator="lessThan">
      <formula>0.8</formula>
    </cfRule>
  </conditionalFormatting>
  <conditionalFormatting sqref="P79">
    <cfRule type="cellIs" dxfId="13742" priority="2619" operator="greaterThan">
      <formula>0</formula>
    </cfRule>
  </conditionalFormatting>
  <conditionalFormatting sqref="P79">
    <cfRule type="cellIs" dxfId="13741" priority="2613" operator="greaterThan">
      <formula>0</formula>
    </cfRule>
  </conditionalFormatting>
  <conditionalFormatting sqref="Q79">
    <cfRule type="cellIs" dxfId="13740" priority="2618" operator="lessThan">
      <formula>0</formula>
    </cfRule>
  </conditionalFormatting>
  <conditionalFormatting sqref="R79">
    <cfRule type="cellIs" dxfId="13739" priority="2616" operator="lessThan">
      <formula>0.8</formula>
    </cfRule>
    <cfRule type="cellIs" dxfId="13738" priority="2617" operator="greaterThan">
      <formula>1</formula>
    </cfRule>
  </conditionalFormatting>
  <conditionalFormatting sqref="R79">
    <cfRule type="cellIs" dxfId="13737" priority="2614" operator="greaterThan">
      <formula>1</formula>
    </cfRule>
    <cfRule type="cellIs" dxfId="13736" priority="2615" operator="lessThan">
      <formula>0.8</formula>
    </cfRule>
  </conditionalFormatting>
  <conditionalFormatting sqref="Q79">
    <cfRule type="cellIs" dxfId="13735" priority="2607" operator="lessThan">
      <formula>0</formula>
    </cfRule>
  </conditionalFormatting>
  <conditionalFormatting sqref="P79">
    <cfRule type="cellIs" dxfId="13734" priority="2608" operator="greaterThan">
      <formula>0</formula>
    </cfRule>
  </conditionalFormatting>
  <conditionalFormatting sqref="R79">
    <cfRule type="cellIs" dxfId="13733" priority="2611" operator="lessThan">
      <formula>0.8</formula>
    </cfRule>
    <cfRule type="cellIs" dxfId="13732" priority="2612" operator="greaterThan">
      <formula>1</formula>
    </cfRule>
  </conditionalFormatting>
  <conditionalFormatting sqref="R79">
    <cfRule type="cellIs" dxfId="13731" priority="2609" operator="greaterThan">
      <formula>1</formula>
    </cfRule>
    <cfRule type="cellIs" dxfId="13730" priority="2610" operator="lessThan">
      <formula>0.8</formula>
    </cfRule>
  </conditionalFormatting>
  <conditionalFormatting sqref="Q79">
    <cfRule type="cellIs" dxfId="13729" priority="2601" operator="lessThan">
      <formula>0</formula>
    </cfRule>
  </conditionalFormatting>
  <conditionalFormatting sqref="R79">
    <cfRule type="cellIs" dxfId="13728" priority="2605" operator="lessThan">
      <formula>0.8</formula>
    </cfRule>
    <cfRule type="cellIs" dxfId="13727" priority="2606" operator="greaterThan">
      <formula>1</formula>
    </cfRule>
  </conditionalFormatting>
  <conditionalFormatting sqref="R79">
    <cfRule type="cellIs" dxfId="13726" priority="2603" operator="greaterThan">
      <formula>1</formula>
    </cfRule>
    <cfRule type="cellIs" dxfId="13725" priority="2604" operator="lessThan">
      <formula>0.8</formula>
    </cfRule>
  </conditionalFormatting>
  <conditionalFormatting sqref="P79">
    <cfRule type="cellIs" dxfId="13724" priority="2602" operator="greaterThan">
      <formula>0</formula>
    </cfRule>
  </conditionalFormatting>
  <conditionalFormatting sqref="Q79">
    <cfRule type="cellIs" dxfId="13723" priority="2600" operator="lessThan">
      <formula>0</formula>
    </cfRule>
  </conditionalFormatting>
  <conditionalFormatting sqref="R79">
    <cfRule type="cellIs" dxfId="13722" priority="2598" operator="lessThan">
      <formula>0.8</formula>
    </cfRule>
    <cfRule type="cellIs" dxfId="13721" priority="2599" operator="greaterThan">
      <formula>1</formula>
    </cfRule>
  </conditionalFormatting>
  <conditionalFormatting sqref="R79">
    <cfRule type="cellIs" dxfId="13720" priority="2596" operator="greaterThan">
      <formula>1</formula>
    </cfRule>
    <cfRule type="cellIs" dxfId="13719" priority="2597" operator="lessThan">
      <formula>0.8</formula>
    </cfRule>
  </conditionalFormatting>
  <conditionalFormatting sqref="P79">
    <cfRule type="cellIs" dxfId="13718" priority="2595" operator="greaterThan">
      <formula>0</formula>
    </cfRule>
  </conditionalFormatting>
  <conditionalFormatting sqref="Q79">
    <cfRule type="cellIs" dxfId="13717" priority="2594" operator="lessThan">
      <formula>0</formula>
    </cfRule>
  </conditionalFormatting>
  <conditionalFormatting sqref="R79">
    <cfRule type="cellIs" dxfId="13716" priority="2592" operator="lessThan">
      <formula>0.8</formula>
    </cfRule>
    <cfRule type="cellIs" dxfId="13715" priority="2593" operator="greaterThan">
      <formula>1</formula>
    </cfRule>
  </conditionalFormatting>
  <conditionalFormatting sqref="R79">
    <cfRule type="cellIs" dxfId="13714" priority="2590" operator="greaterThan">
      <formula>1</formula>
    </cfRule>
    <cfRule type="cellIs" dxfId="13713" priority="2591" operator="lessThan">
      <formula>0.8</formula>
    </cfRule>
  </conditionalFormatting>
  <conditionalFormatting sqref="P79">
    <cfRule type="cellIs" dxfId="13712" priority="2589" operator="greaterThan">
      <formula>0</formula>
    </cfRule>
  </conditionalFormatting>
  <conditionalFormatting sqref="P79">
    <cfRule type="cellIs" dxfId="13711" priority="2583" operator="greaterThan">
      <formula>0</formula>
    </cfRule>
  </conditionalFormatting>
  <conditionalFormatting sqref="Q79">
    <cfRule type="cellIs" dxfId="13710" priority="2588" operator="lessThan">
      <formula>0</formula>
    </cfRule>
  </conditionalFormatting>
  <conditionalFormatting sqref="R79">
    <cfRule type="cellIs" dxfId="13709" priority="2586" operator="lessThan">
      <formula>0.8</formula>
    </cfRule>
    <cfRule type="cellIs" dxfId="13708" priority="2587" operator="greaterThan">
      <formula>1</formula>
    </cfRule>
  </conditionalFormatting>
  <conditionalFormatting sqref="R79">
    <cfRule type="cellIs" dxfId="13707" priority="2584" operator="greaterThan">
      <formula>1</formula>
    </cfRule>
    <cfRule type="cellIs" dxfId="13706" priority="2585" operator="lessThan">
      <formula>0.8</formula>
    </cfRule>
  </conditionalFormatting>
  <conditionalFormatting sqref="P71:P78">
    <cfRule type="cellIs" dxfId="13705" priority="2577" operator="greaterThan">
      <formula>0</formula>
    </cfRule>
  </conditionalFormatting>
  <conditionalFormatting sqref="Q71:Q78">
    <cfRule type="cellIs" dxfId="13704" priority="2582" operator="lessThan">
      <formula>0</formula>
    </cfRule>
  </conditionalFormatting>
  <conditionalFormatting sqref="R71:R78">
    <cfRule type="cellIs" dxfId="13703" priority="2580" operator="lessThan">
      <formula>0.8</formula>
    </cfRule>
    <cfRule type="cellIs" dxfId="13702" priority="2581" operator="greaterThan">
      <formula>1</formula>
    </cfRule>
  </conditionalFormatting>
  <conditionalFormatting sqref="R71:R78">
    <cfRule type="cellIs" dxfId="13701" priority="2578" operator="greaterThan">
      <formula>1</formula>
    </cfRule>
    <cfRule type="cellIs" dxfId="13700" priority="2579" operator="lessThan">
      <formula>0.8</formula>
    </cfRule>
  </conditionalFormatting>
  <conditionalFormatting sqref="Q148:Q153">
    <cfRule type="cellIs" dxfId="13699" priority="2576" operator="lessThan">
      <formula>0</formula>
    </cfRule>
  </conditionalFormatting>
  <conditionalFormatting sqref="R148:R153">
    <cfRule type="cellIs" dxfId="13698" priority="2574" operator="lessThan">
      <formula>0.8</formula>
    </cfRule>
    <cfRule type="cellIs" dxfId="13697" priority="2575" operator="greaterThan">
      <formula>1</formula>
    </cfRule>
  </conditionalFormatting>
  <conditionalFormatting sqref="R148:R153">
    <cfRule type="cellIs" dxfId="13696" priority="2572" operator="greaterThan">
      <formula>1</formula>
    </cfRule>
    <cfRule type="cellIs" dxfId="13695" priority="2573" operator="lessThan">
      <formula>0.8</formula>
    </cfRule>
  </conditionalFormatting>
  <conditionalFormatting sqref="P148:P153">
    <cfRule type="cellIs" dxfId="13694" priority="2571" operator="greaterThan">
      <formula>0</formula>
    </cfRule>
  </conditionalFormatting>
  <conditionalFormatting sqref="Q148:Q153">
    <cfRule type="cellIs" dxfId="13693" priority="2570" operator="lessThan">
      <formula>0</formula>
    </cfRule>
  </conditionalFormatting>
  <conditionalFormatting sqref="R148:R153">
    <cfRule type="cellIs" dxfId="13692" priority="2568" operator="lessThan">
      <formula>0.8</formula>
    </cfRule>
    <cfRule type="cellIs" dxfId="13691" priority="2569" operator="greaterThan">
      <formula>1</formula>
    </cfRule>
  </conditionalFormatting>
  <conditionalFormatting sqref="R148:R153">
    <cfRule type="cellIs" dxfId="13690" priority="2566" operator="greaterThan">
      <formula>1</formula>
    </cfRule>
    <cfRule type="cellIs" dxfId="13689" priority="2567" operator="lessThan">
      <formula>0.8</formula>
    </cfRule>
  </conditionalFormatting>
  <conditionalFormatting sqref="P148:P153">
    <cfRule type="cellIs" dxfId="13688" priority="2565" operator="greaterThan">
      <formula>0</formula>
    </cfRule>
  </conditionalFormatting>
  <conditionalFormatting sqref="Q148:Q153">
    <cfRule type="cellIs" dxfId="13687" priority="2564" operator="lessThan">
      <formula>0</formula>
    </cfRule>
  </conditionalFormatting>
  <conditionalFormatting sqref="R148:R153">
    <cfRule type="cellIs" dxfId="13686" priority="2562" operator="lessThan">
      <formula>0.8</formula>
    </cfRule>
    <cfRule type="cellIs" dxfId="13685" priority="2563" operator="greaterThan">
      <formula>1</formula>
    </cfRule>
  </conditionalFormatting>
  <conditionalFormatting sqref="R148:R153">
    <cfRule type="cellIs" dxfId="13684" priority="2560" operator="greaterThan">
      <formula>1</formula>
    </cfRule>
    <cfRule type="cellIs" dxfId="13683" priority="2561" operator="lessThan">
      <formula>0.8</formula>
    </cfRule>
  </conditionalFormatting>
  <conditionalFormatting sqref="P148:P153">
    <cfRule type="cellIs" dxfId="13682" priority="2559" operator="greaterThan">
      <formula>0</formula>
    </cfRule>
  </conditionalFormatting>
  <conditionalFormatting sqref="Q148:Q153">
    <cfRule type="cellIs" dxfId="13681" priority="2558" operator="lessThan">
      <formula>0</formula>
    </cfRule>
  </conditionalFormatting>
  <conditionalFormatting sqref="R148:R153">
    <cfRule type="cellIs" dxfId="13680" priority="2556" operator="lessThan">
      <formula>0.8</formula>
    </cfRule>
    <cfRule type="cellIs" dxfId="13679" priority="2557" operator="greaterThan">
      <formula>1</formula>
    </cfRule>
  </conditionalFormatting>
  <conditionalFormatting sqref="R148:R153">
    <cfRule type="cellIs" dxfId="13678" priority="2554" operator="greaterThan">
      <formula>1</formula>
    </cfRule>
    <cfRule type="cellIs" dxfId="13677" priority="2555" operator="lessThan">
      <formula>0.8</formula>
    </cfRule>
  </conditionalFormatting>
  <conditionalFormatting sqref="P148:P153">
    <cfRule type="cellIs" dxfId="13676" priority="2553" operator="greaterThan">
      <formula>0</formula>
    </cfRule>
  </conditionalFormatting>
  <conditionalFormatting sqref="P148:P153">
    <cfRule type="cellIs" dxfId="13675" priority="2547" operator="greaterThan">
      <formula>0</formula>
    </cfRule>
  </conditionalFormatting>
  <conditionalFormatting sqref="Q148:Q153">
    <cfRule type="cellIs" dxfId="13674" priority="2552" operator="lessThan">
      <formula>0</formula>
    </cfRule>
  </conditionalFormatting>
  <conditionalFormatting sqref="R148:R153">
    <cfRule type="cellIs" dxfId="13673" priority="2550" operator="lessThan">
      <formula>0.8</formula>
    </cfRule>
    <cfRule type="cellIs" dxfId="13672" priority="2551" operator="greaterThan">
      <formula>1</formula>
    </cfRule>
  </conditionalFormatting>
  <conditionalFormatting sqref="R148:R153">
    <cfRule type="cellIs" dxfId="13671" priority="2548" operator="greaterThan">
      <formula>1</formula>
    </cfRule>
    <cfRule type="cellIs" dxfId="13670" priority="2549" operator="lessThan">
      <formula>0.8</formula>
    </cfRule>
  </conditionalFormatting>
  <conditionalFormatting sqref="P148:P153">
    <cfRule type="cellIs" dxfId="13669" priority="2541" operator="greaterThan">
      <formula>0</formula>
    </cfRule>
  </conditionalFormatting>
  <conditionalFormatting sqref="Q148:Q153">
    <cfRule type="cellIs" dxfId="13668" priority="2546" operator="lessThan">
      <formula>0</formula>
    </cfRule>
  </conditionalFormatting>
  <conditionalFormatting sqref="R148:R153">
    <cfRule type="cellIs" dxfId="13667" priority="2544" operator="lessThan">
      <formula>0.8</formula>
    </cfRule>
    <cfRule type="cellIs" dxfId="13666" priority="2545" operator="greaterThan">
      <formula>1</formula>
    </cfRule>
  </conditionalFormatting>
  <conditionalFormatting sqref="R148:R153">
    <cfRule type="cellIs" dxfId="13665" priority="2542" operator="greaterThan">
      <formula>1</formula>
    </cfRule>
    <cfRule type="cellIs" dxfId="13664" priority="2543" operator="lessThan">
      <formula>0.8</formula>
    </cfRule>
  </conditionalFormatting>
  <conditionalFormatting sqref="R148:R153">
    <cfRule type="cellIs" dxfId="13663" priority="2538" operator="lessThan">
      <formula>0.8</formula>
    </cfRule>
    <cfRule type="cellIs" dxfId="13662" priority="2539" operator="greaterThan">
      <formula>1</formula>
    </cfRule>
  </conditionalFormatting>
  <conditionalFormatting sqref="R148:R153">
    <cfRule type="cellIs" dxfId="13661" priority="2536" operator="greaterThan">
      <formula>1</formula>
    </cfRule>
    <cfRule type="cellIs" dxfId="13660" priority="2537" operator="lessThan">
      <formula>0.8</formula>
    </cfRule>
  </conditionalFormatting>
  <conditionalFormatting sqref="P148:P153">
    <cfRule type="cellIs" dxfId="13659" priority="2535" operator="greaterThan">
      <formula>0</formula>
    </cfRule>
  </conditionalFormatting>
  <conditionalFormatting sqref="Q148:Q153">
    <cfRule type="cellIs" dxfId="13658" priority="2540" operator="lessThan">
      <formula>0</formula>
    </cfRule>
  </conditionalFormatting>
  <conditionalFormatting sqref="Q148:Q153">
    <cfRule type="cellIs" dxfId="13657" priority="2534" operator="lessThan">
      <formula>0</formula>
    </cfRule>
  </conditionalFormatting>
  <conditionalFormatting sqref="R148:R153">
    <cfRule type="cellIs" dxfId="13656" priority="2532" operator="lessThan">
      <formula>0.8</formula>
    </cfRule>
    <cfRule type="cellIs" dxfId="13655" priority="2533" operator="greaterThan">
      <formula>1</formula>
    </cfRule>
  </conditionalFormatting>
  <conditionalFormatting sqref="R148:R153">
    <cfRule type="cellIs" dxfId="13654" priority="2530" operator="greaterThan">
      <formula>1</formula>
    </cfRule>
    <cfRule type="cellIs" dxfId="13653" priority="2531" operator="lessThan">
      <formula>0.8</formula>
    </cfRule>
  </conditionalFormatting>
  <conditionalFormatting sqref="P148:P153">
    <cfRule type="cellIs" dxfId="13652" priority="2529" operator="greaterThan">
      <formula>0</formula>
    </cfRule>
  </conditionalFormatting>
  <conditionalFormatting sqref="P148:P153">
    <cfRule type="cellIs" dxfId="13651" priority="2523" operator="greaterThan">
      <formula>0</formula>
    </cfRule>
  </conditionalFormatting>
  <conditionalFormatting sqref="Q148:Q153">
    <cfRule type="cellIs" dxfId="13650" priority="2528" operator="lessThan">
      <formula>0</formula>
    </cfRule>
  </conditionalFormatting>
  <conditionalFormatting sqref="R148:R153">
    <cfRule type="cellIs" dxfId="13649" priority="2526" operator="lessThan">
      <formula>0.8</formula>
    </cfRule>
    <cfRule type="cellIs" dxfId="13648" priority="2527" operator="greaterThan">
      <formula>1</formula>
    </cfRule>
  </conditionalFormatting>
  <conditionalFormatting sqref="R148:R153">
    <cfRule type="cellIs" dxfId="13647" priority="2524" operator="greaterThan">
      <formula>1</formula>
    </cfRule>
    <cfRule type="cellIs" dxfId="13646" priority="2525" operator="lessThan">
      <formula>0.8</formula>
    </cfRule>
  </conditionalFormatting>
  <conditionalFormatting sqref="P148:P153">
    <cfRule type="cellIs" dxfId="13645" priority="2517" operator="greaterThan">
      <formula>0</formula>
    </cfRule>
  </conditionalFormatting>
  <conditionalFormatting sqref="Q148:Q153">
    <cfRule type="cellIs" dxfId="13644" priority="2522" operator="lessThan">
      <formula>0</formula>
    </cfRule>
  </conditionalFormatting>
  <conditionalFormatting sqref="R148:R153">
    <cfRule type="cellIs" dxfId="13643" priority="2520" operator="lessThan">
      <formula>0.8</formula>
    </cfRule>
    <cfRule type="cellIs" dxfId="13642" priority="2521" operator="greaterThan">
      <formula>1</formula>
    </cfRule>
  </conditionalFormatting>
  <conditionalFormatting sqref="R148:R153">
    <cfRule type="cellIs" dxfId="13641" priority="2518" operator="greaterThan">
      <formula>1</formula>
    </cfRule>
    <cfRule type="cellIs" dxfId="13640" priority="2519" operator="lessThan">
      <formula>0.8</formula>
    </cfRule>
  </conditionalFormatting>
  <conditionalFormatting sqref="R148:R153">
    <cfRule type="cellIs" dxfId="13639" priority="2514" operator="lessThan">
      <formula>0.8</formula>
    </cfRule>
    <cfRule type="cellIs" dxfId="13638" priority="2515" operator="greaterThan">
      <formula>1</formula>
    </cfRule>
  </conditionalFormatting>
  <conditionalFormatting sqref="R148:R153">
    <cfRule type="cellIs" dxfId="13637" priority="2512" operator="greaterThan">
      <formula>1</formula>
    </cfRule>
    <cfRule type="cellIs" dxfId="13636" priority="2513" operator="lessThan">
      <formula>0.8</formula>
    </cfRule>
  </conditionalFormatting>
  <conditionalFormatting sqref="P148:P153">
    <cfRule type="cellIs" dxfId="13635" priority="2511" operator="greaterThan">
      <formula>0</formula>
    </cfRule>
  </conditionalFormatting>
  <conditionalFormatting sqref="Q148:Q153">
    <cfRule type="cellIs" dxfId="13634" priority="2516" operator="lessThan">
      <formula>0</formula>
    </cfRule>
  </conditionalFormatting>
  <conditionalFormatting sqref="P148:P153">
    <cfRule type="cellIs" dxfId="13633" priority="2505" operator="greaterThan">
      <formula>0</formula>
    </cfRule>
  </conditionalFormatting>
  <conditionalFormatting sqref="Q148:Q153">
    <cfRule type="cellIs" dxfId="13632" priority="2510" operator="lessThan">
      <formula>0</formula>
    </cfRule>
  </conditionalFormatting>
  <conditionalFormatting sqref="R148:R153">
    <cfRule type="cellIs" dxfId="13631" priority="2508" operator="lessThan">
      <formula>0.8</formula>
    </cfRule>
    <cfRule type="cellIs" dxfId="13630" priority="2509" operator="greaterThan">
      <formula>1</formula>
    </cfRule>
  </conditionalFormatting>
  <conditionalFormatting sqref="R148:R153">
    <cfRule type="cellIs" dxfId="13629" priority="2506" operator="greaterThan">
      <formula>1</formula>
    </cfRule>
    <cfRule type="cellIs" dxfId="13628" priority="2507" operator="lessThan">
      <formula>0.8</formula>
    </cfRule>
  </conditionalFormatting>
  <conditionalFormatting sqref="R148:R153">
    <cfRule type="cellIs" dxfId="13627" priority="2502" operator="lessThan">
      <formula>0.8</formula>
    </cfRule>
    <cfRule type="cellIs" dxfId="13626" priority="2503" operator="greaterThan">
      <formula>1</formula>
    </cfRule>
  </conditionalFormatting>
  <conditionalFormatting sqref="R148:R153">
    <cfRule type="cellIs" dxfId="13625" priority="2500" operator="greaterThan">
      <formula>1</formula>
    </cfRule>
    <cfRule type="cellIs" dxfId="13624" priority="2501" operator="lessThan">
      <formula>0.8</formula>
    </cfRule>
  </conditionalFormatting>
  <conditionalFormatting sqref="P148:P153">
    <cfRule type="cellIs" dxfId="13623" priority="2499" operator="greaterThan">
      <formula>0</formula>
    </cfRule>
  </conditionalFormatting>
  <conditionalFormatting sqref="Q148:Q153">
    <cfRule type="cellIs" dxfId="13622" priority="2504" operator="lessThan">
      <formula>0</formula>
    </cfRule>
  </conditionalFormatting>
  <conditionalFormatting sqref="R148:R153">
    <cfRule type="cellIs" dxfId="13621" priority="2496" operator="lessThan">
      <formula>0.8</formula>
    </cfRule>
    <cfRule type="cellIs" dxfId="13620" priority="2497" operator="greaterThan">
      <formula>1</formula>
    </cfRule>
  </conditionalFormatting>
  <conditionalFormatting sqref="R148:R153">
    <cfRule type="cellIs" dxfId="13619" priority="2494" operator="greaterThan">
      <formula>1</formula>
    </cfRule>
    <cfRule type="cellIs" dxfId="13618" priority="2495" operator="lessThan">
      <formula>0.8</formula>
    </cfRule>
  </conditionalFormatting>
  <conditionalFormatting sqref="P148:P153">
    <cfRule type="cellIs" dxfId="13617" priority="2493" operator="greaterThan">
      <formula>0</formula>
    </cfRule>
  </conditionalFormatting>
  <conditionalFormatting sqref="Q148:Q153">
    <cfRule type="cellIs" dxfId="13616" priority="2498" operator="lessThan">
      <formula>0</formula>
    </cfRule>
  </conditionalFormatting>
  <conditionalFormatting sqref="Q148:Q153">
    <cfRule type="cellIs" dxfId="13615" priority="2492" operator="lessThan">
      <formula>0</formula>
    </cfRule>
  </conditionalFormatting>
  <conditionalFormatting sqref="R148:R153">
    <cfRule type="cellIs" dxfId="13614" priority="2490" operator="lessThan">
      <formula>0.8</formula>
    </cfRule>
    <cfRule type="cellIs" dxfId="13613" priority="2491" operator="greaterThan">
      <formula>1</formula>
    </cfRule>
  </conditionalFormatting>
  <conditionalFormatting sqref="R148:R153">
    <cfRule type="cellIs" dxfId="13612" priority="2488" operator="greaterThan">
      <formula>1</formula>
    </cfRule>
    <cfRule type="cellIs" dxfId="13611" priority="2489" operator="lessThan">
      <formula>0.8</formula>
    </cfRule>
  </conditionalFormatting>
  <conditionalFormatting sqref="P148:P153">
    <cfRule type="cellIs" dxfId="13610" priority="2487" operator="greaterThan">
      <formula>0</formula>
    </cfRule>
  </conditionalFormatting>
  <conditionalFormatting sqref="Q148:Q153">
    <cfRule type="cellIs" dxfId="13609" priority="2481" operator="lessThan">
      <formula>0</formula>
    </cfRule>
  </conditionalFormatting>
  <conditionalFormatting sqref="R148:R153">
    <cfRule type="cellIs" dxfId="13608" priority="2485" operator="lessThan">
      <formula>0.8</formula>
    </cfRule>
    <cfRule type="cellIs" dxfId="13607" priority="2486" operator="greaterThan">
      <formula>1</formula>
    </cfRule>
  </conditionalFormatting>
  <conditionalFormatting sqref="R148:R153">
    <cfRule type="cellIs" dxfId="13606" priority="2483" operator="greaterThan">
      <formula>1</formula>
    </cfRule>
    <cfRule type="cellIs" dxfId="13605" priority="2484" operator="lessThan">
      <formula>0.8</formula>
    </cfRule>
  </conditionalFormatting>
  <conditionalFormatting sqref="P148:P153">
    <cfRule type="cellIs" dxfId="13604" priority="2482" operator="greaterThan">
      <formula>0</formula>
    </cfRule>
  </conditionalFormatting>
  <conditionalFormatting sqref="Q148:Q153">
    <cfRule type="cellIs" dxfId="13603" priority="2480" operator="lessThan">
      <formula>0</formula>
    </cfRule>
  </conditionalFormatting>
  <conditionalFormatting sqref="R148:R153">
    <cfRule type="cellIs" dxfId="13602" priority="2478" operator="lessThan">
      <formula>0.8</formula>
    </cfRule>
    <cfRule type="cellIs" dxfId="13601" priority="2479" operator="greaterThan">
      <formula>1</formula>
    </cfRule>
  </conditionalFormatting>
  <conditionalFormatting sqref="R148:R153">
    <cfRule type="cellIs" dxfId="13600" priority="2476" operator="greaterThan">
      <formula>1</formula>
    </cfRule>
    <cfRule type="cellIs" dxfId="13599" priority="2477" operator="lessThan">
      <formula>0.8</formula>
    </cfRule>
  </conditionalFormatting>
  <conditionalFormatting sqref="P148:P153">
    <cfRule type="cellIs" dxfId="13598" priority="2475" operator="greaterThan">
      <formula>0</formula>
    </cfRule>
  </conditionalFormatting>
  <conditionalFormatting sqref="Q148:Q153">
    <cfRule type="cellIs" dxfId="13597" priority="2474" operator="lessThan">
      <formula>0</formula>
    </cfRule>
  </conditionalFormatting>
  <conditionalFormatting sqref="R148:R153">
    <cfRule type="cellIs" dxfId="13596" priority="2472" operator="lessThan">
      <formula>0.8</formula>
    </cfRule>
    <cfRule type="cellIs" dxfId="13595" priority="2473" operator="greaterThan">
      <formula>1</formula>
    </cfRule>
  </conditionalFormatting>
  <conditionalFormatting sqref="R148:R153">
    <cfRule type="cellIs" dxfId="13594" priority="2470" operator="greaterThan">
      <formula>1</formula>
    </cfRule>
    <cfRule type="cellIs" dxfId="13593" priority="2471" operator="lessThan">
      <formula>0.8</formula>
    </cfRule>
  </conditionalFormatting>
  <conditionalFormatting sqref="P148:P153">
    <cfRule type="cellIs" dxfId="13592" priority="2469" operator="greaterThan">
      <formula>0</formula>
    </cfRule>
  </conditionalFormatting>
  <conditionalFormatting sqref="Q148:Q153">
    <cfRule type="cellIs" dxfId="13591" priority="2468" operator="lessThan">
      <formula>0</formula>
    </cfRule>
  </conditionalFormatting>
  <conditionalFormatting sqref="R148:R153">
    <cfRule type="cellIs" dxfId="13590" priority="2466" operator="lessThan">
      <formula>0.8</formula>
    </cfRule>
    <cfRule type="cellIs" dxfId="13589" priority="2467" operator="greaterThan">
      <formula>1</formula>
    </cfRule>
  </conditionalFormatting>
  <conditionalFormatting sqref="R148:R153">
    <cfRule type="cellIs" dxfId="13588" priority="2464" operator="greaterThan">
      <formula>1</formula>
    </cfRule>
    <cfRule type="cellIs" dxfId="13587" priority="2465" operator="lessThan">
      <formula>0.8</formula>
    </cfRule>
  </conditionalFormatting>
  <conditionalFormatting sqref="P148:P153">
    <cfRule type="cellIs" dxfId="13586" priority="2463" operator="greaterThan">
      <formula>0</formula>
    </cfRule>
  </conditionalFormatting>
  <conditionalFormatting sqref="Q148:Q153">
    <cfRule type="cellIs" dxfId="13585" priority="2462" operator="lessThan">
      <formula>0</formula>
    </cfRule>
  </conditionalFormatting>
  <conditionalFormatting sqref="R148:R153">
    <cfRule type="cellIs" dxfId="13584" priority="2460" operator="lessThan">
      <formula>0.8</formula>
    </cfRule>
    <cfRule type="cellIs" dxfId="13583" priority="2461" operator="greaterThan">
      <formula>1</formula>
    </cfRule>
  </conditionalFormatting>
  <conditionalFormatting sqref="R148:R153">
    <cfRule type="cellIs" dxfId="13582" priority="2458" operator="greaterThan">
      <formula>1</formula>
    </cfRule>
    <cfRule type="cellIs" dxfId="13581" priority="2459" operator="lessThan">
      <formula>0.8</formula>
    </cfRule>
  </conditionalFormatting>
  <conditionalFormatting sqref="P148:P153">
    <cfRule type="cellIs" dxfId="13580" priority="2457" operator="greaterThan">
      <formula>0</formula>
    </cfRule>
  </conditionalFormatting>
  <conditionalFormatting sqref="Q148:Q153">
    <cfRule type="cellIs" dxfId="13579" priority="2456" operator="lessThan">
      <formula>0</formula>
    </cfRule>
  </conditionalFormatting>
  <conditionalFormatting sqref="R148:R153">
    <cfRule type="cellIs" dxfId="13578" priority="2454" operator="lessThan">
      <formula>0.8</formula>
    </cfRule>
    <cfRule type="cellIs" dxfId="13577" priority="2455" operator="greaterThan">
      <formula>1</formula>
    </cfRule>
  </conditionalFormatting>
  <conditionalFormatting sqref="R148:R153">
    <cfRule type="cellIs" dxfId="13576" priority="2452" operator="greaterThan">
      <formula>1</formula>
    </cfRule>
    <cfRule type="cellIs" dxfId="13575" priority="2453" operator="lessThan">
      <formula>0.8</formula>
    </cfRule>
  </conditionalFormatting>
  <conditionalFormatting sqref="P148:P153">
    <cfRule type="cellIs" dxfId="13574" priority="2451" operator="greaterThan">
      <formula>0</formula>
    </cfRule>
  </conditionalFormatting>
  <conditionalFormatting sqref="P148:P153">
    <cfRule type="cellIs" dxfId="13573" priority="2445" operator="greaterThan">
      <formula>0</formula>
    </cfRule>
  </conditionalFormatting>
  <conditionalFormatting sqref="Q148:Q153">
    <cfRule type="cellIs" dxfId="13572" priority="2450" operator="lessThan">
      <formula>0</formula>
    </cfRule>
  </conditionalFormatting>
  <conditionalFormatting sqref="R148:R153">
    <cfRule type="cellIs" dxfId="13571" priority="2448" operator="lessThan">
      <formula>0.8</formula>
    </cfRule>
    <cfRule type="cellIs" dxfId="13570" priority="2449" operator="greaterThan">
      <formula>1</formula>
    </cfRule>
  </conditionalFormatting>
  <conditionalFormatting sqref="R148:R153">
    <cfRule type="cellIs" dxfId="13569" priority="2446" operator="greaterThan">
      <formula>1</formula>
    </cfRule>
    <cfRule type="cellIs" dxfId="13568" priority="2447" operator="lessThan">
      <formula>0.8</formula>
    </cfRule>
  </conditionalFormatting>
  <conditionalFormatting sqref="P148:P153">
    <cfRule type="cellIs" dxfId="13567" priority="2439" operator="greaterThan">
      <formula>0</formula>
    </cfRule>
  </conditionalFormatting>
  <conditionalFormatting sqref="Q148:Q153">
    <cfRule type="cellIs" dxfId="13566" priority="2444" operator="lessThan">
      <formula>0</formula>
    </cfRule>
  </conditionalFormatting>
  <conditionalFormatting sqref="R148:R153">
    <cfRule type="cellIs" dxfId="13565" priority="2442" operator="lessThan">
      <formula>0.8</formula>
    </cfRule>
    <cfRule type="cellIs" dxfId="13564" priority="2443" operator="greaterThan">
      <formula>1</formula>
    </cfRule>
  </conditionalFormatting>
  <conditionalFormatting sqref="R148:R153">
    <cfRule type="cellIs" dxfId="13563" priority="2440" operator="greaterThan">
      <formula>1</formula>
    </cfRule>
    <cfRule type="cellIs" dxfId="13562" priority="2441" operator="lessThan">
      <formula>0.8</formula>
    </cfRule>
  </conditionalFormatting>
  <conditionalFormatting sqref="R148:R153">
    <cfRule type="cellIs" dxfId="13561" priority="2436" operator="lessThan">
      <formula>0.8</formula>
    </cfRule>
    <cfRule type="cellIs" dxfId="13560" priority="2437" operator="greaterThan">
      <formula>1</formula>
    </cfRule>
  </conditionalFormatting>
  <conditionalFormatting sqref="R148:R153">
    <cfRule type="cellIs" dxfId="13559" priority="2434" operator="greaterThan">
      <formula>1</formula>
    </cfRule>
    <cfRule type="cellIs" dxfId="13558" priority="2435" operator="lessThan">
      <formula>0.8</formula>
    </cfRule>
  </conditionalFormatting>
  <conditionalFormatting sqref="P148:P153">
    <cfRule type="cellIs" dxfId="13557" priority="2433" operator="greaterThan">
      <formula>0</formula>
    </cfRule>
  </conditionalFormatting>
  <conditionalFormatting sqref="Q148:Q153">
    <cfRule type="cellIs" dxfId="13556" priority="2438" operator="lessThan">
      <formula>0</formula>
    </cfRule>
  </conditionalFormatting>
  <conditionalFormatting sqref="Q148:Q153">
    <cfRule type="cellIs" dxfId="13555" priority="2427" operator="lessThan">
      <formula>0</formula>
    </cfRule>
  </conditionalFormatting>
  <conditionalFormatting sqref="P148:P153">
    <cfRule type="cellIs" dxfId="13554" priority="2428" operator="greaterThan">
      <formula>0</formula>
    </cfRule>
  </conditionalFormatting>
  <conditionalFormatting sqref="R148:R153">
    <cfRule type="cellIs" dxfId="13553" priority="2431" operator="lessThan">
      <formula>0.8</formula>
    </cfRule>
    <cfRule type="cellIs" dxfId="13552" priority="2432" operator="greaterThan">
      <formula>1</formula>
    </cfRule>
  </conditionalFormatting>
  <conditionalFormatting sqref="R148:R153">
    <cfRule type="cellIs" dxfId="13551" priority="2429" operator="greaterThan">
      <formula>1</formula>
    </cfRule>
    <cfRule type="cellIs" dxfId="13550" priority="2430" operator="lessThan">
      <formula>0.8</formula>
    </cfRule>
  </conditionalFormatting>
  <conditionalFormatting sqref="Q148:Q153">
    <cfRule type="cellIs" dxfId="13549" priority="2421" operator="lessThan">
      <formula>0</formula>
    </cfRule>
  </conditionalFormatting>
  <conditionalFormatting sqref="R148:R153">
    <cfRule type="cellIs" dxfId="13548" priority="2425" operator="lessThan">
      <formula>0.8</formula>
    </cfRule>
    <cfRule type="cellIs" dxfId="13547" priority="2426" operator="greaterThan">
      <formula>1</formula>
    </cfRule>
  </conditionalFormatting>
  <conditionalFormatting sqref="R148:R153">
    <cfRule type="cellIs" dxfId="13546" priority="2423" operator="greaterThan">
      <formula>1</formula>
    </cfRule>
    <cfRule type="cellIs" dxfId="13545" priority="2424" operator="lessThan">
      <formula>0.8</formula>
    </cfRule>
  </conditionalFormatting>
  <conditionalFormatting sqref="P148:P153">
    <cfRule type="cellIs" dxfId="13544" priority="2422" operator="greaterThan">
      <formula>0</formula>
    </cfRule>
  </conditionalFormatting>
  <conditionalFormatting sqref="Q148:Q153">
    <cfRule type="cellIs" dxfId="13543" priority="2420" operator="lessThan">
      <formula>0</formula>
    </cfRule>
  </conditionalFormatting>
  <conditionalFormatting sqref="R148:R153">
    <cfRule type="cellIs" dxfId="13542" priority="2418" operator="lessThan">
      <formula>0.8</formula>
    </cfRule>
    <cfRule type="cellIs" dxfId="13541" priority="2419" operator="greaterThan">
      <formula>1</formula>
    </cfRule>
  </conditionalFormatting>
  <conditionalFormatting sqref="R148:R153">
    <cfRule type="cellIs" dxfId="13540" priority="2416" operator="greaterThan">
      <formula>1</formula>
    </cfRule>
    <cfRule type="cellIs" dxfId="13539" priority="2417" operator="lessThan">
      <formula>0.8</formula>
    </cfRule>
  </conditionalFormatting>
  <conditionalFormatting sqref="P148:P153">
    <cfRule type="cellIs" dxfId="13538" priority="2415" operator="greaterThan">
      <formula>0</formula>
    </cfRule>
  </conditionalFormatting>
  <conditionalFormatting sqref="Q148:Q153">
    <cfRule type="cellIs" dxfId="13537" priority="2414" operator="lessThan">
      <formula>0</formula>
    </cfRule>
  </conditionalFormatting>
  <conditionalFormatting sqref="R148:R153">
    <cfRule type="cellIs" dxfId="13536" priority="2412" operator="lessThan">
      <formula>0.8</formula>
    </cfRule>
    <cfRule type="cellIs" dxfId="13535" priority="2413" operator="greaterThan">
      <formula>1</formula>
    </cfRule>
  </conditionalFormatting>
  <conditionalFormatting sqref="R148:R153">
    <cfRule type="cellIs" dxfId="13534" priority="2410" operator="greaterThan">
      <formula>1</formula>
    </cfRule>
    <cfRule type="cellIs" dxfId="13533" priority="2411" operator="lessThan">
      <formula>0.8</formula>
    </cfRule>
  </conditionalFormatting>
  <conditionalFormatting sqref="P148:P153">
    <cfRule type="cellIs" dxfId="13532" priority="2409" operator="greaterThan">
      <formula>0</formula>
    </cfRule>
  </conditionalFormatting>
  <conditionalFormatting sqref="Q148:Q153">
    <cfRule type="cellIs" dxfId="13531" priority="2408" operator="lessThan">
      <formula>0</formula>
    </cfRule>
  </conditionalFormatting>
  <conditionalFormatting sqref="R148:R153">
    <cfRule type="cellIs" dxfId="13530" priority="2406" operator="lessThan">
      <formula>0.8</formula>
    </cfRule>
    <cfRule type="cellIs" dxfId="13529" priority="2407" operator="greaterThan">
      <formula>1</formula>
    </cfRule>
  </conditionalFormatting>
  <conditionalFormatting sqref="R148:R153">
    <cfRule type="cellIs" dxfId="13528" priority="2404" operator="greaterThan">
      <formula>1</formula>
    </cfRule>
    <cfRule type="cellIs" dxfId="13527" priority="2405" operator="lessThan">
      <formula>0.8</formula>
    </cfRule>
  </conditionalFormatting>
  <conditionalFormatting sqref="P148:P153">
    <cfRule type="cellIs" dxfId="13526" priority="2403" operator="greaterThan">
      <formula>0</formula>
    </cfRule>
  </conditionalFormatting>
  <conditionalFormatting sqref="Q148:Q153">
    <cfRule type="cellIs" dxfId="13525" priority="2402" operator="lessThan">
      <formula>0</formula>
    </cfRule>
  </conditionalFormatting>
  <conditionalFormatting sqref="R148:R153">
    <cfRule type="cellIs" dxfId="13524" priority="2400" operator="lessThan">
      <formula>0.8</formula>
    </cfRule>
    <cfRule type="cellIs" dxfId="13523" priority="2401" operator="greaterThan">
      <formula>1</formula>
    </cfRule>
  </conditionalFormatting>
  <conditionalFormatting sqref="R148:R153">
    <cfRule type="cellIs" dxfId="13522" priority="2398" operator="greaterThan">
      <formula>1</formula>
    </cfRule>
    <cfRule type="cellIs" dxfId="13521" priority="2399" operator="lessThan">
      <formula>0.8</formula>
    </cfRule>
  </conditionalFormatting>
  <conditionalFormatting sqref="P148:P153">
    <cfRule type="cellIs" dxfId="13520" priority="2397" operator="greaterThan">
      <formula>0</formula>
    </cfRule>
  </conditionalFormatting>
  <conditionalFormatting sqref="Q124">
    <cfRule type="cellIs" dxfId="13519" priority="2391" operator="lessThan">
      <formula>0</formula>
    </cfRule>
  </conditionalFormatting>
  <conditionalFormatting sqref="P124">
    <cfRule type="cellIs" dxfId="13518" priority="2392" operator="greaterThan">
      <formula>0</formula>
    </cfRule>
  </conditionalFormatting>
  <conditionalFormatting sqref="R124">
    <cfRule type="cellIs" dxfId="13517" priority="2395" operator="lessThan">
      <formula>0.8</formula>
    </cfRule>
    <cfRule type="cellIs" dxfId="13516" priority="2396" operator="greaterThan">
      <formula>1</formula>
    </cfRule>
  </conditionalFormatting>
  <conditionalFormatting sqref="R124">
    <cfRule type="cellIs" dxfId="13515" priority="2393" operator="greaterThan">
      <formula>1</formula>
    </cfRule>
    <cfRule type="cellIs" dxfId="13514" priority="2394" operator="lessThan">
      <formula>0.8</formula>
    </cfRule>
  </conditionalFormatting>
  <conditionalFormatting sqref="Q124">
    <cfRule type="cellIs" dxfId="13513" priority="2385" operator="lessThan">
      <formula>0</formula>
    </cfRule>
  </conditionalFormatting>
  <conditionalFormatting sqref="R124">
    <cfRule type="cellIs" dxfId="13512" priority="2389" operator="lessThan">
      <formula>0.8</formula>
    </cfRule>
    <cfRule type="cellIs" dxfId="13511" priority="2390" operator="greaterThan">
      <formula>1</formula>
    </cfRule>
  </conditionalFormatting>
  <conditionalFormatting sqref="R124">
    <cfRule type="cellIs" dxfId="13510" priority="2387" operator="greaterThan">
      <formula>1</formula>
    </cfRule>
    <cfRule type="cellIs" dxfId="13509" priority="2388" operator="lessThan">
      <formula>0.8</formula>
    </cfRule>
  </conditionalFormatting>
  <conditionalFormatting sqref="P124">
    <cfRule type="cellIs" dxfId="13508" priority="2386" operator="greaterThan">
      <formula>0</formula>
    </cfRule>
  </conditionalFormatting>
  <conditionalFormatting sqref="Q124">
    <cfRule type="cellIs" dxfId="13507" priority="2384" operator="lessThan">
      <formula>0</formula>
    </cfRule>
  </conditionalFormatting>
  <conditionalFormatting sqref="R124">
    <cfRule type="cellIs" dxfId="13506" priority="2382" operator="lessThan">
      <formula>0.8</formula>
    </cfRule>
    <cfRule type="cellIs" dxfId="13505" priority="2383" operator="greaterThan">
      <formula>1</formula>
    </cfRule>
  </conditionalFormatting>
  <conditionalFormatting sqref="R124">
    <cfRule type="cellIs" dxfId="13504" priority="2380" operator="greaterThan">
      <formula>1</formula>
    </cfRule>
    <cfRule type="cellIs" dxfId="13503" priority="2381" operator="lessThan">
      <formula>0.8</formula>
    </cfRule>
  </conditionalFormatting>
  <conditionalFormatting sqref="P124">
    <cfRule type="cellIs" dxfId="13502" priority="2379" operator="greaterThan">
      <formula>0</formula>
    </cfRule>
  </conditionalFormatting>
  <conditionalFormatting sqref="Q124">
    <cfRule type="cellIs" dxfId="13501" priority="2378" operator="lessThan">
      <formula>0</formula>
    </cfRule>
  </conditionalFormatting>
  <conditionalFormatting sqref="R124">
    <cfRule type="cellIs" dxfId="13500" priority="2376" operator="lessThan">
      <formula>0.8</formula>
    </cfRule>
    <cfRule type="cellIs" dxfId="13499" priority="2377" operator="greaterThan">
      <formula>1</formula>
    </cfRule>
  </conditionalFormatting>
  <conditionalFormatting sqref="R124">
    <cfRule type="cellIs" dxfId="13498" priority="2374" operator="greaterThan">
      <formula>1</formula>
    </cfRule>
    <cfRule type="cellIs" dxfId="13497" priority="2375" operator="lessThan">
      <formula>0.8</formula>
    </cfRule>
  </conditionalFormatting>
  <conditionalFormatting sqref="P124">
    <cfRule type="cellIs" dxfId="13496" priority="2373" operator="greaterThan">
      <formula>0</formula>
    </cfRule>
  </conditionalFormatting>
  <conditionalFormatting sqref="Q124">
    <cfRule type="cellIs" dxfId="13495" priority="2372" operator="lessThan">
      <formula>0</formula>
    </cfRule>
  </conditionalFormatting>
  <conditionalFormatting sqref="R124">
    <cfRule type="cellIs" dxfId="13494" priority="2370" operator="lessThan">
      <formula>0.8</formula>
    </cfRule>
    <cfRule type="cellIs" dxfId="13493" priority="2371" operator="greaterThan">
      <formula>1</formula>
    </cfRule>
  </conditionalFormatting>
  <conditionalFormatting sqref="R124">
    <cfRule type="cellIs" dxfId="13492" priority="2368" operator="greaterThan">
      <formula>1</formula>
    </cfRule>
    <cfRule type="cellIs" dxfId="13491" priority="2369" operator="lessThan">
      <formula>0.8</formula>
    </cfRule>
  </conditionalFormatting>
  <conditionalFormatting sqref="P124">
    <cfRule type="cellIs" dxfId="13490" priority="2367" operator="greaterThan">
      <formula>0</formula>
    </cfRule>
  </conditionalFormatting>
  <conditionalFormatting sqref="Q124">
    <cfRule type="cellIs" dxfId="13489" priority="2366" operator="lessThan">
      <formula>0</formula>
    </cfRule>
  </conditionalFormatting>
  <conditionalFormatting sqref="R124">
    <cfRule type="cellIs" dxfId="13488" priority="2364" operator="lessThan">
      <formula>0.8</formula>
    </cfRule>
    <cfRule type="cellIs" dxfId="13487" priority="2365" operator="greaterThan">
      <formula>1</formula>
    </cfRule>
  </conditionalFormatting>
  <conditionalFormatting sqref="R124">
    <cfRule type="cellIs" dxfId="13486" priority="2362" operator="greaterThan">
      <formula>1</formula>
    </cfRule>
    <cfRule type="cellIs" dxfId="13485" priority="2363" operator="lessThan">
      <formula>0.8</formula>
    </cfRule>
  </conditionalFormatting>
  <conditionalFormatting sqref="P124">
    <cfRule type="cellIs" dxfId="13484" priority="2361" operator="greaterThan">
      <formula>0</formula>
    </cfRule>
  </conditionalFormatting>
  <conditionalFormatting sqref="Q124">
    <cfRule type="cellIs" dxfId="13483" priority="2360" operator="lessThan">
      <formula>0</formula>
    </cfRule>
  </conditionalFormatting>
  <conditionalFormatting sqref="R124">
    <cfRule type="cellIs" dxfId="13482" priority="2358" operator="lessThan">
      <formula>0.8</formula>
    </cfRule>
    <cfRule type="cellIs" dxfId="13481" priority="2359" operator="greaterThan">
      <formula>1</formula>
    </cfRule>
  </conditionalFormatting>
  <conditionalFormatting sqref="R124">
    <cfRule type="cellIs" dxfId="13480" priority="2356" operator="greaterThan">
      <formula>1</formula>
    </cfRule>
    <cfRule type="cellIs" dxfId="13479" priority="2357" operator="lessThan">
      <formula>0.8</formula>
    </cfRule>
  </conditionalFormatting>
  <conditionalFormatting sqref="P124">
    <cfRule type="cellIs" dxfId="13478" priority="2355" operator="greaterThan">
      <formula>0</formula>
    </cfRule>
  </conditionalFormatting>
  <conditionalFormatting sqref="Q124">
    <cfRule type="cellIs" dxfId="13477" priority="2354" operator="lessThan">
      <formula>0</formula>
    </cfRule>
  </conditionalFormatting>
  <conditionalFormatting sqref="R124">
    <cfRule type="cellIs" dxfId="13476" priority="2352" operator="lessThan">
      <formula>0.8</formula>
    </cfRule>
    <cfRule type="cellIs" dxfId="13475" priority="2353" operator="greaterThan">
      <formula>1</formula>
    </cfRule>
  </conditionalFormatting>
  <conditionalFormatting sqref="R124">
    <cfRule type="cellIs" dxfId="13474" priority="2350" operator="greaterThan">
      <formula>1</formula>
    </cfRule>
    <cfRule type="cellIs" dxfId="13473" priority="2351" operator="lessThan">
      <formula>0.8</formula>
    </cfRule>
  </conditionalFormatting>
  <conditionalFormatting sqref="P124">
    <cfRule type="cellIs" dxfId="13472" priority="2349" operator="greaterThan">
      <formula>0</formula>
    </cfRule>
  </conditionalFormatting>
  <conditionalFormatting sqref="Q124">
    <cfRule type="cellIs" dxfId="13471" priority="2348" operator="lessThan">
      <formula>0</formula>
    </cfRule>
  </conditionalFormatting>
  <conditionalFormatting sqref="R124">
    <cfRule type="cellIs" dxfId="13470" priority="2346" operator="lessThan">
      <formula>0.8</formula>
    </cfRule>
    <cfRule type="cellIs" dxfId="13469" priority="2347" operator="greaterThan">
      <formula>1</formula>
    </cfRule>
  </conditionalFormatting>
  <conditionalFormatting sqref="R124">
    <cfRule type="cellIs" dxfId="13468" priority="2344" operator="greaterThan">
      <formula>1</formula>
    </cfRule>
    <cfRule type="cellIs" dxfId="13467" priority="2345" operator="lessThan">
      <formula>0.8</formula>
    </cfRule>
  </conditionalFormatting>
  <conditionalFormatting sqref="P124">
    <cfRule type="cellIs" dxfId="13466" priority="2343" operator="greaterThan">
      <formula>0</formula>
    </cfRule>
  </conditionalFormatting>
  <conditionalFormatting sqref="P124">
    <cfRule type="cellIs" dxfId="13465" priority="2337" operator="greaterThan">
      <formula>0</formula>
    </cfRule>
  </conditionalFormatting>
  <conditionalFormatting sqref="Q124">
    <cfRule type="cellIs" dxfId="13464" priority="2342" operator="lessThan">
      <formula>0</formula>
    </cfRule>
  </conditionalFormatting>
  <conditionalFormatting sqref="R124">
    <cfRule type="cellIs" dxfId="13463" priority="2340" operator="lessThan">
      <formula>0.8</formula>
    </cfRule>
    <cfRule type="cellIs" dxfId="13462" priority="2341" operator="greaterThan">
      <formula>1</formula>
    </cfRule>
  </conditionalFormatting>
  <conditionalFormatting sqref="R124">
    <cfRule type="cellIs" dxfId="13461" priority="2338" operator="greaterThan">
      <formula>1</formula>
    </cfRule>
    <cfRule type="cellIs" dxfId="13460" priority="2339" operator="lessThan">
      <formula>0.8</formula>
    </cfRule>
  </conditionalFormatting>
  <conditionalFormatting sqref="P124">
    <cfRule type="cellIs" dxfId="13459" priority="2331" operator="greaterThan">
      <formula>0</formula>
    </cfRule>
  </conditionalFormatting>
  <conditionalFormatting sqref="Q124">
    <cfRule type="cellIs" dxfId="13458" priority="2336" operator="lessThan">
      <formula>0</formula>
    </cfRule>
  </conditionalFormatting>
  <conditionalFormatting sqref="R124">
    <cfRule type="cellIs" dxfId="13457" priority="2334" operator="lessThan">
      <formula>0.8</formula>
    </cfRule>
    <cfRule type="cellIs" dxfId="13456" priority="2335" operator="greaterThan">
      <formula>1</formula>
    </cfRule>
  </conditionalFormatting>
  <conditionalFormatting sqref="R124">
    <cfRule type="cellIs" dxfId="13455" priority="2332" operator="greaterThan">
      <formula>1</formula>
    </cfRule>
    <cfRule type="cellIs" dxfId="13454" priority="2333" operator="lessThan">
      <formula>0.8</formula>
    </cfRule>
  </conditionalFormatting>
  <conditionalFormatting sqref="R124">
    <cfRule type="cellIs" dxfId="13453" priority="2328" operator="lessThan">
      <formula>0.8</formula>
    </cfRule>
    <cfRule type="cellIs" dxfId="13452" priority="2329" operator="greaterThan">
      <formula>1</formula>
    </cfRule>
  </conditionalFormatting>
  <conditionalFormatting sqref="R124">
    <cfRule type="cellIs" dxfId="13451" priority="2326" operator="greaterThan">
      <formula>1</formula>
    </cfRule>
    <cfRule type="cellIs" dxfId="13450" priority="2327" operator="lessThan">
      <formula>0.8</formula>
    </cfRule>
  </conditionalFormatting>
  <conditionalFormatting sqref="P124">
    <cfRule type="cellIs" dxfId="13449" priority="2325" operator="greaterThan">
      <formula>0</formula>
    </cfRule>
  </conditionalFormatting>
  <conditionalFormatting sqref="Q124">
    <cfRule type="cellIs" dxfId="13448" priority="2330" operator="lessThan">
      <formula>0</formula>
    </cfRule>
  </conditionalFormatting>
  <conditionalFormatting sqref="Q124">
    <cfRule type="cellIs" dxfId="13447" priority="2324" operator="lessThan">
      <formula>0</formula>
    </cfRule>
  </conditionalFormatting>
  <conditionalFormatting sqref="R124">
    <cfRule type="cellIs" dxfId="13446" priority="2322" operator="lessThan">
      <formula>0.8</formula>
    </cfRule>
    <cfRule type="cellIs" dxfId="13445" priority="2323" operator="greaterThan">
      <formula>1</formula>
    </cfRule>
  </conditionalFormatting>
  <conditionalFormatting sqref="R124">
    <cfRule type="cellIs" dxfId="13444" priority="2320" operator="greaterThan">
      <formula>1</formula>
    </cfRule>
    <cfRule type="cellIs" dxfId="13443" priority="2321" operator="lessThan">
      <formula>0.8</formula>
    </cfRule>
  </conditionalFormatting>
  <conditionalFormatting sqref="P124">
    <cfRule type="cellIs" dxfId="13442" priority="2319" operator="greaterThan">
      <formula>0</formula>
    </cfRule>
  </conditionalFormatting>
  <conditionalFormatting sqref="P124">
    <cfRule type="cellIs" dxfId="13441" priority="2313" operator="greaterThan">
      <formula>0</formula>
    </cfRule>
  </conditionalFormatting>
  <conditionalFormatting sqref="Q124">
    <cfRule type="cellIs" dxfId="13440" priority="2318" operator="lessThan">
      <formula>0</formula>
    </cfRule>
  </conditionalFormatting>
  <conditionalFormatting sqref="R124">
    <cfRule type="cellIs" dxfId="13439" priority="2316" operator="lessThan">
      <formula>0.8</formula>
    </cfRule>
    <cfRule type="cellIs" dxfId="13438" priority="2317" operator="greaterThan">
      <formula>1</formula>
    </cfRule>
  </conditionalFormatting>
  <conditionalFormatting sqref="R124">
    <cfRule type="cellIs" dxfId="13437" priority="2314" operator="greaterThan">
      <formula>1</formula>
    </cfRule>
    <cfRule type="cellIs" dxfId="13436" priority="2315" operator="lessThan">
      <formula>0.8</formula>
    </cfRule>
  </conditionalFormatting>
  <conditionalFormatting sqref="P124">
    <cfRule type="cellIs" dxfId="13435" priority="2307" operator="greaterThan">
      <formula>0</formula>
    </cfRule>
  </conditionalFormatting>
  <conditionalFormatting sqref="Q124">
    <cfRule type="cellIs" dxfId="13434" priority="2312" operator="lessThan">
      <formula>0</formula>
    </cfRule>
  </conditionalFormatting>
  <conditionalFormatting sqref="R124">
    <cfRule type="cellIs" dxfId="13433" priority="2310" operator="lessThan">
      <formula>0.8</formula>
    </cfRule>
    <cfRule type="cellIs" dxfId="13432" priority="2311" operator="greaterThan">
      <formula>1</formula>
    </cfRule>
  </conditionalFormatting>
  <conditionalFormatting sqref="R124">
    <cfRule type="cellIs" dxfId="13431" priority="2308" operator="greaterThan">
      <formula>1</formula>
    </cfRule>
    <cfRule type="cellIs" dxfId="13430" priority="2309" operator="lessThan">
      <formula>0.8</formula>
    </cfRule>
  </conditionalFormatting>
  <conditionalFormatting sqref="R124">
    <cfRule type="cellIs" dxfId="13429" priority="2304" operator="lessThan">
      <formula>0.8</formula>
    </cfRule>
    <cfRule type="cellIs" dxfId="13428" priority="2305" operator="greaterThan">
      <formula>1</formula>
    </cfRule>
  </conditionalFormatting>
  <conditionalFormatting sqref="R124">
    <cfRule type="cellIs" dxfId="13427" priority="2302" operator="greaterThan">
      <formula>1</formula>
    </cfRule>
    <cfRule type="cellIs" dxfId="13426" priority="2303" operator="lessThan">
      <formula>0.8</formula>
    </cfRule>
  </conditionalFormatting>
  <conditionalFormatting sqref="P124">
    <cfRule type="cellIs" dxfId="13425" priority="2301" operator="greaterThan">
      <formula>0</formula>
    </cfRule>
  </conditionalFormatting>
  <conditionalFormatting sqref="Q124">
    <cfRule type="cellIs" dxfId="13424" priority="2306" operator="lessThan">
      <formula>0</formula>
    </cfRule>
  </conditionalFormatting>
  <conditionalFormatting sqref="P124">
    <cfRule type="cellIs" dxfId="13423" priority="2295" operator="greaterThan">
      <formula>0</formula>
    </cfRule>
  </conditionalFormatting>
  <conditionalFormatting sqref="Q124">
    <cfRule type="cellIs" dxfId="13422" priority="2300" operator="lessThan">
      <formula>0</formula>
    </cfRule>
  </conditionalFormatting>
  <conditionalFormatting sqref="R124">
    <cfRule type="cellIs" dxfId="13421" priority="2298" operator="lessThan">
      <formula>0.8</formula>
    </cfRule>
    <cfRule type="cellIs" dxfId="13420" priority="2299" operator="greaterThan">
      <formula>1</formula>
    </cfRule>
  </conditionalFormatting>
  <conditionalFormatting sqref="R124">
    <cfRule type="cellIs" dxfId="13419" priority="2296" operator="greaterThan">
      <formula>1</formula>
    </cfRule>
    <cfRule type="cellIs" dxfId="13418" priority="2297" operator="lessThan">
      <formula>0.8</formula>
    </cfRule>
  </conditionalFormatting>
  <conditionalFormatting sqref="R124">
    <cfRule type="cellIs" dxfId="13417" priority="2292" operator="lessThan">
      <formula>0.8</formula>
    </cfRule>
    <cfRule type="cellIs" dxfId="13416" priority="2293" operator="greaterThan">
      <formula>1</formula>
    </cfRule>
  </conditionalFormatting>
  <conditionalFormatting sqref="R124">
    <cfRule type="cellIs" dxfId="13415" priority="2290" operator="greaterThan">
      <formula>1</formula>
    </cfRule>
    <cfRule type="cellIs" dxfId="13414" priority="2291" operator="lessThan">
      <formula>0.8</formula>
    </cfRule>
  </conditionalFormatting>
  <conditionalFormatting sqref="P124">
    <cfRule type="cellIs" dxfId="13413" priority="2289" operator="greaterThan">
      <formula>0</formula>
    </cfRule>
  </conditionalFormatting>
  <conditionalFormatting sqref="Q124">
    <cfRule type="cellIs" dxfId="13412" priority="2294" operator="lessThan">
      <formula>0</formula>
    </cfRule>
  </conditionalFormatting>
  <conditionalFormatting sqref="R124">
    <cfRule type="cellIs" dxfId="13411" priority="2286" operator="lessThan">
      <formula>0.8</formula>
    </cfRule>
    <cfRule type="cellIs" dxfId="13410" priority="2287" operator="greaterThan">
      <formula>1</formula>
    </cfRule>
  </conditionalFormatting>
  <conditionalFormatting sqref="R124">
    <cfRule type="cellIs" dxfId="13409" priority="2284" operator="greaterThan">
      <formula>1</formula>
    </cfRule>
    <cfRule type="cellIs" dxfId="13408" priority="2285" operator="lessThan">
      <formula>0.8</formula>
    </cfRule>
  </conditionalFormatting>
  <conditionalFormatting sqref="P124">
    <cfRule type="cellIs" dxfId="13407" priority="2283" operator="greaterThan">
      <formula>0</formula>
    </cfRule>
  </conditionalFormatting>
  <conditionalFormatting sqref="Q124">
    <cfRule type="cellIs" dxfId="13406" priority="2288" operator="lessThan">
      <formula>0</formula>
    </cfRule>
  </conditionalFormatting>
  <conditionalFormatting sqref="Q124">
    <cfRule type="cellIs" dxfId="13405" priority="2282" operator="lessThan">
      <formula>0</formula>
    </cfRule>
  </conditionalFormatting>
  <conditionalFormatting sqref="R124">
    <cfRule type="cellIs" dxfId="13404" priority="2280" operator="lessThan">
      <formula>0.8</formula>
    </cfRule>
    <cfRule type="cellIs" dxfId="13403" priority="2281" operator="greaterThan">
      <formula>1</formula>
    </cfRule>
  </conditionalFormatting>
  <conditionalFormatting sqref="R124">
    <cfRule type="cellIs" dxfId="13402" priority="2278" operator="greaterThan">
      <formula>1</formula>
    </cfRule>
    <cfRule type="cellIs" dxfId="13401" priority="2279" operator="lessThan">
      <formula>0.8</formula>
    </cfRule>
  </conditionalFormatting>
  <conditionalFormatting sqref="P124">
    <cfRule type="cellIs" dxfId="13400" priority="2277" operator="greaterThan">
      <formula>0</formula>
    </cfRule>
  </conditionalFormatting>
  <conditionalFormatting sqref="Q124">
    <cfRule type="cellIs" dxfId="13399" priority="2271" operator="lessThan">
      <formula>0</formula>
    </cfRule>
  </conditionalFormatting>
  <conditionalFormatting sqref="R124">
    <cfRule type="cellIs" dxfId="13398" priority="2275" operator="lessThan">
      <formula>0.8</formula>
    </cfRule>
    <cfRule type="cellIs" dxfId="13397" priority="2276" operator="greaterThan">
      <formula>1</formula>
    </cfRule>
  </conditionalFormatting>
  <conditionalFormatting sqref="R124">
    <cfRule type="cellIs" dxfId="13396" priority="2273" operator="greaterThan">
      <formula>1</formula>
    </cfRule>
    <cfRule type="cellIs" dxfId="13395" priority="2274" operator="lessThan">
      <formula>0.8</formula>
    </cfRule>
  </conditionalFormatting>
  <conditionalFormatting sqref="P124">
    <cfRule type="cellIs" dxfId="13394" priority="2272" operator="greaterThan">
      <formula>0</formula>
    </cfRule>
  </conditionalFormatting>
  <conditionalFormatting sqref="Q124">
    <cfRule type="cellIs" dxfId="13393" priority="2270" operator="lessThan">
      <formula>0</formula>
    </cfRule>
  </conditionalFormatting>
  <conditionalFormatting sqref="R124">
    <cfRule type="cellIs" dxfId="13392" priority="2268" operator="lessThan">
      <formula>0.8</formula>
    </cfRule>
    <cfRule type="cellIs" dxfId="13391" priority="2269" operator="greaterThan">
      <formula>1</formula>
    </cfRule>
  </conditionalFormatting>
  <conditionalFormatting sqref="R124">
    <cfRule type="cellIs" dxfId="13390" priority="2266" operator="greaterThan">
      <formula>1</formula>
    </cfRule>
    <cfRule type="cellIs" dxfId="13389" priority="2267" operator="lessThan">
      <formula>0.8</formula>
    </cfRule>
  </conditionalFormatting>
  <conditionalFormatting sqref="P124">
    <cfRule type="cellIs" dxfId="13388" priority="2265" operator="greaterThan">
      <formula>0</formula>
    </cfRule>
  </conditionalFormatting>
  <conditionalFormatting sqref="Q124">
    <cfRule type="cellIs" dxfId="13387" priority="2264" operator="lessThan">
      <formula>0</formula>
    </cfRule>
  </conditionalFormatting>
  <conditionalFormatting sqref="R124">
    <cfRule type="cellIs" dxfId="13386" priority="2262" operator="lessThan">
      <formula>0.8</formula>
    </cfRule>
    <cfRule type="cellIs" dxfId="13385" priority="2263" operator="greaterThan">
      <formula>1</formula>
    </cfRule>
  </conditionalFormatting>
  <conditionalFormatting sqref="R124">
    <cfRule type="cellIs" dxfId="13384" priority="2260" operator="greaterThan">
      <formula>1</formula>
    </cfRule>
    <cfRule type="cellIs" dxfId="13383" priority="2261" operator="lessThan">
      <formula>0.8</formula>
    </cfRule>
  </conditionalFormatting>
  <conditionalFormatting sqref="P124">
    <cfRule type="cellIs" dxfId="13382" priority="2259" operator="greaterThan">
      <formula>0</formula>
    </cfRule>
  </conditionalFormatting>
  <conditionalFormatting sqref="Q124">
    <cfRule type="cellIs" dxfId="13381" priority="2258" operator="lessThan">
      <formula>0</formula>
    </cfRule>
  </conditionalFormatting>
  <conditionalFormatting sqref="R124">
    <cfRule type="cellIs" dxfId="13380" priority="2256" operator="lessThan">
      <formula>0.8</formula>
    </cfRule>
    <cfRule type="cellIs" dxfId="13379" priority="2257" operator="greaterThan">
      <formula>1</formula>
    </cfRule>
  </conditionalFormatting>
  <conditionalFormatting sqref="R124">
    <cfRule type="cellIs" dxfId="13378" priority="2254" operator="greaterThan">
      <formula>1</formula>
    </cfRule>
    <cfRule type="cellIs" dxfId="13377" priority="2255" operator="lessThan">
      <formula>0.8</formula>
    </cfRule>
  </conditionalFormatting>
  <conditionalFormatting sqref="P124">
    <cfRule type="cellIs" dxfId="13376" priority="2253" operator="greaterThan">
      <formula>0</formula>
    </cfRule>
  </conditionalFormatting>
  <conditionalFormatting sqref="Q124">
    <cfRule type="cellIs" dxfId="13375" priority="2252" operator="lessThan">
      <formula>0</formula>
    </cfRule>
  </conditionalFormatting>
  <conditionalFormatting sqref="R124">
    <cfRule type="cellIs" dxfId="13374" priority="2250" operator="lessThan">
      <formula>0.8</formula>
    </cfRule>
    <cfRule type="cellIs" dxfId="13373" priority="2251" operator="greaterThan">
      <formula>1</formula>
    </cfRule>
  </conditionalFormatting>
  <conditionalFormatting sqref="R124">
    <cfRule type="cellIs" dxfId="13372" priority="2248" operator="greaterThan">
      <formula>1</formula>
    </cfRule>
    <cfRule type="cellIs" dxfId="13371" priority="2249" operator="lessThan">
      <formula>0.8</formula>
    </cfRule>
  </conditionalFormatting>
  <conditionalFormatting sqref="P124">
    <cfRule type="cellIs" dxfId="13370" priority="2247" operator="greaterThan">
      <formula>0</formula>
    </cfRule>
  </conditionalFormatting>
  <conditionalFormatting sqref="Q124">
    <cfRule type="cellIs" dxfId="13369" priority="2246" operator="lessThan">
      <formula>0</formula>
    </cfRule>
  </conditionalFormatting>
  <conditionalFormatting sqref="R124">
    <cfRule type="cellIs" dxfId="13368" priority="2244" operator="lessThan">
      <formula>0.8</formula>
    </cfRule>
    <cfRule type="cellIs" dxfId="13367" priority="2245" operator="greaterThan">
      <formula>1</formula>
    </cfRule>
  </conditionalFormatting>
  <conditionalFormatting sqref="R124">
    <cfRule type="cellIs" dxfId="13366" priority="2242" operator="greaterThan">
      <formula>1</formula>
    </cfRule>
    <cfRule type="cellIs" dxfId="13365" priority="2243" operator="lessThan">
      <formula>0.8</formula>
    </cfRule>
  </conditionalFormatting>
  <conditionalFormatting sqref="P124">
    <cfRule type="cellIs" dxfId="13364" priority="2241" operator="greaterThan">
      <formula>0</formula>
    </cfRule>
  </conditionalFormatting>
  <conditionalFormatting sqref="P124">
    <cfRule type="cellIs" dxfId="13363" priority="2235" operator="greaterThan">
      <formula>0</formula>
    </cfRule>
  </conditionalFormatting>
  <conditionalFormatting sqref="Q124">
    <cfRule type="cellIs" dxfId="13362" priority="2240" operator="lessThan">
      <formula>0</formula>
    </cfRule>
  </conditionalFormatting>
  <conditionalFormatting sqref="R124">
    <cfRule type="cellIs" dxfId="13361" priority="2238" operator="lessThan">
      <formula>0.8</formula>
    </cfRule>
    <cfRule type="cellIs" dxfId="13360" priority="2239" operator="greaterThan">
      <formula>1</formula>
    </cfRule>
  </conditionalFormatting>
  <conditionalFormatting sqref="R124">
    <cfRule type="cellIs" dxfId="13359" priority="2236" operator="greaterThan">
      <formula>1</formula>
    </cfRule>
    <cfRule type="cellIs" dxfId="13358" priority="2237" operator="lessThan">
      <formula>0.8</formula>
    </cfRule>
  </conditionalFormatting>
  <conditionalFormatting sqref="P124">
    <cfRule type="cellIs" dxfId="13357" priority="2229" operator="greaterThan">
      <formula>0</formula>
    </cfRule>
  </conditionalFormatting>
  <conditionalFormatting sqref="Q124">
    <cfRule type="cellIs" dxfId="13356" priority="2234" operator="lessThan">
      <formula>0</formula>
    </cfRule>
  </conditionalFormatting>
  <conditionalFormatting sqref="R124">
    <cfRule type="cellIs" dxfId="13355" priority="2232" operator="lessThan">
      <formula>0.8</formula>
    </cfRule>
    <cfRule type="cellIs" dxfId="13354" priority="2233" operator="greaterThan">
      <formula>1</formula>
    </cfRule>
  </conditionalFormatting>
  <conditionalFormatting sqref="R124">
    <cfRule type="cellIs" dxfId="13353" priority="2230" operator="greaterThan">
      <formula>1</formula>
    </cfRule>
    <cfRule type="cellIs" dxfId="13352" priority="2231" operator="lessThan">
      <formula>0.8</formula>
    </cfRule>
  </conditionalFormatting>
  <conditionalFormatting sqref="R124">
    <cfRule type="cellIs" dxfId="13351" priority="2226" operator="lessThan">
      <formula>0.8</formula>
    </cfRule>
    <cfRule type="cellIs" dxfId="13350" priority="2227" operator="greaterThan">
      <formula>1</formula>
    </cfRule>
  </conditionalFormatting>
  <conditionalFormatting sqref="R124">
    <cfRule type="cellIs" dxfId="13349" priority="2224" operator="greaterThan">
      <formula>1</formula>
    </cfRule>
    <cfRule type="cellIs" dxfId="13348" priority="2225" operator="lessThan">
      <formula>0.8</formula>
    </cfRule>
  </conditionalFormatting>
  <conditionalFormatting sqref="P124">
    <cfRule type="cellIs" dxfId="13347" priority="2223" operator="greaterThan">
      <formula>0</formula>
    </cfRule>
  </conditionalFormatting>
  <conditionalFormatting sqref="Q124">
    <cfRule type="cellIs" dxfId="13346" priority="2228" operator="lessThan">
      <formula>0</formula>
    </cfRule>
  </conditionalFormatting>
  <conditionalFormatting sqref="Q14 Q5:Q12">
    <cfRule type="cellIs" dxfId="13345" priority="2222" operator="lessThan">
      <formula>0</formula>
    </cfRule>
  </conditionalFormatting>
  <conditionalFormatting sqref="R14 R5:R12">
    <cfRule type="cellIs" dxfId="13344" priority="2220" operator="lessThan">
      <formula>0.8</formula>
    </cfRule>
    <cfRule type="cellIs" dxfId="13343" priority="2221" operator="greaterThan">
      <formula>1</formula>
    </cfRule>
  </conditionalFormatting>
  <conditionalFormatting sqref="R14 R5:R12">
    <cfRule type="cellIs" dxfId="13342" priority="2218" operator="greaterThan">
      <formula>1</formula>
    </cfRule>
    <cfRule type="cellIs" dxfId="13341" priority="2219" operator="lessThan">
      <formula>0.8</formula>
    </cfRule>
  </conditionalFormatting>
  <conditionalFormatting sqref="P14 P5:P12">
    <cfRule type="cellIs" dxfId="13340" priority="2217" operator="greaterThan">
      <formula>0</formula>
    </cfRule>
  </conditionalFormatting>
  <conditionalFormatting sqref="Q83">
    <cfRule type="cellIs" dxfId="13339" priority="2216" operator="lessThan">
      <formula>0</formula>
    </cfRule>
  </conditionalFormatting>
  <conditionalFormatting sqref="R83">
    <cfRule type="cellIs" dxfId="13338" priority="2214" operator="lessThan">
      <formula>0.8</formula>
    </cfRule>
    <cfRule type="cellIs" dxfId="13337" priority="2215" operator="greaterThan">
      <formula>1</formula>
    </cfRule>
  </conditionalFormatting>
  <conditionalFormatting sqref="R83">
    <cfRule type="cellIs" dxfId="13336" priority="2212" operator="greaterThan">
      <formula>1</formula>
    </cfRule>
    <cfRule type="cellIs" dxfId="13335" priority="2213" operator="lessThan">
      <formula>0.8</formula>
    </cfRule>
  </conditionalFormatting>
  <conditionalFormatting sqref="P83">
    <cfRule type="cellIs" dxfId="13334" priority="2211" operator="greaterThan">
      <formula>0</formula>
    </cfRule>
  </conditionalFormatting>
  <conditionalFormatting sqref="Q83">
    <cfRule type="cellIs" dxfId="13333" priority="2210" operator="lessThan">
      <formula>0</formula>
    </cfRule>
  </conditionalFormatting>
  <conditionalFormatting sqref="R83">
    <cfRule type="cellIs" dxfId="13332" priority="2208" operator="lessThan">
      <formula>0.8</formula>
    </cfRule>
    <cfRule type="cellIs" dxfId="13331" priority="2209" operator="greaterThan">
      <formula>1</formula>
    </cfRule>
  </conditionalFormatting>
  <conditionalFormatting sqref="R83">
    <cfRule type="cellIs" dxfId="13330" priority="2206" operator="greaterThan">
      <formula>1</formula>
    </cfRule>
    <cfRule type="cellIs" dxfId="13329" priority="2207" operator="lessThan">
      <formula>0.8</formula>
    </cfRule>
  </conditionalFormatting>
  <conditionalFormatting sqref="P83">
    <cfRule type="cellIs" dxfId="13328" priority="2205" operator="greaterThan">
      <formula>0</formula>
    </cfRule>
  </conditionalFormatting>
  <conditionalFormatting sqref="Q83">
    <cfRule type="cellIs" dxfId="13327" priority="2204" operator="lessThan">
      <formula>0</formula>
    </cfRule>
  </conditionalFormatting>
  <conditionalFormatting sqref="R83">
    <cfRule type="cellIs" dxfId="13326" priority="2202" operator="lessThan">
      <formula>0.8</formula>
    </cfRule>
    <cfRule type="cellIs" dxfId="13325" priority="2203" operator="greaterThan">
      <formula>1</formula>
    </cfRule>
  </conditionalFormatting>
  <conditionalFormatting sqref="R83">
    <cfRule type="cellIs" dxfId="13324" priority="2200" operator="greaterThan">
      <formula>1</formula>
    </cfRule>
    <cfRule type="cellIs" dxfId="13323" priority="2201" operator="lessThan">
      <formula>0.8</formula>
    </cfRule>
  </conditionalFormatting>
  <conditionalFormatting sqref="P83">
    <cfRule type="cellIs" dxfId="13322" priority="2199" operator="greaterThan">
      <formula>0</formula>
    </cfRule>
  </conditionalFormatting>
  <conditionalFormatting sqref="Q83">
    <cfRule type="cellIs" dxfId="13321" priority="2198" operator="lessThan">
      <formula>0</formula>
    </cfRule>
  </conditionalFormatting>
  <conditionalFormatting sqref="R83">
    <cfRule type="cellIs" dxfId="13320" priority="2196" operator="lessThan">
      <formula>0.8</formula>
    </cfRule>
    <cfRule type="cellIs" dxfId="13319" priority="2197" operator="greaterThan">
      <formula>1</formula>
    </cfRule>
  </conditionalFormatting>
  <conditionalFormatting sqref="R83">
    <cfRule type="cellIs" dxfId="13318" priority="2194" operator="greaterThan">
      <formula>1</formula>
    </cfRule>
    <cfRule type="cellIs" dxfId="13317" priority="2195" operator="lessThan">
      <formula>0.8</formula>
    </cfRule>
  </conditionalFormatting>
  <conditionalFormatting sqref="P83">
    <cfRule type="cellIs" dxfId="13316" priority="2193" operator="greaterThan">
      <formula>0</formula>
    </cfRule>
  </conditionalFormatting>
  <conditionalFormatting sqref="P83">
    <cfRule type="cellIs" dxfId="13315" priority="2187" operator="greaterThan">
      <formula>0</formula>
    </cfRule>
  </conditionalFormatting>
  <conditionalFormatting sqref="Q83">
    <cfRule type="cellIs" dxfId="13314" priority="2192" operator="lessThan">
      <formula>0</formula>
    </cfRule>
  </conditionalFormatting>
  <conditionalFormatting sqref="R83">
    <cfRule type="cellIs" dxfId="13313" priority="2190" operator="lessThan">
      <formula>0.8</formula>
    </cfRule>
    <cfRule type="cellIs" dxfId="13312" priority="2191" operator="greaterThan">
      <formula>1</formula>
    </cfRule>
  </conditionalFormatting>
  <conditionalFormatting sqref="R83">
    <cfRule type="cellIs" dxfId="13311" priority="2188" operator="greaterThan">
      <formula>1</formula>
    </cfRule>
    <cfRule type="cellIs" dxfId="13310" priority="2189" operator="lessThan">
      <formula>0.8</formula>
    </cfRule>
  </conditionalFormatting>
  <conditionalFormatting sqref="P83">
    <cfRule type="cellIs" dxfId="13309" priority="2181" operator="greaterThan">
      <formula>0</formula>
    </cfRule>
  </conditionalFormatting>
  <conditionalFormatting sqref="Q83">
    <cfRule type="cellIs" dxfId="13308" priority="2186" operator="lessThan">
      <formula>0</formula>
    </cfRule>
  </conditionalFormatting>
  <conditionalFormatting sqref="R83">
    <cfRule type="cellIs" dxfId="13307" priority="2184" operator="lessThan">
      <formula>0.8</formula>
    </cfRule>
    <cfRule type="cellIs" dxfId="13306" priority="2185" operator="greaterThan">
      <formula>1</formula>
    </cfRule>
  </conditionalFormatting>
  <conditionalFormatting sqref="R83">
    <cfRule type="cellIs" dxfId="13305" priority="2182" operator="greaterThan">
      <formula>1</formula>
    </cfRule>
    <cfRule type="cellIs" dxfId="13304" priority="2183" operator="lessThan">
      <formula>0.8</formula>
    </cfRule>
  </conditionalFormatting>
  <conditionalFormatting sqref="R83">
    <cfRule type="cellIs" dxfId="13303" priority="2178" operator="lessThan">
      <formula>0.8</formula>
    </cfRule>
    <cfRule type="cellIs" dxfId="13302" priority="2179" operator="greaterThan">
      <formula>1</formula>
    </cfRule>
  </conditionalFormatting>
  <conditionalFormatting sqref="R83">
    <cfRule type="cellIs" dxfId="13301" priority="2176" operator="greaterThan">
      <formula>1</formula>
    </cfRule>
    <cfRule type="cellIs" dxfId="13300" priority="2177" operator="lessThan">
      <formula>0.8</formula>
    </cfRule>
  </conditionalFormatting>
  <conditionalFormatting sqref="P83">
    <cfRule type="cellIs" dxfId="13299" priority="2175" operator="greaterThan">
      <formula>0</formula>
    </cfRule>
  </conditionalFormatting>
  <conditionalFormatting sqref="Q83">
    <cfRule type="cellIs" dxfId="13298" priority="2180" operator="lessThan">
      <formula>0</formula>
    </cfRule>
  </conditionalFormatting>
  <conditionalFormatting sqref="Q83">
    <cfRule type="cellIs" dxfId="13297" priority="2174" operator="lessThan">
      <formula>0</formula>
    </cfRule>
  </conditionalFormatting>
  <conditionalFormatting sqref="R83">
    <cfRule type="cellIs" dxfId="13296" priority="2172" operator="lessThan">
      <formula>0.8</formula>
    </cfRule>
    <cfRule type="cellIs" dxfId="13295" priority="2173" operator="greaterThan">
      <formula>1</formula>
    </cfRule>
  </conditionalFormatting>
  <conditionalFormatting sqref="R83">
    <cfRule type="cellIs" dxfId="13294" priority="2170" operator="greaterThan">
      <formula>1</formula>
    </cfRule>
    <cfRule type="cellIs" dxfId="13293" priority="2171" operator="lessThan">
      <formula>0.8</formula>
    </cfRule>
  </conditionalFormatting>
  <conditionalFormatting sqref="P83">
    <cfRule type="cellIs" dxfId="13292" priority="2169" operator="greaterThan">
      <formula>0</formula>
    </cfRule>
  </conditionalFormatting>
  <conditionalFormatting sqref="P83">
    <cfRule type="cellIs" dxfId="13291" priority="2163" operator="greaterThan">
      <formula>0</formula>
    </cfRule>
  </conditionalFormatting>
  <conditionalFormatting sqref="Q83">
    <cfRule type="cellIs" dxfId="13290" priority="2168" operator="lessThan">
      <formula>0</formula>
    </cfRule>
  </conditionalFormatting>
  <conditionalFormatting sqref="R83">
    <cfRule type="cellIs" dxfId="13289" priority="2166" operator="lessThan">
      <formula>0.8</formula>
    </cfRule>
    <cfRule type="cellIs" dxfId="13288" priority="2167" operator="greaterThan">
      <formula>1</formula>
    </cfRule>
  </conditionalFormatting>
  <conditionalFormatting sqref="R83">
    <cfRule type="cellIs" dxfId="13287" priority="2164" operator="greaterThan">
      <formula>1</formula>
    </cfRule>
    <cfRule type="cellIs" dxfId="13286" priority="2165" operator="lessThan">
      <formula>0.8</formula>
    </cfRule>
  </conditionalFormatting>
  <conditionalFormatting sqref="P83">
    <cfRule type="cellIs" dxfId="13285" priority="2157" operator="greaterThan">
      <formula>0</formula>
    </cfRule>
  </conditionalFormatting>
  <conditionalFormatting sqref="Q83">
    <cfRule type="cellIs" dxfId="13284" priority="2162" operator="lessThan">
      <formula>0</formula>
    </cfRule>
  </conditionalFormatting>
  <conditionalFormatting sqref="R83">
    <cfRule type="cellIs" dxfId="13283" priority="2160" operator="lessThan">
      <formula>0.8</formula>
    </cfRule>
    <cfRule type="cellIs" dxfId="13282" priority="2161" operator="greaterThan">
      <formula>1</formula>
    </cfRule>
  </conditionalFormatting>
  <conditionalFormatting sqref="R83">
    <cfRule type="cellIs" dxfId="13281" priority="2158" operator="greaterThan">
      <formula>1</formula>
    </cfRule>
    <cfRule type="cellIs" dxfId="13280" priority="2159" operator="lessThan">
      <formula>0.8</formula>
    </cfRule>
  </conditionalFormatting>
  <conditionalFormatting sqref="R83">
    <cfRule type="cellIs" dxfId="13279" priority="2154" operator="lessThan">
      <formula>0.8</formula>
    </cfRule>
    <cfRule type="cellIs" dxfId="13278" priority="2155" operator="greaterThan">
      <formula>1</formula>
    </cfRule>
  </conditionalFormatting>
  <conditionalFormatting sqref="R83">
    <cfRule type="cellIs" dxfId="13277" priority="2152" operator="greaterThan">
      <formula>1</formula>
    </cfRule>
    <cfRule type="cellIs" dxfId="13276" priority="2153" operator="lessThan">
      <formula>0.8</formula>
    </cfRule>
  </conditionalFormatting>
  <conditionalFormatting sqref="P83">
    <cfRule type="cellIs" dxfId="13275" priority="2151" operator="greaterThan">
      <formula>0</formula>
    </cfRule>
  </conditionalFormatting>
  <conditionalFormatting sqref="Q83">
    <cfRule type="cellIs" dxfId="13274" priority="2156" operator="lessThan">
      <formula>0</formula>
    </cfRule>
  </conditionalFormatting>
  <conditionalFormatting sqref="P83">
    <cfRule type="cellIs" dxfId="13273" priority="2145" operator="greaterThan">
      <formula>0</formula>
    </cfRule>
  </conditionalFormatting>
  <conditionalFormatting sqref="Q83">
    <cfRule type="cellIs" dxfId="13272" priority="2150" operator="lessThan">
      <formula>0</formula>
    </cfRule>
  </conditionalFormatting>
  <conditionalFormatting sqref="R83">
    <cfRule type="cellIs" dxfId="13271" priority="2148" operator="lessThan">
      <formula>0.8</formula>
    </cfRule>
    <cfRule type="cellIs" dxfId="13270" priority="2149" operator="greaterThan">
      <formula>1</formula>
    </cfRule>
  </conditionalFormatting>
  <conditionalFormatting sqref="R83">
    <cfRule type="cellIs" dxfId="13269" priority="2146" operator="greaterThan">
      <formula>1</formula>
    </cfRule>
    <cfRule type="cellIs" dxfId="13268" priority="2147" operator="lessThan">
      <formula>0.8</formula>
    </cfRule>
  </conditionalFormatting>
  <conditionalFormatting sqref="R83">
    <cfRule type="cellIs" dxfId="13267" priority="2142" operator="lessThan">
      <formula>0.8</formula>
    </cfRule>
    <cfRule type="cellIs" dxfId="13266" priority="2143" operator="greaterThan">
      <formula>1</formula>
    </cfRule>
  </conditionalFormatting>
  <conditionalFormatting sqref="R83">
    <cfRule type="cellIs" dxfId="13265" priority="2140" operator="greaterThan">
      <formula>1</formula>
    </cfRule>
    <cfRule type="cellIs" dxfId="13264" priority="2141" operator="lessThan">
      <formula>0.8</formula>
    </cfRule>
  </conditionalFormatting>
  <conditionalFormatting sqref="P83">
    <cfRule type="cellIs" dxfId="13263" priority="2139" operator="greaterThan">
      <formula>0</formula>
    </cfRule>
  </conditionalFormatting>
  <conditionalFormatting sqref="Q83">
    <cfRule type="cellIs" dxfId="13262" priority="2144" operator="lessThan">
      <formula>0</formula>
    </cfRule>
  </conditionalFormatting>
  <conditionalFormatting sqref="R83">
    <cfRule type="cellIs" dxfId="13261" priority="2136" operator="lessThan">
      <formula>0.8</formula>
    </cfRule>
    <cfRule type="cellIs" dxfId="13260" priority="2137" operator="greaterThan">
      <formula>1</formula>
    </cfRule>
  </conditionalFormatting>
  <conditionalFormatting sqref="R83">
    <cfRule type="cellIs" dxfId="13259" priority="2134" operator="greaterThan">
      <formula>1</formula>
    </cfRule>
    <cfRule type="cellIs" dxfId="13258" priority="2135" operator="lessThan">
      <formula>0.8</formula>
    </cfRule>
  </conditionalFormatting>
  <conditionalFormatting sqref="P83">
    <cfRule type="cellIs" dxfId="13257" priority="2133" operator="greaterThan">
      <formula>0</formula>
    </cfRule>
  </conditionalFormatting>
  <conditionalFormatting sqref="Q83">
    <cfRule type="cellIs" dxfId="13256" priority="2138" operator="lessThan">
      <formula>0</formula>
    </cfRule>
  </conditionalFormatting>
  <conditionalFormatting sqref="Q83">
    <cfRule type="cellIs" dxfId="13255" priority="2132" operator="lessThan">
      <formula>0</formula>
    </cfRule>
  </conditionalFormatting>
  <conditionalFormatting sqref="R83">
    <cfRule type="cellIs" dxfId="13254" priority="2130" operator="lessThan">
      <formula>0.8</formula>
    </cfRule>
    <cfRule type="cellIs" dxfId="13253" priority="2131" operator="greaterThan">
      <formula>1</formula>
    </cfRule>
  </conditionalFormatting>
  <conditionalFormatting sqref="R83">
    <cfRule type="cellIs" dxfId="13252" priority="2128" operator="greaterThan">
      <formula>1</formula>
    </cfRule>
    <cfRule type="cellIs" dxfId="13251" priority="2129" operator="lessThan">
      <formula>0.8</formula>
    </cfRule>
  </conditionalFormatting>
  <conditionalFormatting sqref="P83">
    <cfRule type="cellIs" dxfId="13250" priority="2127" operator="greaterThan">
      <formula>0</formula>
    </cfRule>
  </conditionalFormatting>
  <conditionalFormatting sqref="Q83">
    <cfRule type="cellIs" dxfId="13249" priority="2121" operator="lessThan">
      <formula>0</formula>
    </cfRule>
  </conditionalFormatting>
  <conditionalFormatting sqref="R83">
    <cfRule type="cellIs" dxfId="13248" priority="2125" operator="lessThan">
      <formula>0.8</formula>
    </cfRule>
    <cfRule type="cellIs" dxfId="13247" priority="2126" operator="greaterThan">
      <formula>1</formula>
    </cfRule>
  </conditionalFormatting>
  <conditionalFormatting sqref="R83">
    <cfRule type="cellIs" dxfId="13246" priority="2123" operator="greaterThan">
      <formula>1</formula>
    </cfRule>
    <cfRule type="cellIs" dxfId="13245" priority="2124" operator="lessThan">
      <formula>0.8</formula>
    </cfRule>
  </conditionalFormatting>
  <conditionalFormatting sqref="P83">
    <cfRule type="cellIs" dxfId="13244" priority="2122" operator="greaterThan">
      <formula>0</formula>
    </cfRule>
  </conditionalFormatting>
  <conditionalFormatting sqref="Q83">
    <cfRule type="cellIs" dxfId="13243" priority="2120" operator="lessThan">
      <formula>0</formula>
    </cfRule>
  </conditionalFormatting>
  <conditionalFormatting sqref="R83">
    <cfRule type="cellIs" dxfId="13242" priority="2118" operator="lessThan">
      <formula>0.8</formula>
    </cfRule>
    <cfRule type="cellIs" dxfId="13241" priority="2119" operator="greaterThan">
      <formula>1</formula>
    </cfRule>
  </conditionalFormatting>
  <conditionalFormatting sqref="R83">
    <cfRule type="cellIs" dxfId="13240" priority="2116" operator="greaterThan">
      <formula>1</formula>
    </cfRule>
    <cfRule type="cellIs" dxfId="13239" priority="2117" operator="lessThan">
      <formula>0.8</formula>
    </cfRule>
  </conditionalFormatting>
  <conditionalFormatting sqref="P83">
    <cfRule type="cellIs" dxfId="13238" priority="2115" operator="greaterThan">
      <formula>0</formula>
    </cfRule>
  </conditionalFormatting>
  <conditionalFormatting sqref="Q83">
    <cfRule type="cellIs" dxfId="13237" priority="2114" operator="lessThan">
      <formula>0</formula>
    </cfRule>
  </conditionalFormatting>
  <conditionalFormatting sqref="R83">
    <cfRule type="cellIs" dxfId="13236" priority="2112" operator="lessThan">
      <formula>0.8</formula>
    </cfRule>
    <cfRule type="cellIs" dxfId="13235" priority="2113" operator="greaterThan">
      <formula>1</formula>
    </cfRule>
  </conditionalFormatting>
  <conditionalFormatting sqref="R83">
    <cfRule type="cellIs" dxfId="13234" priority="2110" operator="greaterThan">
      <formula>1</formula>
    </cfRule>
    <cfRule type="cellIs" dxfId="13233" priority="2111" operator="lessThan">
      <formula>0.8</formula>
    </cfRule>
  </conditionalFormatting>
  <conditionalFormatting sqref="P83">
    <cfRule type="cellIs" dxfId="13232" priority="2109" operator="greaterThan">
      <formula>0</formula>
    </cfRule>
  </conditionalFormatting>
  <conditionalFormatting sqref="Q83">
    <cfRule type="cellIs" dxfId="13231" priority="2108" operator="lessThan">
      <formula>0</formula>
    </cfRule>
  </conditionalFormatting>
  <conditionalFormatting sqref="R83">
    <cfRule type="cellIs" dxfId="13230" priority="2106" operator="lessThan">
      <formula>0.8</formula>
    </cfRule>
    <cfRule type="cellIs" dxfId="13229" priority="2107" operator="greaterThan">
      <formula>1</formula>
    </cfRule>
  </conditionalFormatting>
  <conditionalFormatting sqref="R83">
    <cfRule type="cellIs" dxfId="13228" priority="2104" operator="greaterThan">
      <formula>1</formula>
    </cfRule>
    <cfRule type="cellIs" dxfId="13227" priority="2105" operator="lessThan">
      <formula>0.8</formula>
    </cfRule>
  </conditionalFormatting>
  <conditionalFormatting sqref="P83">
    <cfRule type="cellIs" dxfId="13226" priority="2103" operator="greaterThan">
      <formula>0</formula>
    </cfRule>
  </conditionalFormatting>
  <conditionalFormatting sqref="Q83">
    <cfRule type="cellIs" dxfId="13225" priority="2102" operator="lessThan">
      <formula>0</formula>
    </cfRule>
  </conditionalFormatting>
  <conditionalFormatting sqref="R83">
    <cfRule type="cellIs" dxfId="13224" priority="2100" operator="lessThan">
      <formula>0.8</formula>
    </cfRule>
    <cfRule type="cellIs" dxfId="13223" priority="2101" operator="greaterThan">
      <formula>1</formula>
    </cfRule>
  </conditionalFormatting>
  <conditionalFormatting sqref="R83">
    <cfRule type="cellIs" dxfId="13222" priority="2098" operator="greaterThan">
      <formula>1</formula>
    </cfRule>
    <cfRule type="cellIs" dxfId="13221" priority="2099" operator="lessThan">
      <formula>0.8</formula>
    </cfRule>
  </conditionalFormatting>
  <conditionalFormatting sqref="P83">
    <cfRule type="cellIs" dxfId="13220" priority="2097" operator="greaterThan">
      <formula>0</formula>
    </cfRule>
  </conditionalFormatting>
  <conditionalFormatting sqref="Q83">
    <cfRule type="cellIs" dxfId="13219" priority="2096" operator="lessThan">
      <formula>0</formula>
    </cfRule>
  </conditionalFormatting>
  <conditionalFormatting sqref="R83">
    <cfRule type="cellIs" dxfId="13218" priority="2094" operator="lessThan">
      <formula>0.8</formula>
    </cfRule>
    <cfRule type="cellIs" dxfId="13217" priority="2095" operator="greaterThan">
      <formula>1</formula>
    </cfRule>
  </conditionalFormatting>
  <conditionalFormatting sqref="R83">
    <cfRule type="cellIs" dxfId="13216" priority="2092" operator="greaterThan">
      <formula>1</formula>
    </cfRule>
    <cfRule type="cellIs" dxfId="13215" priority="2093" operator="lessThan">
      <formula>0.8</formula>
    </cfRule>
  </conditionalFormatting>
  <conditionalFormatting sqref="P83">
    <cfRule type="cellIs" dxfId="13214" priority="2091" operator="greaterThan">
      <formula>0</formula>
    </cfRule>
  </conditionalFormatting>
  <conditionalFormatting sqref="P83">
    <cfRule type="cellIs" dxfId="13213" priority="2085" operator="greaterThan">
      <formula>0</formula>
    </cfRule>
  </conditionalFormatting>
  <conditionalFormatting sqref="Q83">
    <cfRule type="cellIs" dxfId="13212" priority="2090" operator="lessThan">
      <formula>0</formula>
    </cfRule>
  </conditionalFormatting>
  <conditionalFormatting sqref="R83">
    <cfRule type="cellIs" dxfId="13211" priority="2088" operator="lessThan">
      <formula>0.8</formula>
    </cfRule>
    <cfRule type="cellIs" dxfId="13210" priority="2089" operator="greaterThan">
      <formula>1</formula>
    </cfRule>
  </conditionalFormatting>
  <conditionalFormatting sqref="R83">
    <cfRule type="cellIs" dxfId="13209" priority="2086" operator="greaterThan">
      <formula>1</formula>
    </cfRule>
    <cfRule type="cellIs" dxfId="13208" priority="2087" operator="lessThan">
      <formula>0.8</formula>
    </cfRule>
  </conditionalFormatting>
  <conditionalFormatting sqref="P83">
    <cfRule type="cellIs" dxfId="13207" priority="2079" operator="greaterThan">
      <formula>0</formula>
    </cfRule>
  </conditionalFormatting>
  <conditionalFormatting sqref="Q83">
    <cfRule type="cellIs" dxfId="13206" priority="2084" operator="lessThan">
      <formula>0</formula>
    </cfRule>
  </conditionalFormatting>
  <conditionalFormatting sqref="R83">
    <cfRule type="cellIs" dxfId="13205" priority="2082" operator="lessThan">
      <formula>0.8</formula>
    </cfRule>
    <cfRule type="cellIs" dxfId="13204" priority="2083" operator="greaterThan">
      <formula>1</formula>
    </cfRule>
  </conditionalFormatting>
  <conditionalFormatting sqref="R83">
    <cfRule type="cellIs" dxfId="13203" priority="2080" operator="greaterThan">
      <formula>1</formula>
    </cfRule>
    <cfRule type="cellIs" dxfId="13202" priority="2081" operator="lessThan">
      <formula>0.8</formula>
    </cfRule>
  </conditionalFormatting>
  <conditionalFormatting sqref="R83">
    <cfRule type="cellIs" dxfId="13201" priority="2076" operator="lessThan">
      <formula>0.8</formula>
    </cfRule>
    <cfRule type="cellIs" dxfId="13200" priority="2077" operator="greaterThan">
      <formula>1</formula>
    </cfRule>
  </conditionalFormatting>
  <conditionalFormatting sqref="R83">
    <cfRule type="cellIs" dxfId="13199" priority="2074" operator="greaterThan">
      <formula>1</formula>
    </cfRule>
    <cfRule type="cellIs" dxfId="13198" priority="2075" operator="lessThan">
      <formula>0.8</formula>
    </cfRule>
  </conditionalFormatting>
  <conditionalFormatting sqref="P83">
    <cfRule type="cellIs" dxfId="13197" priority="2073" operator="greaterThan">
      <formula>0</formula>
    </cfRule>
  </conditionalFormatting>
  <conditionalFormatting sqref="Q83">
    <cfRule type="cellIs" dxfId="13196" priority="2078" operator="lessThan">
      <formula>0</formula>
    </cfRule>
  </conditionalFormatting>
  <conditionalFormatting sqref="Q83">
    <cfRule type="cellIs" dxfId="13195" priority="2067" operator="lessThan">
      <formula>0</formula>
    </cfRule>
  </conditionalFormatting>
  <conditionalFormatting sqref="P83">
    <cfRule type="cellIs" dxfId="13194" priority="2068" operator="greaterThan">
      <formula>0</formula>
    </cfRule>
  </conditionalFormatting>
  <conditionalFormatting sqref="R83">
    <cfRule type="cellIs" dxfId="13193" priority="2071" operator="lessThan">
      <formula>0.8</formula>
    </cfRule>
    <cfRule type="cellIs" dxfId="13192" priority="2072" operator="greaterThan">
      <formula>1</formula>
    </cfRule>
  </conditionalFormatting>
  <conditionalFormatting sqref="R83">
    <cfRule type="cellIs" dxfId="13191" priority="2069" operator="greaterThan">
      <formula>1</formula>
    </cfRule>
    <cfRule type="cellIs" dxfId="13190" priority="2070" operator="lessThan">
      <formula>0.8</formula>
    </cfRule>
  </conditionalFormatting>
  <conditionalFormatting sqref="Q83">
    <cfRule type="cellIs" dxfId="13189" priority="2061" operator="lessThan">
      <formula>0</formula>
    </cfRule>
  </conditionalFormatting>
  <conditionalFormatting sqref="R83">
    <cfRule type="cellIs" dxfId="13188" priority="2065" operator="lessThan">
      <formula>0.8</formula>
    </cfRule>
    <cfRule type="cellIs" dxfId="13187" priority="2066" operator="greaterThan">
      <formula>1</formula>
    </cfRule>
  </conditionalFormatting>
  <conditionalFormatting sqref="R83">
    <cfRule type="cellIs" dxfId="13186" priority="2063" operator="greaterThan">
      <formula>1</formula>
    </cfRule>
    <cfRule type="cellIs" dxfId="13185" priority="2064" operator="lessThan">
      <formula>0.8</formula>
    </cfRule>
  </conditionalFormatting>
  <conditionalFormatting sqref="P83">
    <cfRule type="cellIs" dxfId="13184" priority="2062" operator="greaterThan">
      <formula>0</formula>
    </cfRule>
  </conditionalFormatting>
  <conditionalFormatting sqref="Q83">
    <cfRule type="cellIs" dxfId="13183" priority="2060" operator="lessThan">
      <formula>0</formula>
    </cfRule>
  </conditionalFormatting>
  <conditionalFormatting sqref="R83">
    <cfRule type="cellIs" dxfId="13182" priority="2058" operator="lessThan">
      <formula>0.8</formula>
    </cfRule>
    <cfRule type="cellIs" dxfId="13181" priority="2059" operator="greaterThan">
      <formula>1</formula>
    </cfRule>
  </conditionalFormatting>
  <conditionalFormatting sqref="R83">
    <cfRule type="cellIs" dxfId="13180" priority="2056" operator="greaterThan">
      <formula>1</formula>
    </cfRule>
    <cfRule type="cellIs" dxfId="13179" priority="2057" operator="lessThan">
      <formula>0.8</formula>
    </cfRule>
  </conditionalFormatting>
  <conditionalFormatting sqref="P83">
    <cfRule type="cellIs" dxfId="13178" priority="2055" operator="greaterThan">
      <formula>0</formula>
    </cfRule>
  </conditionalFormatting>
  <conditionalFormatting sqref="Q83">
    <cfRule type="cellIs" dxfId="13177" priority="2054" operator="lessThan">
      <formula>0</formula>
    </cfRule>
  </conditionalFormatting>
  <conditionalFormatting sqref="R83">
    <cfRule type="cellIs" dxfId="13176" priority="2052" operator="lessThan">
      <formula>0.8</formula>
    </cfRule>
    <cfRule type="cellIs" dxfId="13175" priority="2053" operator="greaterThan">
      <formula>1</formula>
    </cfRule>
  </conditionalFormatting>
  <conditionalFormatting sqref="R83">
    <cfRule type="cellIs" dxfId="13174" priority="2050" operator="greaterThan">
      <formula>1</formula>
    </cfRule>
    <cfRule type="cellIs" dxfId="13173" priority="2051" operator="lessThan">
      <formula>0.8</formula>
    </cfRule>
  </conditionalFormatting>
  <conditionalFormatting sqref="P83">
    <cfRule type="cellIs" dxfId="13172" priority="2049" operator="greaterThan">
      <formula>0</formula>
    </cfRule>
  </conditionalFormatting>
  <conditionalFormatting sqref="Q83">
    <cfRule type="cellIs" dxfId="13171" priority="2048" operator="lessThan">
      <formula>0</formula>
    </cfRule>
  </conditionalFormatting>
  <conditionalFormatting sqref="R83">
    <cfRule type="cellIs" dxfId="13170" priority="2046" operator="lessThan">
      <formula>0.8</formula>
    </cfRule>
    <cfRule type="cellIs" dxfId="13169" priority="2047" operator="greaterThan">
      <formula>1</formula>
    </cfRule>
  </conditionalFormatting>
  <conditionalFormatting sqref="R83">
    <cfRule type="cellIs" dxfId="13168" priority="2044" operator="greaterThan">
      <formula>1</formula>
    </cfRule>
    <cfRule type="cellIs" dxfId="13167" priority="2045" operator="lessThan">
      <formula>0.8</formula>
    </cfRule>
  </conditionalFormatting>
  <conditionalFormatting sqref="P83">
    <cfRule type="cellIs" dxfId="13166" priority="2043" operator="greaterThan">
      <formula>0</formula>
    </cfRule>
  </conditionalFormatting>
  <conditionalFormatting sqref="Q32:Q39">
    <cfRule type="cellIs" dxfId="13165" priority="2037" operator="lessThan">
      <formula>0</formula>
    </cfRule>
  </conditionalFormatting>
  <conditionalFormatting sqref="P32:P39">
    <cfRule type="cellIs" dxfId="13164" priority="2038" operator="greaterThan">
      <formula>0</formula>
    </cfRule>
  </conditionalFormatting>
  <conditionalFormatting sqref="R32:R39">
    <cfRule type="cellIs" dxfId="13163" priority="2041" operator="lessThan">
      <formula>0.8</formula>
    </cfRule>
    <cfRule type="cellIs" dxfId="13162" priority="2042" operator="greaterThan">
      <formula>1</formula>
    </cfRule>
  </conditionalFormatting>
  <conditionalFormatting sqref="R32:R39">
    <cfRule type="cellIs" dxfId="13161" priority="2039" operator="greaterThan">
      <formula>1</formula>
    </cfRule>
    <cfRule type="cellIs" dxfId="13160" priority="2040" operator="lessThan">
      <formula>0.8</formula>
    </cfRule>
  </conditionalFormatting>
  <conditionalFormatting sqref="Q32:Q39">
    <cfRule type="cellIs" dxfId="13159" priority="2031" operator="lessThan">
      <formula>0</formula>
    </cfRule>
  </conditionalFormatting>
  <conditionalFormatting sqref="R32:R39">
    <cfRule type="cellIs" dxfId="13158" priority="2035" operator="lessThan">
      <formula>0.8</formula>
    </cfRule>
    <cfRule type="cellIs" dxfId="13157" priority="2036" operator="greaterThan">
      <formula>1</formula>
    </cfRule>
  </conditionalFormatting>
  <conditionalFormatting sqref="R32:R39">
    <cfRule type="cellIs" dxfId="13156" priority="2033" operator="greaterThan">
      <formula>1</formula>
    </cfRule>
    <cfRule type="cellIs" dxfId="13155" priority="2034" operator="lessThan">
      <formula>0.8</formula>
    </cfRule>
  </conditionalFormatting>
  <conditionalFormatting sqref="P32:P39">
    <cfRule type="cellIs" dxfId="13154" priority="2032" operator="greaterThan">
      <formula>0</formula>
    </cfRule>
  </conditionalFormatting>
  <conditionalFormatting sqref="Q32:Q39">
    <cfRule type="cellIs" dxfId="13153" priority="2030" operator="lessThan">
      <formula>0</formula>
    </cfRule>
  </conditionalFormatting>
  <conditionalFormatting sqref="R32:R39">
    <cfRule type="cellIs" dxfId="13152" priority="2028" operator="lessThan">
      <formula>0.8</formula>
    </cfRule>
    <cfRule type="cellIs" dxfId="13151" priority="2029" operator="greaterThan">
      <formula>1</formula>
    </cfRule>
  </conditionalFormatting>
  <conditionalFormatting sqref="R32:R39">
    <cfRule type="cellIs" dxfId="13150" priority="2026" operator="greaterThan">
      <formula>1</formula>
    </cfRule>
    <cfRule type="cellIs" dxfId="13149" priority="2027" operator="lessThan">
      <formula>0.8</formula>
    </cfRule>
  </conditionalFormatting>
  <conditionalFormatting sqref="P32:P39">
    <cfRule type="cellIs" dxfId="13148" priority="2025" operator="greaterThan">
      <formula>0</formula>
    </cfRule>
  </conditionalFormatting>
  <conditionalFormatting sqref="Q32:Q39">
    <cfRule type="cellIs" dxfId="13147" priority="2024" operator="lessThan">
      <formula>0</formula>
    </cfRule>
  </conditionalFormatting>
  <conditionalFormatting sqref="R32:R39">
    <cfRule type="cellIs" dxfId="13146" priority="2022" operator="lessThan">
      <formula>0.8</formula>
    </cfRule>
    <cfRule type="cellIs" dxfId="13145" priority="2023" operator="greaterThan">
      <formula>1</formula>
    </cfRule>
  </conditionalFormatting>
  <conditionalFormatting sqref="R32:R39">
    <cfRule type="cellIs" dxfId="13144" priority="2020" operator="greaterThan">
      <formula>1</formula>
    </cfRule>
    <cfRule type="cellIs" dxfId="13143" priority="2021" operator="lessThan">
      <formula>0.8</formula>
    </cfRule>
  </conditionalFormatting>
  <conditionalFormatting sqref="P32:P39">
    <cfRule type="cellIs" dxfId="13142" priority="2019" operator="greaterThan">
      <formula>0</formula>
    </cfRule>
  </conditionalFormatting>
  <conditionalFormatting sqref="Q32:Q39">
    <cfRule type="cellIs" dxfId="13141" priority="2013" operator="lessThan">
      <formula>0</formula>
    </cfRule>
  </conditionalFormatting>
  <conditionalFormatting sqref="R32:R39">
    <cfRule type="cellIs" dxfId="13140" priority="2017" operator="lessThan">
      <formula>0.8</formula>
    </cfRule>
    <cfRule type="cellIs" dxfId="13139" priority="2018" operator="greaterThan">
      <formula>1</formula>
    </cfRule>
  </conditionalFormatting>
  <conditionalFormatting sqref="R32:R39">
    <cfRule type="cellIs" dxfId="13138" priority="2015" operator="greaterThan">
      <formula>1</formula>
    </cfRule>
    <cfRule type="cellIs" dxfId="13137" priority="2016" operator="lessThan">
      <formula>0.8</formula>
    </cfRule>
  </conditionalFormatting>
  <conditionalFormatting sqref="P32:P39">
    <cfRule type="cellIs" dxfId="13136" priority="2014" operator="greaterThan">
      <formula>0</formula>
    </cfRule>
  </conditionalFormatting>
  <conditionalFormatting sqref="Q32:Q39">
    <cfRule type="cellIs" dxfId="13135" priority="2012" operator="lessThan">
      <formula>0</formula>
    </cfRule>
  </conditionalFormatting>
  <conditionalFormatting sqref="R32:R39">
    <cfRule type="cellIs" dxfId="13134" priority="2010" operator="lessThan">
      <formula>0.8</formula>
    </cfRule>
    <cfRule type="cellIs" dxfId="13133" priority="2011" operator="greaterThan">
      <formula>1</formula>
    </cfRule>
  </conditionalFormatting>
  <conditionalFormatting sqref="R32:R39">
    <cfRule type="cellIs" dxfId="13132" priority="2008" operator="greaterThan">
      <formula>1</formula>
    </cfRule>
    <cfRule type="cellIs" dxfId="13131" priority="2009" operator="lessThan">
      <formula>0.8</formula>
    </cfRule>
  </conditionalFormatting>
  <conditionalFormatting sqref="P32:P39">
    <cfRule type="cellIs" dxfId="13130" priority="2007" operator="greaterThan">
      <formula>0</formula>
    </cfRule>
  </conditionalFormatting>
  <conditionalFormatting sqref="Q32:Q39">
    <cfRule type="cellIs" dxfId="13129" priority="2006" operator="lessThan">
      <formula>0</formula>
    </cfRule>
  </conditionalFormatting>
  <conditionalFormatting sqref="R32:R39">
    <cfRule type="cellIs" dxfId="13128" priority="2004" operator="lessThan">
      <formula>0.8</formula>
    </cfRule>
    <cfRule type="cellIs" dxfId="13127" priority="2005" operator="greaterThan">
      <formula>1</formula>
    </cfRule>
  </conditionalFormatting>
  <conditionalFormatting sqref="R32:R39">
    <cfRule type="cellIs" dxfId="13126" priority="2002" operator="greaterThan">
      <formula>1</formula>
    </cfRule>
    <cfRule type="cellIs" dxfId="13125" priority="2003" operator="lessThan">
      <formula>0.8</formula>
    </cfRule>
  </conditionalFormatting>
  <conditionalFormatting sqref="P32:P39">
    <cfRule type="cellIs" dxfId="13124" priority="2001" operator="greaterThan">
      <formula>0</formula>
    </cfRule>
  </conditionalFormatting>
  <conditionalFormatting sqref="Q32:Q39">
    <cfRule type="cellIs" dxfId="13123" priority="2000" operator="lessThan">
      <formula>0</formula>
    </cfRule>
  </conditionalFormatting>
  <conditionalFormatting sqref="R32:R39">
    <cfRule type="cellIs" dxfId="13122" priority="1998" operator="lessThan">
      <formula>0.8</formula>
    </cfRule>
    <cfRule type="cellIs" dxfId="13121" priority="1999" operator="greaterThan">
      <formula>1</formula>
    </cfRule>
  </conditionalFormatting>
  <conditionalFormatting sqref="R32:R39">
    <cfRule type="cellIs" dxfId="13120" priority="1996" operator="greaterThan">
      <formula>1</formula>
    </cfRule>
    <cfRule type="cellIs" dxfId="13119" priority="1997" operator="lessThan">
      <formula>0.8</formula>
    </cfRule>
  </conditionalFormatting>
  <conditionalFormatting sqref="P32:P39">
    <cfRule type="cellIs" dxfId="13118" priority="1995" operator="greaterThan">
      <formula>0</formula>
    </cfRule>
  </conditionalFormatting>
  <conditionalFormatting sqref="Q32:Q39">
    <cfRule type="cellIs" dxfId="13117" priority="1994" operator="lessThan">
      <formula>0</formula>
    </cfRule>
  </conditionalFormatting>
  <conditionalFormatting sqref="R32:R39">
    <cfRule type="cellIs" dxfId="13116" priority="1992" operator="lessThan">
      <formula>0.8</formula>
    </cfRule>
    <cfRule type="cellIs" dxfId="13115" priority="1993" operator="greaterThan">
      <formula>1</formula>
    </cfRule>
  </conditionalFormatting>
  <conditionalFormatting sqref="R32:R39">
    <cfRule type="cellIs" dxfId="13114" priority="1990" operator="greaterThan">
      <formula>1</formula>
    </cfRule>
    <cfRule type="cellIs" dxfId="13113" priority="1991" operator="lessThan">
      <formula>0.8</formula>
    </cfRule>
  </conditionalFormatting>
  <conditionalFormatting sqref="P32:P39">
    <cfRule type="cellIs" dxfId="13112" priority="1989" operator="greaterThan">
      <formula>0</formula>
    </cfRule>
  </conditionalFormatting>
  <conditionalFormatting sqref="Q32:Q39">
    <cfRule type="cellIs" dxfId="13111" priority="1988" operator="lessThan">
      <formula>0</formula>
    </cfRule>
  </conditionalFormatting>
  <conditionalFormatting sqref="R32:R39">
    <cfRule type="cellIs" dxfId="13110" priority="1986" operator="lessThan">
      <formula>0.8</formula>
    </cfRule>
    <cfRule type="cellIs" dxfId="13109" priority="1987" operator="greaterThan">
      <formula>1</formula>
    </cfRule>
  </conditionalFormatting>
  <conditionalFormatting sqref="R32:R39">
    <cfRule type="cellIs" dxfId="13108" priority="1984" operator="greaterThan">
      <formula>1</formula>
    </cfRule>
    <cfRule type="cellIs" dxfId="13107" priority="1985" operator="lessThan">
      <formula>0.8</formula>
    </cfRule>
  </conditionalFormatting>
  <conditionalFormatting sqref="P32:P39">
    <cfRule type="cellIs" dxfId="13106" priority="1983" operator="greaterThan">
      <formula>0</formula>
    </cfRule>
  </conditionalFormatting>
  <conditionalFormatting sqref="P32:P39">
    <cfRule type="cellIs" dxfId="13105" priority="1977" operator="greaterThan">
      <formula>0</formula>
    </cfRule>
  </conditionalFormatting>
  <conditionalFormatting sqref="Q32:Q39">
    <cfRule type="cellIs" dxfId="13104" priority="1982" operator="lessThan">
      <formula>0</formula>
    </cfRule>
  </conditionalFormatting>
  <conditionalFormatting sqref="R32:R39">
    <cfRule type="cellIs" dxfId="13103" priority="1980" operator="lessThan">
      <formula>0.8</formula>
    </cfRule>
    <cfRule type="cellIs" dxfId="13102" priority="1981" operator="greaterThan">
      <formula>1</formula>
    </cfRule>
  </conditionalFormatting>
  <conditionalFormatting sqref="R32:R39">
    <cfRule type="cellIs" dxfId="13101" priority="1978" operator="greaterThan">
      <formula>1</formula>
    </cfRule>
    <cfRule type="cellIs" dxfId="13100" priority="1979" operator="lessThan">
      <formula>0.8</formula>
    </cfRule>
  </conditionalFormatting>
  <conditionalFormatting sqref="P32:P39">
    <cfRule type="cellIs" dxfId="13099" priority="1971" operator="greaterThan">
      <formula>0</formula>
    </cfRule>
  </conditionalFormatting>
  <conditionalFormatting sqref="Q32:Q39">
    <cfRule type="cellIs" dxfId="13098" priority="1976" operator="lessThan">
      <formula>0</formula>
    </cfRule>
  </conditionalFormatting>
  <conditionalFormatting sqref="R32:R39">
    <cfRule type="cellIs" dxfId="13097" priority="1974" operator="lessThan">
      <formula>0.8</formula>
    </cfRule>
    <cfRule type="cellIs" dxfId="13096" priority="1975" operator="greaterThan">
      <formula>1</formula>
    </cfRule>
  </conditionalFormatting>
  <conditionalFormatting sqref="R32:R39">
    <cfRule type="cellIs" dxfId="13095" priority="1972" operator="greaterThan">
      <formula>1</formula>
    </cfRule>
    <cfRule type="cellIs" dxfId="13094" priority="1973" operator="lessThan">
      <formula>0.8</formula>
    </cfRule>
  </conditionalFormatting>
  <conditionalFormatting sqref="R32:R39">
    <cfRule type="cellIs" dxfId="13093" priority="1968" operator="lessThan">
      <formula>0.8</formula>
    </cfRule>
    <cfRule type="cellIs" dxfId="13092" priority="1969" operator="greaterThan">
      <formula>1</formula>
    </cfRule>
  </conditionalFormatting>
  <conditionalFormatting sqref="R32:R39">
    <cfRule type="cellIs" dxfId="13091" priority="1966" operator="greaterThan">
      <formula>1</formula>
    </cfRule>
    <cfRule type="cellIs" dxfId="13090" priority="1967" operator="lessThan">
      <formula>0.8</formula>
    </cfRule>
  </conditionalFormatting>
  <conditionalFormatting sqref="P32:P39">
    <cfRule type="cellIs" dxfId="13089" priority="1965" operator="greaterThan">
      <formula>0</formula>
    </cfRule>
  </conditionalFormatting>
  <conditionalFormatting sqref="Q32:Q39">
    <cfRule type="cellIs" dxfId="13088" priority="1970" operator="lessThan">
      <formula>0</formula>
    </cfRule>
  </conditionalFormatting>
  <conditionalFormatting sqref="Q32:Q39">
    <cfRule type="cellIs" dxfId="13087" priority="1959" operator="lessThan">
      <formula>0</formula>
    </cfRule>
  </conditionalFormatting>
  <conditionalFormatting sqref="P32:P39">
    <cfRule type="cellIs" dxfId="13086" priority="1960" operator="greaterThan">
      <formula>0</formula>
    </cfRule>
  </conditionalFormatting>
  <conditionalFormatting sqref="R32:R39">
    <cfRule type="cellIs" dxfId="13085" priority="1963" operator="lessThan">
      <formula>0.8</formula>
    </cfRule>
    <cfRule type="cellIs" dxfId="13084" priority="1964" operator="greaterThan">
      <formula>1</formula>
    </cfRule>
  </conditionalFormatting>
  <conditionalFormatting sqref="R32:R39">
    <cfRule type="cellIs" dxfId="13083" priority="1961" operator="greaterThan">
      <formula>1</formula>
    </cfRule>
    <cfRule type="cellIs" dxfId="13082" priority="1962" operator="lessThan">
      <formula>0.8</formula>
    </cfRule>
  </conditionalFormatting>
  <conditionalFormatting sqref="Q32:Q39">
    <cfRule type="cellIs" dxfId="13081" priority="1953" operator="lessThan">
      <formula>0</formula>
    </cfRule>
  </conditionalFormatting>
  <conditionalFormatting sqref="R32:R39">
    <cfRule type="cellIs" dxfId="13080" priority="1957" operator="lessThan">
      <formula>0.8</formula>
    </cfRule>
    <cfRule type="cellIs" dxfId="13079" priority="1958" operator="greaterThan">
      <formula>1</formula>
    </cfRule>
  </conditionalFormatting>
  <conditionalFormatting sqref="R32:R39">
    <cfRule type="cellIs" dxfId="13078" priority="1955" operator="greaterThan">
      <formula>1</formula>
    </cfRule>
    <cfRule type="cellIs" dxfId="13077" priority="1956" operator="lessThan">
      <formula>0.8</formula>
    </cfRule>
  </conditionalFormatting>
  <conditionalFormatting sqref="P32:P39">
    <cfRule type="cellIs" dxfId="13076" priority="1954" operator="greaterThan">
      <formula>0</formula>
    </cfRule>
  </conditionalFormatting>
  <conditionalFormatting sqref="Q32:Q39">
    <cfRule type="cellIs" dxfId="13075" priority="1952" operator="lessThan">
      <formula>0</formula>
    </cfRule>
  </conditionalFormatting>
  <conditionalFormatting sqref="R32:R39">
    <cfRule type="cellIs" dxfId="13074" priority="1950" operator="lessThan">
      <formula>0.8</formula>
    </cfRule>
    <cfRule type="cellIs" dxfId="13073" priority="1951" operator="greaterThan">
      <formula>1</formula>
    </cfRule>
  </conditionalFormatting>
  <conditionalFormatting sqref="R32:R39">
    <cfRule type="cellIs" dxfId="13072" priority="1948" operator="greaterThan">
      <formula>1</formula>
    </cfRule>
    <cfRule type="cellIs" dxfId="13071" priority="1949" operator="lessThan">
      <formula>0.8</formula>
    </cfRule>
  </conditionalFormatting>
  <conditionalFormatting sqref="P32:P39">
    <cfRule type="cellIs" dxfId="13070" priority="1947" operator="greaterThan">
      <formula>0</formula>
    </cfRule>
  </conditionalFormatting>
  <conditionalFormatting sqref="Q32:Q39">
    <cfRule type="cellIs" dxfId="13069" priority="1946" operator="lessThan">
      <formula>0</formula>
    </cfRule>
  </conditionalFormatting>
  <conditionalFormatting sqref="R32:R39">
    <cfRule type="cellIs" dxfId="13068" priority="1944" operator="lessThan">
      <formula>0.8</formula>
    </cfRule>
    <cfRule type="cellIs" dxfId="13067" priority="1945" operator="greaterThan">
      <formula>1</formula>
    </cfRule>
  </conditionalFormatting>
  <conditionalFormatting sqref="R32:R39">
    <cfRule type="cellIs" dxfId="13066" priority="1942" operator="greaterThan">
      <formula>1</formula>
    </cfRule>
    <cfRule type="cellIs" dxfId="13065" priority="1943" operator="lessThan">
      <formula>0.8</formula>
    </cfRule>
  </conditionalFormatting>
  <conditionalFormatting sqref="P32:P39">
    <cfRule type="cellIs" dxfId="13064" priority="1941" operator="greaterThan">
      <formula>0</formula>
    </cfRule>
  </conditionalFormatting>
  <conditionalFormatting sqref="Q32:Q39">
    <cfRule type="cellIs" dxfId="13063" priority="1935" operator="lessThan">
      <formula>0</formula>
    </cfRule>
  </conditionalFormatting>
  <conditionalFormatting sqref="P32:P39">
    <cfRule type="cellIs" dxfId="13062" priority="1936" operator="greaterThan">
      <formula>0</formula>
    </cfRule>
  </conditionalFormatting>
  <conditionalFormatting sqref="R32:R39">
    <cfRule type="cellIs" dxfId="13061" priority="1939" operator="lessThan">
      <formula>0.8</formula>
    </cfRule>
    <cfRule type="cellIs" dxfId="13060" priority="1940" operator="greaterThan">
      <formula>1</formula>
    </cfRule>
  </conditionalFormatting>
  <conditionalFormatting sqref="R32:R39">
    <cfRule type="cellIs" dxfId="13059" priority="1937" operator="greaterThan">
      <formula>1</formula>
    </cfRule>
    <cfRule type="cellIs" dxfId="13058" priority="1938" operator="lessThan">
      <formula>0.8</formula>
    </cfRule>
  </conditionalFormatting>
  <conditionalFormatting sqref="Q32:Q39">
    <cfRule type="cellIs" dxfId="13057" priority="1929" operator="lessThan">
      <formula>0</formula>
    </cfRule>
  </conditionalFormatting>
  <conditionalFormatting sqref="R32:R39">
    <cfRule type="cellIs" dxfId="13056" priority="1933" operator="lessThan">
      <formula>0.8</formula>
    </cfRule>
    <cfRule type="cellIs" dxfId="13055" priority="1934" operator="greaterThan">
      <formula>1</formula>
    </cfRule>
  </conditionalFormatting>
  <conditionalFormatting sqref="R32:R39">
    <cfRule type="cellIs" dxfId="13054" priority="1931" operator="greaterThan">
      <formula>1</formula>
    </cfRule>
    <cfRule type="cellIs" dxfId="13053" priority="1932" operator="lessThan">
      <formula>0.8</formula>
    </cfRule>
  </conditionalFormatting>
  <conditionalFormatting sqref="P32:P39">
    <cfRule type="cellIs" dxfId="13052" priority="1930" operator="greaterThan">
      <formula>0</formula>
    </cfRule>
  </conditionalFormatting>
  <conditionalFormatting sqref="Q32:Q39">
    <cfRule type="cellIs" dxfId="13051" priority="1928" operator="lessThan">
      <formula>0</formula>
    </cfRule>
  </conditionalFormatting>
  <conditionalFormatting sqref="R32:R39">
    <cfRule type="cellIs" dxfId="13050" priority="1926" operator="lessThan">
      <formula>0.8</formula>
    </cfRule>
    <cfRule type="cellIs" dxfId="13049" priority="1927" operator="greaterThan">
      <formula>1</formula>
    </cfRule>
  </conditionalFormatting>
  <conditionalFormatting sqref="R32:R39">
    <cfRule type="cellIs" dxfId="13048" priority="1924" operator="greaterThan">
      <formula>1</formula>
    </cfRule>
    <cfRule type="cellIs" dxfId="13047" priority="1925" operator="lessThan">
      <formula>0.8</formula>
    </cfRule>
  </conditionalFormatting>
  <conditionalFormatting sqref="P32:P39">
    <cfRule type="cellIs" dxfId="13046" priority="1923" operator="greaterThan">
      <formula>0</formula>
    </cfRule>
  </conditionalFormatting>
  <conditionalFormatting sqref="Q32:Q39">
    <cfRule type="cellIs" dxfId="13045" priority="1922" operator="lessThan">
      <formula>0</formula>
    </cfRule>
  </conditionalFormatting>
  <conditionalFormatting sqref="R32:R39">
    <cfRule type="cellIs" dxfId="13044" priority="1920" operator="lessThan">
      <formula>0.8</formula>
    </cfRule>
    <cfRule type="cellIs" dxfId="13043" priority="1921" operator="greaterThan">
      <formula>1</formula>
    </cfRule>
  </conditionalFormatting>
  <conditionalFormatting sqref="R32:R39">
    <cfRule type="cellIs" dxfId="13042" priority="1918" operator="greaterThan">
      <formula>1</formula>
    </cfRule>
    <cfRule type="cellIs" dxfId="13041" priority="1919" operator="lessThan">
      <formula>0.8</formula>
    </cfRule>
  </conditionalFormatting>
  <conditionalFormatting sqref="P32:P39">
    <cfRule type="cellIs" dxfId="13040" priority="1917" operator="greaterThan">
      <formula>0</formula>
    </cfRule>
  </conditionalFormatting>
  <conditionalFormatting sqref="Q19:Q24">
    <cfRule type="cellIs" dxfId="13039" priority="1916" operator="lessThan">
      <formula>0</formula>
    </cfRule>
  </conditionalFormatting>
  <conditionalFormatting sqref="R19:R24">
    <cfRule type="cellIs" dxfId="13038" priority="1914" operator="lessThan">
      <formula>0.8</formula>
    </cfRule>
    <cfRule type="cellIs" dxfId="13037" priority="1915" operator="greaterThan">
      <formula>1</formula>
    </cfRule>
  </conditionalFormatting>
  <conditionalFormatting sqref="R19:R24">
    <cfRule type="cellIs" dxfId="13036" priority="1912" operator="greaterThan">
      <formula>1</formula>
    </cfRule>
    <cfRule type="cellIs" dxfId="13035" priority="1913" operator="lessThan">
      <formula>0.8</formula>
    </cfRule>
  </conditionalFormatting>
  <conditionalFormatting sqref="P19:P24">
    <cfRule type="cellIs" dxfId="13034" priority="1911" operator="greaterThan">
      <formula>0</formula>
    </cfRule>
  </conditionalFormatting>
  <conditionalFormatting sqref="R19:R24">
    <cfRule type="cellIs" dxfId="13033" priority="1908" operator="lessThan">
      <formula>0.8</formula>
    </cfRule>
    <cfRule type="cellIs" dxfId="13032" priority="1909" operator="greaterThan">
      <formula>1</formula>
    </cfRule>
  </conditionalFormatting>
  <conditionalFormatting sqref="R19:R24">
    <cfRule type="cellIs" dxfId="13031" priority="1906" operator="greaterThan">
      <formula>1</formula>
    </cfRule>
    <cfRule type="cellIs" dxfId="13030" priority="1907" operator="lessThan">
      <formula>0.8</formula>
    </cfRule>
  </conditionalFormatting>
  <conditionalFormatting sqref="P19:P24">
    <cfRule type="cellIs" dxfId="13029" priority="1905" operator="greaterThan">
      <formula>0</formula>
    </cfRule>
  </conditionalFormatting>
  <conditionalFormatting sqref="Q19:Q24">
    <cfRule type="cellIs" dxfId="13028" priority="1910" operator="lessThan">
      <formula>0</formula>
    </cfRule>
  </conditionalFormatting>
  <conditionalFormatting sqref="R19:R24">
    <cfRule type="cellIs" dxfId="13027" priority="1902" operator="lessThan">
      <formula>0.8</formula>
    </cfRule>
    <cfRule type="cellIs" dxfId="13026" priority="1903" operator="greaterThan">
      <formula>1</formula>
    </cfRule>
  </conditionalFormatting>
  <conditionalFormatting sqref="R19:R24">
    <cfRule type="cellIs" dxfId="13025" priority="1900" operator="greaterThan">
      <formula>1</formula>
    </cfRule>
    <cfRule type="cellIs" dxfId="13024" priority="1901" operator="lessThan">
      <formula>0.8</formula>
    </cfRule>
  </conditionalFormatting>
  <conditionalFormatting sqref="P19:P24">
    <cfRule type="cellIs" dxfId="13023" priority="1899" operator="greaterThan">
      <formula>0</formula>
    </cfRule>
  </conditionalFormatting>
  <conditionalFormatting sqref="Q19:Q24">
    <cfRule type="cellIs" dxfId="13022" priority="1904" operator="lessThan">
      <formula>0</formula>
    </cfRule>
  </conditionalFormatting>
  <conditionalFormatting sqref="Q19:Q24">
    <cfRule type="cellIs" dxfId="13021" priority="1898" operator="lessThan">
      <formula>0</formula>
    </cfRule>
  </conditionalFormatting>
  <conditionalFormatting sqref="R19:R24">
    <cfRule type="cellIs" dxfId="13020" priority="1896" operator="lessThan">
      <formula>0.8</formula>
    </cfRule>
    <cfRule type="cellIs" dxfId="13019" priority="1897" operator="greaterThan">
      <formula>1</formula>
    </cfRule>
  </conditionalFormatting>
  <conditionalFormatting sqref="R19:R24">
    <cfRule type="cellIs" dxfId="13018" priority="1894" operator="greaterThan">
      <formula>1</formula>
    </cfRule>
    <cfRule type="cellIs" dxfId="13017" priority="1895" operator="lessThan">
      <formula>0.8</formula>
    </cfRule>
  </conditionalFormatting>
  <conditionalFormatting sqref="P19:P24">
    <cfRule type="cellIs" dxfId="13016" priority="1893" operator="greaterThan">
      <formula>0</formula>
    </cfRule>
  </conditionalFormatting>
  <conditionalFormatting sqref="Q135:Q136">
    <cfRule type="cellIs" dxfId="13015" priority="1892" operator="lessThan">
      <formula>0</formula>
    </cfRule>
  </conditionalFormatting>
  <conditionalFormatting sqref="R135:R136">
    <cfRule type="cellIs" dxfId="13014" priority="1890" operator="lessThan">
      <formula>0.8</formula>
    </cfRule>
    <cfRule type="cellIs" dxfId="13013" priority="1891" operator="greaterThan">
      <formula>1</formula>
    </cfRule>
  </conditionalFormatting>
  <conditionalFormatting sqref="R135:R136">
    <cfRule type="cellIs" dxfId="13012" priority="1888" operator="greaterThan">
      <formula>1</formula>
    </cfRule>
    <cfRule type="cellIs" dxfId="13011" priority="1889" operator="lessThan">
      <formula>0.8</formula>
    </cfRule>
  </conditionalFormatting>
  <conditionalFormatting sqref="P135:P136">
    <cfRule type="cellIs" dxfId="13010" priority="1887" operator="greaterThan">
      <formula>0</formula>
    </cfRule>
  </conditionalFormatting>
  <conditionalFormatting sqref="P135:P136">
    <cfRule type="cellIs" dxfId="13009" priority="1881" operator="greaterThan">
      <formula>0</formula>
    </cfRule>
  </conditionalFormatting>
  <conditionalFormatting sqref="Q135:Q136">
    <cfRule type="cellIs" dxfId="13008" priority="1886" operator="lessThan">
      <formula>0</formula>
    </cfRule>
  </conditionalFormatting>
  <conditionalFormatting sqref="R135:R136">
    <cfRule type="cellIs" dxfId="13007" priority="1884" operator="lessThan">
      <formula>0.8</formula>
    </cfRule>
    <cfRule type="cellIs" dxfId="13006" priority="1885" operator="greaterThan">
      <formula>1</formula>
    </cfRule>
  </conditionalFormatting>
  <conditionalFormatting sqref="R135:R136">
    <cfRule type="cellIs" dxfId="13005" priority="1882" operator="greaterThan">
      <formula>1</formula>
    </cfRule>
    <cfRule type="cellIs" dxfId="13004" priority="1883" operator="lessThan">
      <formula>0.8</formula>
    </cfRule>
  </conditionalFormatting>
  <conditionalFormatting sqref="Q25">
    <cfRule type="cellIs" dxfId="13003" priority="1880" operator="lessThan">
      <formula>0</formula>
    </cfRule>
  </conditionalFormatting>
  <conditionalFormatting sqref="R25">
    <cfRule type="cellIs" dxfId="13002" priority="1878" operator="lessThan">
      <formula>0.8</formula>
    </cfRule>
    <cfRule type="cellIs" dxfId="13001" priority="1879" operator="greaterThan">
      <formula>1</formula>
    </cfRule>
  </conditionalFormatting>
  <conditionalFormatting sqref="R25">
    <cfRule type="cellIs" dxfId="13000" priority="1876" operator="greaterThan">
      <formula>1</formula>
    </cfRule>
    <cfRule type="cellIs" dxfId="12999" priority="1877" operator="lessThan">
      <formula>0.8</formula>
    </cfRule>
  </conditionalFormatting>
  <conditionalFormatting sqref="P25">
    <cfRule type="cellIs" dxfId="12998" priority="1875" operator="greaterThan">
      <formula>0</formula>
    </cfRule>
  </conditionalFormatting>
  <conditionalFormatting sqref="R25">
    <cfRule type="cellIs" dxfId="12997" priority="1872" operator="lessThan">
      <formula>0.8</formula>
    </cfRule>
    <cfRule type="cellIs" dxfId="12996" priority="1873" operator="greaterThan">
      <formula>1</formula>
    </cfRule>
  </conditionalFormatting>
  <conditionalFormatting sqref="R25">
    <cfRule type="cellIs" dxfId="12995" priority="1870" operator="greaterThan">
      <formula>1</formula>
    </cfRule>
    <cfRule type="cellIs" dxfId="12994" priority="1871" operator="lessThan">
      <formula>0.8</formula>
    </cfRule>
  </conditionalFormatting>
  <conditionalFormatting sqref="P25">
    <cfRule type="cellIs" dxfId="12993" priority="1869" operator="greaterThan">
      <formula>0</formula>
    </cfRule>
  </conditionalFormatting>
  <conditionalFormatting sqref="Q25">
    <cfRule type="cellIs" dxfId="12992" priority="1874" operator="lessThan">
      <formula>0</formula>
    </cfRule>
  </conditionalFormatting>
  <conditionalFormatting sqref="R25">
    <cfRule type="cellIs" dxfId="12991" priority="1866" operator="lessThan">
      <formula>0.8</formula>
    </cfRule>
    <cfRule type="cellIs" dxfId="12990" priority="1867" operator="greaterThan">
      <formula>1</formula>
    </cfRule>
  </conditionalFormatting>
  <conditionalFormatting sqref="R25">
    <cfRule type="cellIs" dxfId="12989" priority="1864" operator="greaterThan">
      <formula>1</formula>
    </cfRule>
    <cfRule type="cellIs" dxfId="12988" priority="1865" operator="lessThan">
      <formula>0.8</formula>
    </cfRule>
  </conditionalFormatting>
  <conditionalFormatting sqref="P25">
    <cfRule type="cellIs" dxfId="12987" priority="1863" operator="greaterThan">
      <formula>0</formula>
    </cfRule>
  </conditionalFormatting>
  <conditionalFormatting sqref="Q25">
    <cfRule type="cellIs" dxfId="12986" priority="1868" operator="lessThan">
      <formula>0</formula>
    </cfRule>
  </conditionalFormatting>
  <conditionalFormatting sqref="Q25">
    <cfRule type="cellIs" dxfId="12985" priority="1862" operator="lessThan">
      <formula>0</formula>
    </cfRule>
  </conditionalFormatting>
  <conditionalFormatting sqref="R25">
    <cfRule type="cellIs" dxfId="12984" priority="1860" operator="lessThan">
      <formula>0.8</formula>
    </cfRule>
    <cfRule type="cellIs" dxfId="12983" priority="1861" operator="greaterThan">
      <formula>1</formula>
    </cfRule>
  </conditionalFormatting>
  <conditionalFormatting sqref="R25">
    <cfRule type="cellIs" dxfId="12982" priority="1858" operator="greaterThan">
      <formula>1</formula>
    </cfRule>
    <cfRule type="cellIs" dxfId="12981" priority="1859" operator="lessThan">
      <formula>0.8</formula>
    </cfRule>
  </conditionalFormatting>
  <conditionalFormatting sqref="P25">
    <cfRule type="cellIs" dxfId="12980" priority="1857" operator="greaterThan">
      <formula>0</formula>
    </cfRule>
  </conditionalFormatting>
  <conditionalFormatting sqref="Q25">
    <cfRule type="cellIs" dxfId="12979" priority="1856" operator="lessThan">
      <formula>0</formula>
    </cfRule>
  </conditionalFormatting>
  <conditionalFormatting sqref="R25">
    <cfRule type="cellIs" dxfId="12978" priority="1854" operator="lessThan">
      <formula>0.8</formula>
    </cfRule>
    <cfRule type="cellIs" dxfId="12977" priority="1855" operator="greaterThan">
      <formula>1</formula>
    </cfRule>
  </conditionalFormatting>
  <conditionalFormatting sqref="R25">
    <cfRule type="cellIs" dxfId="12976" priority="1852" operator="greaterThan">
      <formula>1</formula>
    </cfRule>
    <cfRule type="cellIs" dxfId="12975" priority="1853" operator="lessThan">
      <formula>0.8</formula>
    </cfRule>
  </conditionalFormatting>
  <conditionalFormatting sqref="P25">
    <cfRule type="cellIs" dxfId="12974" priority="1851" operator="greaterThan">
      <formula>0</formula>
    </cfRule>
  </conditionalFormatting>
  <conditionalFormatting sqref="P19:P24">
    <cfRule type="cellIs" dxfId="12973" priority="1845" operator="greaterThan">
      <formula>0</formula>
    </cfRule>
  </conditionalFormatting>
  <conditionalFormatting sqref="Q19:Q24">
    <cfRule type="cellIs" dxfId="12972" priority="1850" operator="lessThan">
      <formula>0</formula>
    </cfRule>
  </conditionalFormatting>
  <conditionalFormatting sqref="R19:R24">
    <cfRule type="cellIs" dxfId="12971" priority="1848" operator="lessThan">
      <formula>0.8</formula>
    </cfRule>
    <cfRule type="cellIs" dxfId="12970" priority="1849" operator="greaterThan">
      <formula>1</formula>
    </cfRule>
  </conditionalFormatting>
  <conditionalFormatting sqref="R19:R24">
    <cfRule type="cellIs" dxfId="12969" priority="1846" operator="greaterThan">
      <formula>1</formula>
    </cfRule>
    <cfRule type="cellIs" dxfId="12968" priority="1847" operator="lessThan">
      <formula>0.8</formula>
    </cfRule>
  </conditionalFormatting>
  <conditionalFormatting sqref="Q19:Q24">
    <cfRule type="cellIs" dxfId="12967" priority="1844" operator="lessThan">
      <formula>0</formula>
    </cfRule>
  </conditionalFormatting>
  <conditionalFormatting sqref="R19:R24">
    <cfRule type="cellIs" dxfId="12966" priority="1842" operator="lessThan">
      <formula>0.8</formula>
    </cfRule>
    <cfRule type="cellIs" dxfId="12965" priority="1843" operator="greaterThan">
      <formula>1</formula>
    </cfRule>
  </conditionalFormatting>
  <conditionalFormatting sqref="R19:R24">
    <cfRule type="cellIs" dxfId="12964" priority="1840" operator="greaterThan">
      <formula>1</formula>
    </cfRule>
    <cfRule type="cellIs" dxfId="12963" priority="1841" operator="lessThan">
      <formula>0.8</formula>
    </cfRule>
  </conditionalFormatting>
  <conditionalFormatting sqref="P19:P24">
    <cfRule type="cellIs" dxfId="12962" priority="1839" operator="greaterThan">
      <formula>0</formula>
    </cfRule>
  </conditionalFormatting>
  <conditionalFormatting sqref="Q19:Q24">
    <cfRule type="cellIs" dxfId="12961" priority="1838" operator="lessThan">
      <formula>0</formula>
    </cfRule>
  </conditionalFormatting>
  <conditionalFormatting sqref="R19:R24">
    <cfRule type="cellIs" dxfId="12960" priority="1836" operator="lessThan">
      <formula>0.8</formula>
    </cfRule>
    <cfRule type="cellIs" dxfId="12959" priority="1837" operator="greaterThan">
      <formula>1</formula>
    </cfRule>
  </conditionalFormatting>
  <conditionalFormatting sqref="R19:R24">
    <cfRule type="cellIs" dxfId="12958" priority="1834" operator="greaterThan">
      <formula>1</formula>
    </cfRule>
    <cfRule type="cellIs" dxfId="12957" priority="1835" operator="lessThan">
      <formula>0.8</formula>
    </cfRule>
  </conditionalFormatting>
  <conditionalFormatting sqref="P19:P24">
    <cfRule type="cellIs" dxfId="12956" priority="1833" operator="greaterThan">
      <formula>0</formula>
    </cfRule>
  </conditionalFormatting>
  <conditionalFormatting sqref="Q19:Q24">
    <cfRule type="cellIs" dxfId="12955" priority="1832" operator="lessThan">
      <formula>0</formula>
    </cfRule>
  </conditionalFormatting>
  <conditionalFormatting sqref="R19:R24">
    <cfRule type="cellIs" dxfId="12954" priority="1830" operator="lessThan">
      <formula>0.8</formula>
    </cfRule>
    <cfRule type="cellIs" dxfId="12953" priority="1831" operator="greaterThan">
      <formula>1</formula>
    </cfRule>
  </conditionalFormatting>
  <conditionalFormatting sqref="R19:R24">
    <cfRule type="cellIs" dxfId="12952" priority="1828" operator="greaterThan">
      <formula>1</formula>
    </cfRule>
    <cfRule type="cellIs" dxfId="12951" priority="1829" operator="lessThan">
      <formula>0.8</formula>
    </cfRule>
  </conditionalFormatting>
  <conditionalFormatting sqref="P19:P24">
    <cfRule type="cellIs" dxfId="12950" priority="1827" operator="greaterThan">
      <formula>0</formula>
    </cfRule>
  </conditionalFormatting>
  <conditionalFormatting sqref="R19:R24">
    <cfRule type="cellIs" dxfId="12949" priority="1824" operator="lessThan">
      <formula>0.8</formula>
    </cfRule>
    <cfRule type="cellIs" dxfId="12948" priority="1825" operator="greaterThan">
      <formula>1</formula>
    </cfRule>
  </conditionalFormatting>
  <conditionalFormatting sqref="R19:R24">
    <cfRule type="cellIs" dxfId="12947" priority="1822" operator="greaterThan">
      <formula>1</formula>
    </cfRule>
    <cfRule type="cellIs" dxfId="12946" priority="1823" operator="lessThan">
      <formula>0.8</formula>
    </cfRule>
  </conditionalFormatting>
  <conditionalFormatting sqref="P19:P24">
    <cfRule type="cellIs" dxfId="12945" priority="1821" operator="greaterThan">
      <formula>0</formula>
    </cfRule>
  </conditionalFormatting>
  <conditionalFormatting sqref="Q19:Q24">
    <cfRule type="cellIs" dxfId="12944" priority="1826" operator="lessThan">
      <formula>0</formula>
    </cfRule>
  </conditionalFormatting>
  <conditionalFormatting sqref="Q19:Q24">
    <cfRule type="cellIs" dxfId="12943" priority="1820" operator="lessThan">
      <formula>0</formula>
    </cfRule>
  </conditionalFormatting>
  <conditionalFormatting sqref="R19:R24">
    <cfRule type="cellIs" dxfId="12942" priority="1818" operator="lessThan">
      <formula>0.8</formula>
    </cfRule>
    <cfRule type="cellIs" dxfId="12941" priority="1819" operator="greaterThan">
      <formula>1</formula>
    </cfRule>
  </conditionalFormatting>
  <conditionalFormatting sqref="R19:R24">
    <cfRule type="cellIs" dxfId="12940" priority="1816" operator="greaterThan">
      <formula>1</formula>
    </cfRule>
    <cfRule type="cellIs" dxfId="12939" priority="1817" operator="lessThan">
      <formula>0.8</formula>
    </cfRule>
  </conditionalFormatting>
  <conditionalFormatting sqref="P19:P24">
    <cfRule type="cellIs" dxfId="12938" priority="1815" operator="greaterThan">
      <formula>0</formula>
    </cfRule>
  </conditionalFormatting>
  <conditionalFormatting sqref="P19:P24">
    <cfRule type="cellIs" dxfId="12937" priority="1809" operator="greaterThan">
      <formula>0</formula>
    </cfRule>
  </conditionalFormatting>
  <conditionalFormatting sqref="Q19:Q24">
    <cfRule type="cellIs" dxfId="12936" priority="1814" operator="lessThan">
      <formula>0</formula>
    </cfRule>
  </conditionalFormatting>
  <conditionalFormatting sqref="R19:R24">
    <cfRule type="cellIs" dxfId="12935" priority="1812" operator="lessThan">
      <formula>0.8</formula>
    </cfRule>
    <cfRule type="cellIs" dxfId="12934" priority="1813" operator="greaterThan">
      <formula>1</formula>
    </cfRule>
  </conditionalFormatting>
  <conditionalFormatting sqref="R19:R24">
    <cfRule type="cellIs" dxfId="12933" priority="1810" operator="greaterThan">
      <formula>1</formula>
    </cfRule>
    <cfRule type="cellIs" dxfId="12932" priority="1811" operator="lessThan">
      <formula>0.8</formula>
    </cfRule>
  </conditionalFormatting>
  <conditionalFormatting sqref="P19:P24">
    <cfRule type="cellIs" dxfId="12931" priority="1803" operator="greaterThan">
      <formula>0</formula>
    </cfRule>
  </conditionalFormatting>
  <conditionalFormatting sqref="Q19:Q24">
    <cfRule type="cellIs" dxfId="12930" priority="1808" operator="lessThan">
      <formula>0</formula>
    </cfRule>
  </conditionalFormatting>
  <conditionalFormatting sqref="R19:R24">
    <cfRule type="cellIs" dxfId="12929" priority="1806" operator="lessThan">
      <formula>0.8</formula>
    </cfRule>
    <cfRule type="cellIs" dxfId="12928" priority="1807" operator="greaterThan">
      <formula>1</formula>
    </cfRule>
  </conditionalFormatting>
  <conditionalFormatting sqref="R19:R24">
    <cfRule type="cellIs" dxfId="12927" priority="1804" operator="greaterThan">
      <formula>1</formula>
    </cfRule>
    <cfRule type="cellIs" dxfId="12926" priority="1805" operator="lessThan">
      <formula>0.8</formula>
    </cfRule>
  </conditionalFormatting>
  <conditionalFormatting sqref="Q19:Q24">
    <cfRule type="cellIs" dxfId="12925" priority="1802" operator="lessThan">
      <formula>0</formula>
    </cfRule>
  </conditionalFormatting>
  <conditionalFormatting sqref="R19:R24">
    <cfRule type="cellIs" dxfId="12924" priority="1800" operator="lessThan">
      <formula>0.8</formula>
    </cfRule>
    <cfRule type="cellIs" dxfId="12923" priority="1801" operator="greaterThan">
      <formula>1</formula>
    </cfRule>
  </conditionalFormatting>
  <conditionalFormatting sqref="R19:R24">
    <cfRule type="cellIs" dxfId="12922" priority="1798" operator="greaterThan">
      <formula>1</formula>
    </cfRule>
    <cfRule type="cellIs" dxfId="12921" priority="1799" operator="lessThan">
      <formula>0.8</formula>
    </cfRule>
  </conditionalFormatting>
  <conditionalFormatting sqref="P19:P24">
    <cfRule type="cellIs" dxfId="12920" priority="1797" operator="greaterThan">
      <formula>0</formula>
    </cfRule>
  </conditionalFormatting>
  <conditionalFormatting sqref="Q19:Q24">
    <cfRule type="cellIs" dxfId="12919" priority="1796" operator="lessThan">
      <formula>0</formula>
    </cfRule>
  </conditionalFormatting>
  <conditionalFormatting sqref="R19:R24">
    <cfRule type="cellIs" dxfId="12918" priority="1794" operator="lessThan">
      <formula>0.8</formula>
    </cfRule>
    <cfRule type="cellIs" dxfId="12917" priority="1795" operator="greaterThan">
      <formula>1</formula>
    </cfRule>
  </conditionalFormatting>
  <conditionalFormatting sqref="R19:R24">
    <cfRule type="cellIs" dxfId="12916" priority="1792" operator="greaterThan">
      <formula>1</formula>
    </cfRule>
    <cfRule type="cellIs" dxfId="12915" priority="1793" operator="lessThan">
      <formula>0.8</formula>
    </cfRule>
  </conditionalFormatting>
  <conditionalFormatting sqref="P19:P24">
    <cfRule type="cellIs" dxfId="12914" priority="1791" operator="greaterThan">
      <formula>0</formula>
    </cfRule>
  </conditionalFormatting>
  <conditionalFormatting sqref="P19:P24">
    <cfRule type="cellIs" dxfId="12913" priority="1785" operator="greaterThan">
      <formula>0</formula>
    </cfRule>
  </conditionalFormatting>
  <conditionalFormatting sqref="Q19:Q24">
    <cfRule type="cellIs" dxfId="12912" priority="1790" operator="lessThan">
      <formula>0</formula>
    </cfRule>
  </conditionalFormatting>
  <conditionalFormatting sqref="R19:R24">
    <cfRule type="cellIs" dxfId="12911" priority="1788" operator="lessThan">
      <formula>0.8</formula>
    </cfRule>
    <cfRule type="cellIs" dxfId="12910" priority="1789" operator="greaterThan">
      <formula>1</formula>
    </cfRule>
  </conditionalFormatting>
  <conditionalFormatting sqref="R19:R24">
    <cfRule type="cellIs" dxfId="12909" priority="1786" operator="greaterThan">
      <formula>1</formula>
    </cfRule>
    <cfRule type="cellIs" dxfId="12908" priority="1787" operator="lessThan">
      <formula>0.8</formula>
    </cfRule>
  </conditionalFormatting>
  <conditionalFormatting sqref="Q19:Q24">
    <cfRule type="cellIs" dxfId="12907" priority="1784" operator="lessThan">
      <formula>0</formula>
    </cfRule>
  </conditionalFormatting>
  <conditionalFormatting sqref="R19:R24">
    <cfRule type="cellIs" dxfId="12906" priority="1782" operator="lessThan">
      <formula>0.8</formula>
    </cfRule>
    <cfRule type="cellIs" dxfId="12905" priority="1783" operator="greaterThan">
      <formula>1</formula>
    </cfRule>
  </conditionalFormatting>
  <conditionalFormatting sqref="R19:R24">
    <cfRule type="cellIs" dxfId="12904" priority="1780" operator="greaterThan">
      <formula>1</formula>
    </cfRule>
    <cfRule type="cellIs" dxfId="12903" priority="1781" operator="lessThan">
      <formula>0.8</formula>
    </cfRule>
  </conditionalFormatting>
  <conditionalFormatting sqref="P19:P24">
    <cfRule type="cellIs" dxfId="12902" priority="1779" operator="greaterThan">
      <formula>0</formula>
    </cfRule>
  </conditionalFormatting>
  <conditionalFormatting sqref="Q19:Q24">
    <cfRule type="cellIs" dxfId="12901" priority="1778" operator="lessThan">
      <formula>0</formula>
    </cfRule>
  </conditionalFormatting>
  <conditionalFormatting sqref="R19:R24">
    <cfRule type="cellIs" dxfId="12900" priority="1776" operator="lessThan">
      <formula>0.8</formula>
    </cfRule>
    <cfRule type="cellIs" dxfId="12899" priority="1777" operator="greaterThan">
      <formula>1</formula>
    </cfRule>
  </conditionalFormatting>
  <conditionalFormatting sqref="R19:R24">
    <cfRule type="cellIs" dxfId="12898" priority="1774" operator="greaterThan">
      <formula>1</formula>
    </cfRule>
    <cfRule type="cellIs" dxfId="12897" priority="1775" operator="lessThan">
      <formula>0.8</formula>
    </cfRule>
  </conditionalFormatting>
  <conditionalFormatting sqref="P19:P24">
    <cfRule type="cellIs" dxfId="12896" priority="1773" operator="greaterThan">
      <formula>0</formula>
    </cfRule>
  </conditionalFormatting>
  <conditionalFormatting sqref="Q19:Q24">
    <cfRule type="cellIs" dxfId="12895" priority="1772" operator="lessThan">
      <formula>0</formula>
    </cfRule>
  </conditionalFormatting>
  <conditionalFormatting sqref="R19:R24">
    <cfRule type="cellIs" dxfId="12894" priority="1770" operator="lessThan">
      <formula>0.8</formula>
    </cfRule>
    <cfRule type="cellIs" dxfId="12893" priority="1771" operator="greaterThan">
      <formula>1</formula>
    </cfRule>
  </conditionalFormatting>
  <conditionalFormatting sqref="R19:R24">
    <cfRule type="cellIs" dxfId="12892" priority="1768" operator="greaterThan">
      <formula>1</formula>
    </cfRule>
    <cfRule type="cellIs" dxfId="12891" priority="1769" operator="lessThan">
      <formula>0.8</formula>
    </cfRule>
  </conditionalFormatting>
  <conditionalFormatting sqref="P19:P24">
    <cfRule type="cellIs" dxfId="12890" priority="1767" operator="greaterThan">
      <formula>0</formula>
    </cfRule>
  </conditionalFormatting>
  <conditionalFormatting sqref="R19:R24">
    <cfRule type="cellIs" dxfId="12889" priority="1764" operator="lessThan">
      <formula>0.8</formula>
    </cfRule>
    <cfRule type="cellIs" dxfId="12888" priority="1765" operator="greaterThan">
      <formula>1</formula>
    </cfRule>
  </conditionalFormatting>
  <conditionalFormatting sqref="R19:R24">
    <cfRule type="cellIs" dxfId="12887" priority="1762" operator="greaterThan">
      <formula>1</formula>
    </cfRule>
    <cfRule type="cellIs" dxfId="12886" priority="1763" operator="lessThan">
      <formula>0.8</formula>
    </cfRule>
  </conditionalFormatting>
  <conditionalFormatting sqref="P19:P24">
    <cfRule type="cellIs" dxfId="12885" priority="1761" operator="greaterThan">
      <formula>0</formula>
    </cfRule>
  </conditionalFormatting>
  <conditionalFormatting sqref="Q19:Q24">
    <cfRule type="cellIs" dxfId="12884" priority="1766" operator="lessThan">
      <formula>0</formula>
    </cfRule>
  </conditionalFormatting>
  <conditionalFormatting sqref="Q40">
    <cfRule type="cellIs" dxfId="12883" priority="1760" operator="lessThan">
      <formula>0</formula>
    </cfRule>
  </conditionalFormatting>
  <conditionalFormatting sqref="R40">
    <cfRule type="cellIs" dxfId="12882" priority="1758" operator="lessThan">
      <formula>0.8</formula>
    </cfRule>
    <cfRule type="cellIs" dxfId="12881" priority="1759" operator="greaterThan">
      <formula>1</formula>
    </cfRule>
  </conditionalFormatting>
  <conditionalFormatting sqref="R40">
    <cfRule type="cellIs" dxfId="12880" priority="1756" operator="greaterThan">
      <formula>1</formula>
    </cfRule>
    <cfRule type="cellIs" dxfId="12879" priority="1757" operator="lessThan">
      <formula>0.8</formula>
    </cfRule>
  </conditionalFormatting>
  <conditionalFormatting sqref="P40">
    <cfRule type="cellIs" dxfId="12878" priority="1755" operator="greaterThan">
      <formula>0</formula>
    </cfRule>
  </conditionalFormatting>
  <conditionalFormatting sqref="P40">
    <cfRule type="cellIs" dxfId="12877" priority="1749" operator="greaterThan">
      <formula>0</formula>
    </cfRule>
  </conditionalFormatting>
  <conditionalFormatting sqref="Q40">
    <cfRule type="cellIs" dxfId="12876" priority="1754" operator="lessThan">
      <formula>0</formula>
    </cfRule>
  </conditionalFormatting>
  <conditionalFormatting sqref="R40">
    <cfRule type="cellIs" dxfId="12875" priority="1752" operator="lessThan">
      <formula>0.8</formula>
    </cfRule>
    <cfRule type="cellIs" dxfId="12874" priority="1753" operator="greaterThan">
      <formula>1</formula>
    </cfRule>
  </conditionalFormatting>
  <conditionalFormatting sqref="R40">
    <cfRule type="cellIs" dxfId="12873" priority="1750" operator="greaterThan">
      <formula>1</formula>
    </cfRule>
    <cfRule type="cellIs" dxfId="12872" priority="1751" operator="lessThan">
      <formula>0.8</formula>
    </cfRule>
  </conditionalFormatting>
  <conditionalFormatting sqref="P40">
    <cfRule type="cellIs" dxfId="12871" priority="1743" operator="greaterThan">
      <formula>0</formula>
    </cfRule>
  </conditionalFormatting>
  <conditionalFormatting sqref="Q40">
    <cfRule type="cellIs" dxfId="12870" priority="1748" operator="lessThan">
      <formula>0</formula>
    </cfRule>
  </conditionalFormatting>
  <conditionalFormatting sqref="R40">
    <cfRule type="cellIs" dxfId="12869" priority="1746" operator="lessThan">
      <formula>0.8</formula>
    </cfRule>
    <cfRule type="cellIs" dxfId="12868" priority="1747" operator="greaterThan">
      <formula>1</formula>
    </cfRule>
  </conditionalFormatting>
  <conditionalFormatting sqref="R40">
    <cfRule type="cellIs" dxfId="12867" priority="1744" operator="greaterThan">
      <formula>1</formula>
    </cfRule>
    <cfRule type="cellIs" dxfId="12866" priority="1745" operator="lessThan">
      <formula>0.8</formula>
    </cfRule>
  </conditionalFormatting>
  <conditionalFormatting sqref="Q40">
    <cfRule type="cellIs" dxfId="12865" priority="1742" operator="lessThan">
      <formula>0</formula>
    </cfRule>
  </conditionalFormatting>
  <conditionalFormatting sqref="R40">
    <cfRule type="cellIs" dxfId="12864" priority="1740" operator="lessThan">
      <formula>0.8</formula>
    </cfRule>
    <cfRule type="cellIs" dxfId="12863" priority="1741" operator="greaterThan">
      <formula>1</formula>
    </cfRule>
  </conditionalFormatting>
  <conditionalFormatting sqref="R40">
    <cfRule type="cellIs" dxfId="12862" priority="1738" operator="greaterThan">
      <formula>1</formula>
    </cfRule>
    <cfRule type="cellIs" dxfId="12861" priority="1739" operator="lessThan">
      <formula>0.8</formula>
    </cfRule>
  </conditionalFormatting>
  <conditionalFormatting sqref="P40">
    <cfRule type="cellIs" dxfId="12860" priority="1737" operator="greaterThan">
      <formula>0</formula>
    </cfRule>
  </conditionalFormatting>
  <conditionalFormatting sqref="P40">
    <cfRule type="cellIs" dxfId="12859" priority="1731" operator="greaterThan">
      <formula>0</formula>
    </cfRule>
  </conditionalFormatting>
  <conditionalFormatting sqref="Q40">
    <cfRule type="cellIs" dxfId="12858" priority="1736" operator="lessThan">
      <formula>0</formula>
    </cfRule>
  </conditionalFormatting>
  <conditionalFormatting sqref="R40">
    <cfRule type="cellIs" dxfId="12857" priority="1734" operator="lessThan">
      <formula>0.8</formula>
    </cfRule>
    <cfRule type="cellIs" dxfId="12856" priority="1735" operator="greaterThan">
      <formula>1</formula>
    </cfRule>
  </conditionalFormatting>
  <conditionalFormatting sqref="R40">
    <cfRule type="cellIs" dxfId="12855" priority="1732" operator="greaterThan">
      <formula>1</formula>
    </cfRule>
    <cfRule type="cellIs" dxfId="12854" priority="1733" operator="lessThan">
      <formula>0.8</formula>
    </cfRule>
  </conditionalFormatting>
  <conditionalFormatting sqref="P40">
    <cfRule type="cellIs" dxfId="12853" priority="1725" operator="greaterThan">
      <formula>0</formula>
    </cfRule>
  </conditionalFormatting>
  <conditionalFormatting sqref="Q40">
    <cfRule type="cellIs" dxfId="12852" priority="1730" operator="lessThan">
      <formula>0</formula>
    </cfRule>
  </conditionalFormatting>
  <conditionalFormatting sqref="R40">
    <cfRule type="cellIs" dxfId="12851" priority="1728" operator="lessThan">
      <formula>0.8</formula>
    </cfRule>
    <cfRule type="cellIs" dxfId="12850" priority="1729" operator="greaterThan">
      <formula>1</formula>
    </cfRule>
  </conditionalFormatting>
  <conditionalFormatting sqref="R40">
    <cfRule type="cellIs" dxfId="12849" priority="1726" operator="greaterThan">
      <formula>1</formula>
    </cfRule>
    <cfRule type="cellIs" dxfId="12848" priority="1727" operator="lessThan">
      <formula>0.8</formula>
    </cfRule>
  </conditionalFormatting>
  <conditionalFormatting sqref="P40">
    <cfRule type="cellIs" dxfId="12847" priority="1719" operator="greaterThan">
      <formula>0</formula>
    </cfRule>
  </conditionalFormatting>
  <conditionalFormatting sqref="Q40">
    <cfRule type="cellIs" dxfId="12846" priority="1724" operator="lessThan">
      <formula>0</formula>
    </cfRule>
  </conditionalFormatting>
  <conditionalFormatting sqref="R40">
    <cfRule type="cellIs" dxfId="12845" priority="1722" operator="lessThan">
      <formula>0.8</formula>
    </cfRule>
    <cfRule type="cellIs" dxfId="12844" priority="1723" operator="greaterThan">
      <formula>1</formula>
    </cfRule>
  </conditionalFormatting>
  <conditionalFormatting sqref="R40">
    <cfRule type="cellIs" dxfId="12843" priority="1720" operator="greaterThan">
      <formula>1</formula>
    </cfRule>
    <cfRule type="cellIs" dxfId="12842" priority="1721" operator="lessThan">
      <formula>0.8</formula>
    </cfRule>
  </conditionalFormatting>
  <conditionalFormatting sqref="Q40">
    <cfRule type="cellIs" dxfId="12841" priority="1713" operator="lessThan">
      <formula>0</formula>
    </cfRule>
  </conditionalFormatting>
  <conditionalFormatting sqref="P40">
    <cfRule type="cellIs" dxfId="12840" priority="1714" operator="greaterThan">
      <formula>0</formula>
    </cfRule>
  </conditionalFormatting>
  <conditionalFormatting sqref="R40">
    <cfRule type="cellIs" dxfId="12839" priority="1717" operator="lessThan">
      <formula>0.8</formula>
    </cfRule>
    <cfRule type="cellIs" dxfId="12838" priority="1718" operator="greaterThan">
      <formula>1</formula>
    </cfRule>
  </conditionalFormatting>
  <conditionalFormatting sqref="R40">
    <cfRule type="cellIs" dxfId="12837" priority="1715" operator="greaterThan">
      <formula>1</formula>
    </cfRule>
    <cfRule type="cellIs" dxfId="12836" priority="1716" operator="lessThan">
      <formula>0.8</formula>
    </cfRule>
  </conditionalFormatting>
  <conditionalFormatting sqref="Q40">
    <cfRule type="cellIs" dxfId="12835" priority="1707" operator="lessThan">
      <formula>0</formula>
    </cfRule>
  </conditionalFormatting>
  <conditionalFormatting sqref="R40">
    <cfRule type="cellIs" dxfId="12834" priority="1711" operator="lessThan">
      <formula>0.8</formula>
    </cfRule>
    <cfRule type="cellIs" dxfId="12833" priority="1712" operator="greaterThan">
      <formula>1</formula>
    </cfRule>
  </conditionalFormatting>
  <conditionalFormatting sqref="R40">
    <cfRule type="cellIs" dxfId="12832" priority="1709" operator="greaterThan">
      <formula>1</formula>
    </cfRule>
    <cfRule type="cellIs" dxfId="12831" priority="1710" operator="lessThan">
      <formula>0.8</formula>
    </cfRule>
  </conditionalFormatting>
  <conditionalFormatting sqref="P40">
    <cfRule type="cellIs" dxfId="12830" priority="1708" operator="greaterThan">
      <formula>0</formula>
    </cfRule>
  </conditionalFormatting>
  <conditionalFormatting sqref="Q40">
    <cfRule type="cellIs" dxfId="12829" priority="1706" operator="lessThan">
      <formula>0</formula>
    </cfRule>
  </conditionalFormatting>
  <conditionalFormatting sqref="R40">
    <cfRule type="cellIs" dxfId="12828" priority="1704" operator="lessThan">
      <formula>0.8</formula>
    </cfRule>
    <cfRule type="cellIs" dxfId="12827" priority="1705" operator="greaterThan">
      <formula>1</formula>
    </cfRule>
  </conditionalFormatting>
  <conditionalFormatting sqref="R40">
    <cfRule type="cellIs" dxfId="12826" priority="1702" operator="greaterThan">
      <formula>1</formula>
    </cfRule>
    <cfRule type="cellIs" dxfId="12825" priority="1703" operator="lessThan">
      <formula>0.8</formula>
    </cfRule>
  </conditionalFormatting>
  <conditionalFormatting sqref="P40">
    <cfRule type="cellIs" dxfId="12824" priority="1701" operator="greaterThan">
      <formula>0</formula>
    </cfRule>
  </conditionalFormatting>
  <conditionalFormatting sqref="Q40">
    <cfRule type="cellIs" dxfId="12823" priority="1700" operator="lessThan">
      <formula>0</formula>
    </cfRule>
  </conditionalFormatting>
  <conditionalFormatting sqref="R40">
    <cfRule type="cellIs" dxfId="12822" priority="1698" operator="lessThan">
      <formula>0.8</formula>
    </cfRule>
    <cfRule type="cellIs" dxfId="12821" priority="1699" operator="greaterThan">
      <formula>1</formula>
    </cfRule>
  </conditionalFormatting>
  <conditionalFormatting sqref="R40">
    <cfRule type="cellIs" dxfId="12820" priority="1696" operator="greaterThan">
      <formula>1</formula>
    </cfRule>
    <cfRule type="cellIs" dxfId="12819" priority="1697" operator="lessThan">
      <formula>0.8</formula>
    </cfRule>
  </conditionalFormatting>
  <conditionalFormatting sqref="P40">
    <cfRule type="cellIs" dxfId="12818" priority="1695" operator="greaterThan">
      <formula>0</formula>
    </cfRule>
  </conditionalFormatting>
  <conditionalFormatting sqref="Q32:Q39">
    <cfRule type="cellIs" dxfId="12817" priority="1694" operator="lessThan">
      <formula>0</formula>
    </cfRule>
  </conditionalFormatting>
  <conditionalFormatting sqref="R32:R39">
    <cfRule type="cellIs" dxfId="12816" priority="1692" operator="lessThan">
      <formula>0.8</formula>
    </cfRule>
    <cfRule type="cellIs" dxfId="12815" priority="1693" operator="greaterThan">
      <formula>1</formula>
    </cfRule>
  </conditionalFormatting>
  <conditionalFormatting sqref="R32:R39">
    <cfRule type="cellIs" dxfId="12814" priority="1690" operator="greaterThan">
      <formula>1</formula>
    </cfRule>
    <cfRule type="cellIs" dxfId="12813" priority="1691" operator="lessThan">
      <formula>0.8</formula>
    </cfRule>
  </conditionalFormatting>
  <conditionalFormatting sqref="P32:P39">
    <cfRule type="cellIs" dxfId="12812" priority="1689" operator="greaterThan">
      <formula>0</formula>
    </cfRule>
  </conditionalFormatting>
  <conditionalFormatting sqref="Q32:Q39">
    <cfRule type="cellIs" dxfId="12811" priority="1688" operator="lessThan">
      <formula>0</formula>
    </cfRule>
  </conditionalFormatting>
  <conditionalFormatting sqref="R32:R39">
    <cfRule type="cellIs" dxfId="12810" priority="1686" operator="lessThan">
      <formula>0.8</formula>
    </cfRule>
    <cfRule type="cellIs" dxfId="12809" priority="1687" operator="greaterThan">
      <formula>1</formula>
    </cfRule>
  </conditionalFormatting>
  <conditionalFormatting sqref="R32:R39">
    <cfRule type="cellIs" dxfId="12808" priority="1684" operator="greaterThan">
      <formula>1</formula>
    </cfRule>
    <cfRule type="cellIs" dxfId="12807" priority="1685" operator="lessThan">
      <formula>0.8</formula>
    </cfRule>
  </conditionalFormatting>
  <conditionalFormatting sqref="P32:P39">
    <cfRule type="cellIs" dxfId="12806" priority="1683" operator="greaterThan">
      <formula>0</formula>
    </cfRule>
  </conditionalFormatting>
  <conditionalFormatting sqref="Q32:Q39">
    <cfRule type="cellIs" dxfId="12805" priority="1682" operator="lessThan">
      <formula>0</formula>
    </cfRule>
  </conditionalFormatting>
  <conditionalFormatting sqref="R32:R39">
    <cfRule type="cellIs" dxfId="12804" priority="1680" operator="lessThan">
      <formula>0.8</formula>
    </cfRule>
    <cfRule type="cellIs" dxfId="12803" priority="1681" operator="greaterThan">
      <formula>1</formula>
    </cfRule>
  </conditionalFormatting>
  <conditionalFormatting sqref="R32:R39">
    <cfRule type="cellIs" dxfId="12802" priority="1678" operator="greaterThan">
      <formula>1</formula>
    </cfRule>
    <cfRule type="cellIs" dxfId="12801" priority="1679" operator="lessThan">
      <formula>0.8</formula>
    </cfRule>
  </conditionalFormatting>
  <conditionalFormatting sqref="P32:P39">
    <cfRule type="cellIs" dxfId="12800" priority="1677" operator="greaterThan">
      <formula>0</formula>
    </cfRule>
  </conditionalFormatting>
  <conditionalFormatting sqref="Q32:Q39">
    <cfRule type="cellIs" dxfId="12799" priority="1676" operator="lessThan">
      <formula>0</formula>
    </cfRule>
  </conditionalFormatting>
  <conditionalFormatting sqref="R32:R39">
    <cfRule type="cellIs" dxfId="12798" priority="1674" operator="lessThan">
      <formula>0.8</formula>
    </cfRule>
    <cfRule type="cellIs" dxfId="12797" priority="1675" operator="greaterThan">
      <formula>1</formula>
    </cfRule>
  </conditionalFormatting>
  <conditionalFormatting sqref="R32:R39">
    <cfRule type="cellIs" dxfId="12796" priority="1672" operator="greaterThan">
      <formula>1</formula>
    </cfRule>
    <cfRule type="cellIs" dxfId="12795" priority="1673" operator="lessThan">
      <formula>0.8</formula>
    </cfRule>
  </conditionalFormatting>
  <conditionalFormatting sqref="P32:P39">
    <cfRule type="cellIs" dxfId="12794" priority="1671" operator="greaterThan">
      <formula>0</formula>
    </cfRule>
  </conditionalFormatting>
  <conditionalFormatting sqref="P32:P39">
    <cfRule type="cellIs" dxfId="12793" priority="1665" operator="greaterThan">
      <formula>0</formula>
    </cfRule>
  </conditionalFormatting>
  <conditionalFormatting sqref="Q32:Q39">
    <cfRule type="cellIs" dxfId="12792" priority="1670" operator="lessThan">
      <formula>0</formula>
    </cfRule>
  </conditionalFormatting>
  <conditionalFormatting sqref="R32:R39">
    <cfRule type="cellIs" dxfId="12791" priority="1668" operator="lessThan">
      <formula>0.8</formula>
    </cfRule>
    <cfRule type="cellIs" dxfId="12790" priority="1669" operator="greaterThan">
      <formula>1</formula>
    </cfRule>
  </conditionalFormatting>
  <conditionalFormatting sqref="R32:R39">
    <cfRule type="cellIs" dxfId="12789" priority="1666" operator="greaterThan">
      <formula>1</formula>
    </cfRule>
    <cfRule type="cellIs" dxfId="12788" priority="1667" operator="lessThan">
      <formula>0.8</formula>
    </cfRule>
  </conditionalFormatting>
  <conditionalFormatting sqref="P32:P39">
    <cfRule type="cellIs" dxfId="12787" priority="1659" operator="greaterThan">
      <formula>0</formula>
    </cfRule>
  </conditionalFormatting>
  <conditionalFormatting sqref="Q32:Q39">
    <cfRule type="cellIs" dxfId="12786" priority="1664" operator="lessThan">
      <formula>0</formula>
    </cfRule>
  </conditionalFormatting>
  <conditionalFormatting sqref="R32:R39">
    <cfRule type="cellIs" dxfId="12785" priority="1662" operator="lessThan">
      <formula>0.8</formula>
    </cfRule>
    <cfRule type="cellIs" dxfId="12784" priority="1663" operator="greaterThan">
      <formula>1</formula>
    </cfRule>
  </conditionalFormatting>
  <conditionalFormatting sqref="R32:R39">
    <cfRule type="cellIs" dxfId="12783" priority="1660" operator="greaterThan">
      <formula>1</formula>
    </cfRule>
    <cfRule type="cellIs" dxfId="12782" priority="1661" operator="lessThan">
      <formula>0.8</formula>
    </cfRule>
  </conditionalFormatting>
  <conditionalFormatting sqref="R32:R39">
    <cfRule type="cellIs" dxfId="12781" priority="1656" operator="lessThan">
      <formula>0.8</formula>
    </cfRule>
    <cfRule type="cellIs" dxfId="12780" priority="1657" operator="greaterThan">
      <formula>1</formula>
    </cfRule>
  </conditionalFormatting>
  <conditionalFormatting sqref="R32:R39">
    <cfRule type="cellIs" dxfId="12779" priority="1654" operator="greaterThan">
      <formula>1</formula>
    </cfRule>
    <cfRule type="cellIs" dxfId="12778" priority="1655" operator="lessThan">
      <formula>0.8</formula>
    </cfRule>
  </conditionalFormatting>
  <conditionalFormatting sqref="P32:P39">
    <cfRule type="cellIs" dxfId="12777" priority="1653" operator="greaterThan">
      <formula>0</formula>
    </cfRule>
  </conditionalFormatting>
  <conditionalFormatting sqref="Q32:Q39">
    <cfRule type="cellIs" dxfId="12776" priority="1658" operator="lessThan">
      <formula>0</formula>
    </cfRule>
  </conditionalFormatting>
  <conditionalFormatting sqref="Q32:Q39">
    <cfRule type="cellIs" dxfId="12775" priority="1652" operator="lessThan">
      <formula>0</formula>
    </cfRule>
  </conditionalFormatting>
  <conditionalFormatting sqref="R32:R39">
    <cfRule type="cellIs" dxfId="12774" priority="1650" operator="lessThan">
      <formula>0.8</formula>
    </cfRule>
    <cfRule type="cellIs" dxfId="12773" priority="1651" operator="greaterThan">
      <formula>1</formula>
    </cfRule>
  </conditionalFormatting>
  <conditionalFormatting sqref="R32:R39">
    <cfRule type="cellIs" dxfId="12772" priority="1648" operator="greaterThan">
      <formula>1</formula>
    </cfRule>
    <cfRule type="cellIs" dxfId="12771" priority="1649" operator="lessThan">
      <formula>0.8</formula>
    </cfRule>
  </conditionalFormatting>
  <conditionalFormatting sqref="P32:P39">
    <cfRule type="cellIs" dxfId="12770" priority="1647" operator="greaterThan">
      <formula>0</formula>
    </cfRule>
  </conditionalFormatting>
  <conditionalFormatting sqref="P32:P39">
    <cfRule type="cellIs" dxfId="12769" priority="1641" operator="greaterThan">
      <formula>0</formula>
    </cfRule>
  </conditionalFormatting>
  <conditionalFormatting sqref="Q32:Q39">
    <cfRule type="cellIs" dxfId="12768" priority="1646" operator="lessThan">
      <formula>0</formula>
    </cfRule>
  </conditionalFormatting>
  <conditionalFormatting sqref="R32:R39">
    <cfRule type="cellIs" dxfId="12767" priority="1644" operator="lessThan">
      <formula>0.8</formula>
    </cfRule>
    <cfRule type="cellIs" dxfId="12766" priority="1645" operator="greaterThan">
      <formula>1</formula>
    </cfRule>
  </conditionalFormatting>
  <conditionalFormatting sqref="R32:R39">
    <cfRule type="cellIs" dxfId="12765" priority="1642" operator="greaterThan">
      <formula>1</formula>
    </cfRule>
    <cfRule type="cellIs" dxfId="12764" priority="1643" operator="lessThan">
      <formula>0.8</formula>
    </cfRule>
  </conditionalFormatting>
  <conditionalFormatting sqref="P32:P39">
    <cfRule type="cellIs" dxfId="12763" priority="1635" operator="greaterThan">
      <formula>0</formula>
    </cfRule>
  </conditionalFormatting>
  <conditionalFormatting sqref="Q32:Q39">
    <cfRule type="cellIs" dxfId="12762" priority="1640" operator="lessThan">
      <formula>0</formula>
    </cfRule>
  </conditionalFormatting>
  <conditionalFormatting sqref="R32:R39">
    <cfRule type="cellIs" dxfId="12761" priority="1638" operator="lessThan">
      <formula>0.8</formula>
    </cfRule>
    <cfRule type="cellIs" dxfId="12760" priority="1639" operator="greaterThan">
      <formula>1</formula>
    </cfRule>
  </conditionalFormatting>
  <conditionalFormatting sqref="R32:R39">
    <cfRule type="cellIs" dxfId="12759" priority="1636" operator="greaterThan">
      <formula>1</formula>
    </cfRule>
    <cfRule type="cellIs" dxfId="12758" priority="1637" operator="lessThan">
      <formula>0.8</formula>
    </cfRule>
  </conditionalFormatting>
  <conditionalFormatting sqref="R32:R39">
    <cfRule type="cellIs" dxfId="12757" priority="1632" operator="lessThan">
      <formula>0.8</formula>
    </cfRule>
    <cfRule type="cellIs" dxfId="12756" priority="1633" operator="greaterThan">
      <formula>1</formula>
    </cfRule>
  </conditionalFormatting>
  <conditionalFormatting sqref="R32:R39">
    <cfRule type="cellIs" dxfId="12755" priority="1630" operator="greaterThan">
      <formula>1</formula>
    </cfRule>
    <cfRule type="cellIs" dxfId="12754" priority="1631" operator="lessThan">
      <formula>0.8</formula>
    </cfRule>
  </conditionalFormatting>
  <conditionalFormatting sqref="P32:P39">
    <cfRule type="cellIs" dxfId="12753" priority="1629" operator="greaterThan">
      <formula>0</formula>
    </cfRule>
  </conditionalFormatting>
  <conditionalFormatting sqref="Q32:Q39">
    <cfRule type="cellIs" dxfId="12752" priority="1634" operator="lessThan">
      <formula>0</formula>
    </cfRule>
  </conditionalFormatting>
  <conditionalFormatting sqref="P32:P39">
    <cfRule type="cellIs" dxfId="12751" priority="1623" operator="greaterThan">
      <formula>0</formula>
    </cfRule>
  </conditionalFormatting>
  <conditionalFormatting sqref="Q32:Q39">
    <cfRule type="cellIs" dxfId="12750" priority="1628" operator="lessThan">
      <formula>0</formula>
    </cfRule>
  </conditionalFormatting>
  <conditionalFormatting sqref="R32:R39">
    <cfRule type="cellIs" dxfId="12749" priority="1626" operator="lessThan">
      <formula>0.8</formula>
    </cfRule>
    <cfRule type="cellIs" dxfId="12748" priority="1627" operator="greaterThan">
      <formula>1</formula>
    </cfRule>
  </conditionalFormatting>
  <conditionalFormatting sqref="R32:R39">
    <cfRule type="cellIs" dxfId="12747" priority="1624" operator="greaterThan">
      <formula>1</formula>
    </cfRule>
    <cfRule type="cellIs" dxfId="12746" priority="1625" operator="lessThan">
      <formula>0.8</formula>
    </cfRule>
  </conditionalFormatting>
  <conditionalFormatting sqref="R32:R39">
    <cfRule type="cellIs" dxfId="12745" priority="1620" operator="lessThan">
      <formula>0.8</formula>
    </cfRule>
    <cfRule type="cellIs" dxfId="12744" priority="1621" operator="greaterThan">
      <formula>1</formula>
    </cfRule>
  </conditionalFormatting>
  <conditionalFormatting sqref="R32:R39">
    <cfRule type="cellIs" dxfId="12743" priority="1618" operator="greaterThan">
      <formula>1</formula>
    </cfRule>
    <cfRule type="cellIs" dxfId="12742" priority="1619" operator="lessThan">
      <formula>0.8</formula>
    </cfRule>
  </conditionalFormatting>
  <conditionalFormatting sqref="P32:P39">
    <cfRule type="cellIs" dxfId="12741" priority="1617" operator="greaterThan">
      <formula>0</formula>
    </cfRule>
  </conditionalFormatting>
  <conditionalFormatting sqref="Q32:Q39">
    <cfRule type="cellIs" dxfId="12740" priority="1622" operator="lessThan">
      <formula>0</formula>
    </cfRule>
  </conditionalFormatting>
  <conditionalFormatting sqref="R32:R39">
    <cfRule type="cellIs" dxfId="12739" priority="1614" operator="lessThan">
      <formula>0.8</formula>
    </cfRule>
    <cfRule type="cellIs" dxfId="12738" priority="1615" operator="greaterThan">
      <formula>1</formula>
    </cfRule>
  </conditionalFormatting>
  <conditionalFormatting sqref="R32:R39">
    <cfRule type="cellIs" dxfId="12737" priority="1612" operator="greaterThan">
      <formula>1</formula>
    </cfRule>
    <cfRule type="cellIs" dxfId="12736" priority="1613" operator="lessThan">
      <formula>0.8</formula>
    </cfRule>
  </conditionalFormatting>
  <conditionalFormatting sqref="P32:P39">
    <cfRule type="cellIs" dxfId="12735" priority="1611" operator="greaterThan">
      <formula>0</formula>
    </cfRule>
  </conditionalFormatting>
  <conditionalFormatting sqref="Q32:Q39">
    <cfRule type="cellIs" dxfId="12734" priority="1616" operator="lessThan">
      <formula>0</formula>
    </cfRule>
  </conditionalFormatting>
  <conditionalFormatting sqref="Q32:Q39">
    <cfRule type="cellIs" dxfId="12733" priority="1610" operator="lessThan">
      <formula>0</formula>
    </cfRule>
  </conditionalFormatting>
  <conditionalFormatting sqref="R32:R39">
    <cfRule type="cellIs" dxfId="12732" priority="1608" operator="lessThan">
      <formula>0.8</formula>
    </cfRule>
    <cfRule type="cellIs" dxfId="12731" priority="1609" operator="greaterThan">
      <formula>1</formula>
    </cfRule>
  </conditionalFormatting>
  <conditionalFormatting sqref="R32:R39">
    <cfRule type="cellIs" dxfId="12730" priority="1606" operator="greaterThan">
      <formula>1</formula>
    </cfRule>
    <cfRule type="cellIs" dxfId="12729" priority="1607" operator="lessThan">
      <formula>0.8</formula>
    </cfRule>
  </conditionalFormatting>
  <conditionalFormatting sqref="P32:P39">
    <cfRule type="cellIs" dxfId="12728" priority="1605" operator="greaterThan">
      <formula>0</formula>
    </cfRule>
  </conditionalFormatting>
  <conditionalFormatting sqref="Q32:Q39">
    <cfRule type="cellIs" dxfId="12727" priority="1599" operator="lessThan">
      <formula>0</formula>
    </cfRule>
  </conditionalFormatting>
  <conditionalFormatting sqref="R32:R39">
    <cfRule type="cellIs" dxfId="12726" priority="1603" operator="lessThan">
      <formula>0.8</formula>
    </cfRule>
    <cfRule type="cellIs" dxfId="12725" priority="1604" operator="greaterThan">
      <formula>1</formula>
    </cfRule>
  </conditionalFormatting>
  <conditionalFormatting sqref="R32:R39">
    <cfRule type="cellIs" dxfId="12724" priority="1601" operator="greaterThan">
      <formula>1</formula>
    </cfRule>
    <cfRule type="cellIs" dxfId="12723" priority="1602" operator="lessThan">
      <formula>0.8</formula>
    </cfRule>
  </conditionalFormatting>
  <conditionalFormatting sqref="P32:P39">
    <cfRule type="cellIs" dxfId="12722" priority="1600" operator="greaterThan">
      <formula>0</formula>
    </cfRule>
  </conditionalFormatting>
  <conditionalFormatting sqref="Q32:Q39">
    <cfRule type="cellIs" dxfId="12721" priority="1598" operator="lessThan">
      <formula>0</formula>
    </cfRule>
  </conditionalFormatting>
  <conditionalFormatting sqref="R32:R39">
    <cfRule type="cellIs" dxfId="12720" priority="1596" operator="lessThan">
      <formula>0.8</formula>
    </cfRule>
    <cfRule type="cellIs" dxfId="12719" priority="1597" operator="greaterThan">
      <formula>1</formula>
    </cfRule>
  </conditionalFormatting>
  <conditionalFormatting sqref="R32:R39">
    <cfRule type="cellIs" dxfId="12718" priority="1594" operator="greaterThan">
      <formula>1</formula>
    </cfRule>
    <cfRule type="cellIs" dxfId="12717" priority="1595" operator="lessThan">
      <formula>0.8</formula>
    </cfRule>
  </conditionalFormatting>
  <conditionalFormatting sqref="P32:P39">
    <cfRule type="cellIs" dxfId="12716" priority="1593" operator="greaterThan">
      <formula>0</formula>
    </cfRule>
  </conditionalFormatting>
  <conditionalFormatting sqref="Q32:Q39">
    <cfRule type="cellIs" dxfId="12715" priority="1592" operator="lessThan">
      <formula>0</formula>
    </cfRule>
  </conditionalFormatting>
  <conditionalFormatting sqref="R32:R39">
    <cfRule type="cellIs" dxfId="12714" priority="1590" operator="lessThan">
      <formula>0.8</formula>
    </cfRule>
    <cfRule type="cellIs" dxfId="12713" priority="1591" operator="greaterThan">
      <formula>1</formula>
    </cfRule>
  </conditionalFormatting>
  <conditionalFormatting sqref="R32:R39">
    <cfRule type="cellIs" dxfId="12712" priority="1588" operator="greaterThan">
      <formula>1</formula>
    </cfRule>
    <cfRule type="cellIs" dxfId="12711" priority="1589" operator="lessThan">
      <formula>0.8</formula>
    </cfRule>
  </conditionalFormatting>
  <conditionalFormatting sqref="P32:P39">
    <cfRule type="cellIs" dxfId="12710" priority="1587" operator="greaterThan">
      <formula>0</formula>
    </cfRule>
  </conditionalFormatting>
  <conditionalFormatting sqref="Q32:Q39">
    <cfRule type="cellIs" dxfId="12709" priority="1586" operator="lessThan">
      <formula>0</formula>
    </cfRule>
  </conditionalFormatting>
  <conditionalFormatting sqref="R32:R39">
    <cfRule type="cellIs" dxfId="12708" priority="1584" operator="lessThan">
      <formula>0.8</formula>
    </cfRule>
    <cfRule type="cellIs" dxfId="12707" priority="1585" operator="greaterThan">
      <formula>1</formula>
    </cfRule>
  </conditionalFormatting>
  <conditionalFormatting sqref="R32:R39">
    <cfRule type="cellIs" dxfId="12706" priority="1582" operator="greaterThan">
      <formula>1</formula>
    </cfRule>
    <cfRule type="cellIs" dxfId="12705" priority="1583" operator="lessThan">
      <formula>0.8</formula>
    </cfRule>
  </conditionalFormatting>
  <conditionalFormatting sqref="P32:P39">
    <cfRule type="cellIs" dxfId="12704" priority="1581" operator="greaterThan">
      <formula>0</formula>
    </cfRule>
  </conditionalFormatting>
  <conditionalFormatting sqref="Q32:Q39">
    <cfRule type="cellIs" dxfId="12703" priority="1580" operator="lessThan">
      <formula>0</formula>
    </cfRule>
  </conditionalFormatting>
  <conditionalFormatting sqref="R32:R39">
    <cfRule type="cellIs" dxfId="12702" priority="1578" operator="lessThan">
      <formula>0.8</formula>
    </cfRule>
    <cfRule type="cellIs" dxfId="12701" priority="1579" operator="greaterThan">
      <formula>1</formula>
    </cfRule>
  </conditionalFormatting>
  <conditionalFormatting sqref="R32:R39">
    <cfRule type="cellIs" dxfId="12700" priority="1576" operator="greaterThan">
      <formula>1</formula>
    </cfRule>
    <cfRule type="cellIs" dxfId="12699" priority="1577" operator="lessThan">
      <formula>0.8</formula>
    </cfRule>
  </conditionalFormatting>
  <conditionalFormatting sqref="P32:P39">
    <cfRule type="cellIs" dxfId="12698" priority="1575" operator="greaterThan">
      <formula>0</formula>
    </cfRule>
  </conditionalFormatting>
  <conditionalFormatting sqref="Q32:Q39">
    <cfRule type="cellIs" dxfId="12697" priority="1574" operator="lessThan">
      <formula>0</formula>
    </cfRule>
  </conditionalFormatting>
  <conditionalFormatting sqref="R32:R39">
    <cfRule type="cellIs" dxfId="12696" priority="1572" operator="lessThan">
      <formula>0.8</formula>
    </cfRule>
    <cfRule type="cellIs" dxfId="12695" priority="1573" operator="greaterThan">
      <formula>1</formula>
    </cfRule>
  </conditionalFormatting>
  <conditionalFormatting sqref="R32:R39">
    <cfRule type="cellIs" dxfId="12694" priority="1570" operator="greaterThan">
      <formula>1</formula>
    </cfRule>
    <cfRule type="cellIs" dxfId="12693" priority="1571" operator="lessThan">
      <formula>0.8</formula>
    </cfRule>
  </conditionalFormatting>
  <conditionalFormatting sqref="P32:P39">
    <cfRule type="cellIs" dxfId="12692" priority="1569" operator="greaterThan">
      <formula>0</formula>
    </cfRule>
  </conditionalFormatting>
  <conditionalFormatting sqref="P32:P39">
    <cfRule type="cellIs" dxfId="12691" priority="1563" operator="greaterThan">
      <formula>0</formula>
    </cfRule>
  </conditionalFormatting>
  <conditionalFormatting sqref="Q32:Q39">
    <cfRule type="cellIs" dxfId="12690" priority="1568" operator="lessThan">
      <formula>0</formula>
    </cfRule>
  </conditionalFormatting>
  <conditionalFormatting sqref="R32:R39">
    <cfRule type="cellIs" dxfId="12689" priority="1566" operator="lessThan">
      <formula>0.8</formula>
    </cfRule>
    <cfRule type="cellIs" dxfId="12688" priority="1567" operator="greaterThan">
      <formula>1</formula>
    </cfRule>
  </conditionalFormatting>
  <conditionalFormatting sqref="R32:R39">
    <cfRule type="cellIs" dxfId="12687" priority="1564" operator="greaterThan">
      <formula>1</formula>
    </cfRule>
    <cfRule type="cellIs" dxfId="12686" priority="1565" operator="lessThan">
      <formula>0.8</formula>
    </cfRule>
  </conditionalFormatting>
  <conditionalFormatting sqref="P32:P39">
    <cfRule type="cellIs" dxfId="12685" priority="1557" operator="greaterThan">
      <formula>0</formula>
    </cfRule>
  </conditionalFormatting>
  <conditionalFormatting sqref="Q32:Q39">
    <cfRule type="cellIs" dxfId="12684" priority="1562" operator="lessThan">
      <formula>0</formula>
    </cfRule>
  </conditionalFormatting>
  <conditionalFormatting sqref="R32:R39">
    <cfRule type="cellIs" dxfId="12683" priority="1560" operator="lessThan">
      <formula>0.8</formula>
    </cfRule>
    <cfRule type="cellIs" dxfId="12682" priority="1561" operator="greaterThan">
      <formula>1</formula>
    </cfRule>
  </conditionalFormatting>
  <conditionalFormatting sqref="R32:R39">
    <cfRule type="cellIs" dxfId="12681" priority="1558" operator="greaterThan">
      <formula>1</formula>
    </cfRule>
    <cfRule type="cellIs" dxfId="12680" priority="1559" operator="lessThan">
      <formula>0.8</formula>
    </cfRule>
  </conditionalFormatting>
  <conditionalFormatting sqref="R32:R39">
    <cfRule type="cellIs" dxfId="12679" priority="1554" operator="lessThan">
      <formula>0.8</formula>
    </cfRule>
    <cfRule type="cellIs" dxfId="12678" priority="1555" operator="greaterThan">
      <formula>1</formula>
    </cfRule>
  </conditionalFormatting>
  <conditionalFormatting sqref="R32:R39">
    <cfRule type="cellIs" dxfId="12677" priority="1552" operator="greaterThan">
      <formula>1</formula>
    </cfRule>
    <cfRule type="cellIs" dxfId="12676" priority="1553" operator="lessThan">
      <formula>0.8</formula>
    </cfRule>
  </conditionalFormatting>
  <conditionalFormatting sqref="P32:P39">
    <cfRule type="cellIs" dxfId="12675" priority="1551" operator="greaterThan">
      <formula>0</formula>
    </cfRule>
  </conditionalFormatting>
  <conditionalFormatting sqref="Q32:Q39">
    <cfRule type="cellIs" dxfId="12674" priority="1556" operator="lessThan">
      <formula>0</formula>
    </cfRule>
  </conditionalFormatting>
  <conditionalFormatting sqref="Q32:Q39">
    <cfRule type="cellIs" dxfId="12673" priority="1545" operator="lessThan">
      <formula>0</formula>
    </cfRule>
  </conditionalFormatting>
  <conditionalFormatting sqref="P32:P39">
    <cfRule type="cellIs" dxfId="12672" priority="1546" operator="greaterThan">
      <formula>0</formula>
    </cfRule>
  </conditionalFormatting>
  <conditionalFormatting sqref="R32:R39">
    <cfRule type="cellIs" dxfId="12671" priority="1549" operator="lessThan">
      <formula>0.8</formula>
    </cfRule>
    <cfRule type="cellIs" dxfId="12670" priority="1550" operator="greaterThan">
      <formula>1</formula>
    </cfRule>
  </conditionalFormatting>
  <conditionalFormatting sqref="R32:R39">
    <cfRule type="cellIs" dxfId="12669" priority="1547" operator="greaterThan">
      <formula>1</formula>
    </cfRule>
    <cfRule type="cellIs" dxfId="12668" priority="1548" operator="lessThan">
      <formula>0.8</formula>
    </cfRule>
  </conditionalFormatting>
  <conditionalFormatting sqref="Q32:Q39">
    <cfRule type="cellIs" dxfId="12667" priority="1539" operator="lessThan">
      <formula>0</formula>
    </cfRule>
  </conditionalFormatting>
  <conditionalFormatting sqref="R32:R39">
    <cfRule type="cellIs" dxfId="12666" priority="1543" operator="lessThan">
      <formula>0.8</formula>
    </cfRule>
    <cfRule type="cellIs" dxfId="12665" priority="1544" operator="greaterThan">
      <formula>1</formula>
    </cfRule>
  </conditionalFormatting>
  <conditionalFormatting sqref="R32:R39">
    <cfRule type="cellIs" dxfId="12664" priority="1541" operator="greaterThan">
      <formula>1</formula>
    </cfRule>
    <cfRule type="cellIs" dxfId="12663" priority="1542" operator="lessThan">
      <formula>0.8</formula>
    </cfRule>
  </conditionalFormatting>
  <conditionalFormatting sqref="P32:P39">
    <cfRule type="cellIs" dxfId="12662" priority="1540" operator="greaterThan">
      <formula>0</formula>
    </cfRule>
  </conditionalFormatting>
  <conditionalFormatting sqref="Q32:Q39">
    <cfRule type="cellIs" dxfId="12661" priority="1538" operator="lessThan">
      <formula>0</formula>
    </cfRule>
  </conditionalFormatting>
  <conditionalFormatting sqref="R32:R39">
    <cfRule type="cellIs" dxfId="12660" priority="1536" operator="lessThan">
      <formula>0.8</formula>
    </cfRule>
    <cfRule type="cellIs" dxfId="12659" priority="1537" operator="greaterThan">
      <formula>1</formula>
    </cfRule>
  </conditionalFormatting>
  <conditionalFormatting sqref="R32:R39">
    <cfRule type="cellIs" dxfId="12658" priority="1534" operator="greaterThan">
      <formula>1</formula>
    </cfRule>
    <cfRule type="cellIs" dxfId="12657" priority="1535" operator="lessThan">
      <formula>0.8</formula>
    </cfRule>
  </conditionalFormatting>
  <conditionalFormatting sqref="P32:P39">
    <cfRule type="cellIs" dxfId="12656" priority="1533" operator="greaterThan">
      <formula>0</formula>
    </cfRule>
  </conditionalFormatting>
  <conditionalFormatting sqref="Q32:Q39">
    <cfRule type="cellIs" dxfId="12655" priority="1532" operator="lessThan">
      <formula>0</formula>
    </cfRule>
  </conditionalFormatting>
  <conditionalFormatting sqref="R32:R39">
    <cfRule type="cellIs" dxfId="12654" priority="1530" operator="lessThan">
      <formula>0.8</formula>
    </cfRule>
    <cfRule type="cellIs" dxfId="12653" priority="1531" operator="greaterThan">
      <formula>1</formula>
    </cfRule>
  </conditionalFormatting>
  <conditionalFormatting sqref="R32:R39">
    <cfRule type="cellIs" dxfId="12652" priority="1528" operator="greaterThan">
      <formula>1</formula>
    </cfRule>
    <cfRule type="cellIs" dxfId="12651" priority="1529" operator="lessThan">
      <formula>0.8</formula>
    </cfRule>
  </conditionalFormatting>
  <conditionalFormatting sqref="P32:P39">
    <cfRule type="cellIs" dxfId="12650" priority="1527" operator="greaterThan">
      <formula>0</formula>
    </cfRule>
  </conditionalFormatting>
  <conditionalFormatting sqref="Q32:Q39">
    <cfRule type="cellIs" dxfId="12649" priority="1526" operator="lessThan">
      <formula>0</formula>
    </cfRule>
  </conditionalFormatting>
  <conditionalFormatting sqref="R32:R39">
    <cfRule type="cellIs" dxfId="12648" priority="1524" operator="lessThan">
      <formula>0.8</formula>
    </cfRule>
    <cfRule type="cellIs" dxfId="12647" priority="1525" operator="greaterThan">
      <formula>1</formula>
    </cfRule>
  </conditionalFormatting>
  <conditionalFormatting sqref="R32:R39">
    <cfRule type="cellIs" dxfId="12646" priority="1522" operator="greaterThan">
      <formula>1</formula>
    </cfRule>
    <cfRule type="cellIs" dxfId="12645" priority="1523" operator="lessThan">
      <formula>0.8</formula>
    </cfRule>
  </conditionalFormatting>
  <conditionalFormatting sqref="P32:P39">
    <cfRule type="cellIs" dxfId="12644" priority="1521" operator="greaterThan">
      <formula>0</formula>
    </cfRule>
  </conditionalFormatting>
  <conditionalFormatting sqref="Q32:Q39">
    <cfRule type="cellIs" dxfId="12643" priority="1520" operator="lessThan">
      <formula>0</formula>
    </cfRule>
  </conditionalFormatting>
  <conditionalFormatting sqref="R32:R39">
    <cfRule type="cellIs" dxfId="12642" priority="1518" operator="lessThan">
      <formula>0.8</formula>
    </cfRule>
    <cfRule type="cellIs" dxfId="12641" priority="1519" operator="greaterThan">
      <formula>1</formula>
    </cfRule>
  </conditionalFormatting>
  <conditionalFormatting sqref="R32:R39">
    <cfRule type="cellIs" dxfId="12640" priority="1516" operator="greaterThan">
      <formula>1</formula>
    </cfRule>
    <cfRule type="cellIs" dxfId="12639" priority="1517" operator="lessThan">
      <formula>0.8</formula>
    </cfRule>
  </conditionalFormatting>
  <conditionalFormatting sqref="P32:P39">
    <cfRule type="cellIs" dxfId="12638" priority="1515" operator="greaterThan">
      <formula>0</formula>
    </cfRule>
  </conditionalFormatting>
  <conditionalFormatting sqref="Q97 Q99 Q101:Q104">
    <cfRule type="cellIs" dxfId="12637" priority="1514" operator="lessThan">
      <formula>0</formula>
    </cfRule>
  </conditionalFormatting>
  <conditionalFormatting sqref="P97 P99 P101:P104">
    <cfRule type="cellIs" dxfId="12636" priority="1513" operator="greaterThan">
      <formula>0</formula>
    </cfRule>
  </conditionalFormatting>
  <conditionalFormatting sqref="P97 P99 P101:P104">
    <cfRule type="cellIs" dxfId="12635" priority="1511" operator="greaterThan">
      <formula>0</formula>
    </cfRule>
  </conditionalFormatting>
  <conditionalFormatting sqref="Q97 Q99 Q101:Q104">
    <cfRule type="cellIs" dxfId="12634" priority="1512" operator="lessThan">
      <formula>0</formula>
    </cfRule>
  </conditionalFormatting>
  <conditionalFormatting sqref="P97 P99 P101:P104">
    <cfRule type="cellIs" dxfId="12633" priority="1509" operator="greaterThan">
      <formula>0</formula>
    </cfRule>
  </conditionalFormatting>
  <conditionalFormatting sqref="Q97 Q99 Q101:Q104">
    <cfRule type="cellIs" dxfId="12632" priority="1510" operator="lessThan">
      <formula>0</formula>
    </cfRule>
  </conditionalFormatting>
  <conditionalFormatting sqref="Q97 Q99 Q101:Q104">
    <cfRule type="cellIs" dxfId="12631" priority="1508" operator="lessThan">
      <formula>0</formula>
    </cfRule>
  </conditionalFormatting>
  <conditionalFormatting sqref="P97 P99 P101:P104">
    <cfRule type="cellIs" dxfId="12630" priority="1507" operator="greaterThan">
      <formula>0</formula>
    </cfRule>
  </conditionalFormatting>
  <conditionalFormatting sqref="P97 P99 P101:P104">
    <cfRule type="cellIs" dxfId="12629" priority="1505" operator="greaterThan">
      <formula>0</formula>
    </cfRule>
  </conditionalFormatting>
  <conditionalFormatting sqref="Q97 Q99 Q101:Q104">
    <cfRule type="cellIs" dxfId="12628" priority="1506" operator="lessThan">
      <formula>0</formula>
    </cfRule>
  </conditionalFormatting>
  <conditionalFormatting sqref="Q97 Q99 Q101:Q104">
    <cfRule type="cellIs" dxfId="12627" priority="1504" operator="lessThan">
      <formula>0</formula>
    </cfRule>
  </conditionalFormatting>
  <conditionalFormatting sqref="P97 P99 P101:P104">
    <cfRule type="cellIs" dxfId="12626" priority="1503" operator="greaterThan">
      <formula>0</formula>
    </cfRule>
  </conditionalFormatting>
  <conditionalFormatting sqref="Q97 Q99 Q101:Q104">
    <cfRule type="cellIs" dxfId="12625" priority="1501" operator="lessThan">
      <formula>0</formula>
    </cfRule>
  </conditionalFormatting>
  <conditionalFormatting sqref="P97 P99 P101:P104">
    <cfRule type="cellIs" dxfId="12624" priority="1502" operator="greaterThan">
      <formula>0</formula>
    </cfRule>
  </conditionalFormatting>
  <conditionalFormatting sqref="Q97 Q99 Q101:Q104">
    <cfRule type="cellIs" dxfId="12623" priority="1500" operator="lessThan">
      <formula>0</formula>
    </cfRule>
  </conditionalFormatting>
  <conditionalFormatting sqref="P97 P99 P101:P104">
    <cfRule type="cellIs" dxfId="12622" priority="1499" operator="greaterThan">
      <formula>0</formula>
    </cfRule>
  </conditionalFormatting>
  <conditionalFormatting sqref="Q97 Q99 Q101:Q104">
    <cfRule type="cellIs" dxfId="12621" priority="1498" operator="lessThan">
      <formula>0</formula>
    </cfRule>
  </conditionalFormatting>
  <conditionalFormatting sqref="P97 P99 P101:P104">
    <cfRule type="cellIs" dxfId="12620" priority="1497" operator="greaterThan">
      <formula>0</formula>
    </cfRule>
  </conditionalFormatting>
  <conditionalFormatting sqref="Q97 Q99 Q101:Q104">
    <cfRule type="cellIs" dxfId="12619" priority="1496" operator="lessThan">
      <formula>0</formula>
    </cfRule>
  </conditionalFormatting>
  <conditionalFormatting sqref="P97 P99 P101:P104">
    <cfRule type="cellIs" dxfId="12618" priority="1495" operator="greaterThan">
      <formula>0</formula>
    </cfRule>
  </conditionalFormatting>
  <conditionalFormatting sqref="Q97 Q99 Q101:Q104">
    <cfRule type="cellIs" dxfId="12617" priority="1494" operator="lessThan">
      <formula>0</formula>
    </cfRule>
  </conditionalFormatting>
  <conditionalFormatting sqref="P97 P99 P101:P104">
    <cfRule type="cellIs" dxfId="12616" priority="1493" operator="greaterThan">
      <formula>0</formula>
    </cfRule>
  </conditionalFormatting>
  <conditionalFormatting sqref="Q97 Q99 Q101:Q104">
    <cfRule type="cellIs" dxfId="12615" priority="1492" operator="lessThan">
      <formula>0</formula>
    </cfRule>
  </conditionalFormatting>
  <conditionalFormatting sqref="P97 P99 P101:P104">
    <cfRule type="cellIs" dxfId="12614" priority="1491" operator="greaterThan">
      <formula>0</formula>
    </cfRule>
  </conditionalFormatting>
  <conditionalFormatting sqref="P97 P99 P101:P104">
    <cfRule type="cellIs" dxfId="12613" priority="1489" operator="greaterThan">
      <formula>0</formula>
    </cfRule>
  </conditionalFormatting>
  <conditionalFormatting sqref="Q97 Q99 Q101:Q104">
    <cfRule type="cellIs" dxfId="12612" priority="1490" operator="lessThan">
      <formula>0</formula>
    </cfRule>
  </conditionalFormatting>
  <conditionalFormatting sqref="P97 P99 P101:P104">
    <cfRule type="cellIs" dxfId="12611" priority="1487" operator="greaterThan">
      <formula>0</formula>
    </cfRule>
  </conditionalFormatting>
  <conditionalFormatting sqref="Q97 Q99 Q101:Q104">
    <cfRule type="cellIs" dxfId="12610" priority="1488" operator="lessThan">
      <formula>0</formula>
    </cfRule>
  </conditionalFormatting>
  <conditionalFormatting sqref="P97 P99 P101:P104">
    <cfRule type="cellIs" dxfId="12609" priority="1485" operator="greaterThan">
      <formula>0</formula>
    </cfRule>
  </conditionalFormatting>
  <conditionalFormatting sqref="Q97 Q99 Q101:Q104">
    <cfRule type="cellIs" dxfId="12608" priority="1486" operator="lessThan">
      <formula>0</formula>
    </cfRule>
  </conditionalFormatting>
  <conditionalFormatting sqref="Q97 Q99 Q101:Q104">
    <cfRule type="cellIs" dxfId="12607" priority="1483" operator="lessThan">
      <formula>0</formula>
    </cfRule>
  </conditionalFormatting>
  <conditionalFormatting sqref="P97 P99 P101:P104">
    <cfRule type="cellIs" dxfId="12606" priority="1484" operator="greaterThan">
      <formula>0</formula>
    </cfRule>
  </conditionalFormatting>
  <conditionalFormatting sqref="Q97 Q99 Q101:Q104">
    <cfRule type="cellIs" dxfId="12605" priority="1481" operator="lessThan">
      <formula>0</formula>
    </cfRule>
  </conditionalFormatting>
  <conditionalFormatting sqref="P97 P99 P101:P104">
    <cfRule type="cellIs" dxfId="12604" priority="1482" operator="greaterThan">
      <formula>0</formula>
    </cfRule>
  </conditionalFormatting>
  <conditionalFormatting sqref="Q97 Q99 Q101:Q104">
    <cfRule type="cellIs" dxfId="12603" priority="1480" operator="lessThan">
      <formula>0</formula>
    </cfRule>
  </conditionalFormatting>
  <conditionalFormatting sqref="P97 P99 P101:P104">
    <cfRule type="cellIs" dxfId="12602" priority="1479" operator="greaterThan">
      <formula>0</formula>
    </cfRule>
  </conditionalFormatting>
  <conditionalFormatting sqref="Q97 Q99 Q101:Q104">
    <cfRule type="cellIs" dxfId="12601" priority="1478" operator="lessThan">
      <formula>0</formula>
    </cfRule>
  </conditionalFormatting>
  <conditionalFormatting sqref="P97 P99 P101:P104">
    <cfRule type="cellIs" dxfId="12600" priority="1477" operator="greaterThan">
      <formula>0</formula>
    </cfRule>
  </conditionalFormatting>
  <conditionalFormatting sqref="Q97 Q99 Q101:Q104">
    <cfRule type="cellIs" dxfId="12599" priority="1475" operator="lessThan">
      <formula>0</formula>
    </cfRule>
  </conditionalFormatting>
  <conditionalFormatting sqref="P97 P99 P101:P104">
    <cfRule type="cellIs" dxfId="12598" priority="1476" operator="greaterThan">
      <formula>0</formula>
    </cfRule>
  </conditionalFormatting>
  <conditionalFormatting sqref="Q97 Q99 Q101:Q104">
    <cfRule type="cellIs" dxfId="12597" priority="1473" operator="lessThan">
      <formula>0</formula>
    </cfRule>
  </conditionalFormatting>
  <conditionalFormatting sqref="P97 P99 P101:P104">
    <cfRule type="cellIs" dxfId="12596" priority="1474" operator="greaterThan">
      <formula>0</formula>
    </cfRule>
  </conditionalFormatting>
  <conditionalFormatting sqref="Q97 Q99 Q101:Q104">
    <cfRule type="cellIs" dxfId="12595" priority="1472" operator="lessThan">
      <formula>0</formula>
    </cfRule>
  </conditionalFormatting>
  <conditionalFormatting sqref="P97 P99 P101:P104">
    <cfRule type="cellIs" dxfId="12594" priority="1471" operator="greaterThan">
      <formula>0</formula>
    </cfRule>
  </conditionalFormatting>
  <conditionalFormatting sqref="Q97 Q99 Q101:Q104">
    <cfRule type="cellIs" dxfId="12593" priority="1470" operator="lessThan">
      <formula>0</formula>
    </cfRule>
  </conditionalFormatting>
  <conditionalFormatting sqref="P97 P99 P101:P104">
    <cfRule type="cellIs" dxfId="12592" priority="1469" operator="greaterThan">
      <formula>0</formula>
    </cfRule>
  </conditionalFormatting>
  <conditionalFormatting sqref="P97 P99 P101:P104">
    <cfRule type="cellIs" dxfId="12591" priority="1467" operator="greaterThan">
      <formula>0</formula>
    </cfRule>
  </conditionalFormatting>
  <conditionalFormatting sqref="Q97 Q99 Q101:Q104">
    <cfRule type="cellIs" dxfId="12590" priority="1468" operator="lessThan">
      <formula>0</formula>
    </cfRule>
  </conditionalFormatting>
  <conditionalFormatting sqref="P97 P99 P101:P104">
    <cfRule type="cellIs" dxfId="12589" priority="1465" operator="greaterThan">
      <formula>0</formula>
    </cfRule>
  </conditionalFormatting>
  <conditionalFormatting sqref="Q97 Q99 Q101:Q104">
    <cfRule type="cellIs" dxfId="12588" priority="1466" operator="lessThan">
      <formula>0</formula>
    </cfRule>
  </conditionalFormatting>
  <conditionalFormatting sqref="Q97 Q99 Q101:Q104">
    <cfRule type="cellIs" dxfId="12587" priority="1463" operator="lessThan">
      <formula>0</formula>
    </cfRule>
  </conditionalFormatting>
  <conditionalFormatting sqref="P97 P99 P101:P104">
    <cfRule type="cellIs" dxfId="12586" priority="1464" operator="greaterThan">
      <formula>0</formula>
    </cfRule>
  </conditionalFormatting>
  <conditionalFormatting sqref="Q97 Q99 Q101:Q104">
    <cfRule type="cellIs" dxfId="12585" priority="1462" operator="lessThan">
      <formula>0</formula>
    </cfRule>
  </conditionalFormatting>
  <conditionalFormatting sqref="P97 P99 P101:P104">
    <cfRule type="cellIs" dxfId="12584" priority="1461" operator="greaterThan">
      <formula>0</formula>
    </cfRule>
  </conditionalFormatting>
  <conditionalFormatting sqref="Q97 Q99 Q101:Q104">
    <cfRule type="cellIs" dxfId="12583" priority="1460" operator="lessThan">
      <formula>0</formula>
    </cfRule>
  </conditionalFormatting>
  <conditionalFormatting sqref="P97 P99 P101:P104">
    <cfRule type="cellIs" dxfId="12582" priority="1459" operator="greaterThan">
      <formula>0</formula>
    </cfRule>
  </conditionalFormatting>
  <conditionalFormatting sqref="Q97 Q99 Q101:Q104">
    <cfRule type="cellIs" dxfId="12581" priority="1458" operator="lessThan">
      <formula>0</formula>
    </cfRule>
  </conditionalFormatting>
  <conditionalFormatting sqref="P97 P99 P101:P104">
    <cfRule type="cellIs" dxfId="12580" priority="1457" operator="greaterThan">
      <formula>0</formula>
    </cfRule>
  </conditionalFormatting>
  <conditionalFormatting sqref="Q97 Q99 Q101:Q104">
    <cfRule type="cellIs" dxfId="12579" priority="1456" operator="lessThan">
      <formula>0</formula>
    </cfRule>
  </conditionalFormatting>
  <conditionalFormatting sqref="P97 P99 P101:P104">
    <cfRule type="cellIs" dxfId="12578" priority="1455" operator="greaterThan">
      <formula>0</formula>
    </cfRule>
  </conditionalFormatting>
  <conditionalFormatting sqref="Q97 Q99 Q101:Q104">
    <cfRule type="cellIs" dxfId="12577" priority="1454" operator="lessThan">
      <formula>0</formula>
    </cfRule>
  </conditionalFormatting>
  <conditionalFormatting sqref="P97 P99 P101:P104">
    <cfRule type="cellIs" dxfId="12576" priority="1453" operator="greaterThan">
      <formula>0</formula>
    </cfRule>
  </conditionalFormatting>
  <conditionalFormatting sqref="P97 P99 P101:P104">
    <cfRule type="cellIs" dxfId="12575" priority="1451" operator="greaterThan">
      <formula>0</formula>
    </cfRule>
  </conditionalFormatting>
  <conditionalFormatting sqref="Q97 Q99 Q101:Q104">
    <cfRule type="cellIs" dxfId="12574" priority="1452" operator="lessThan">
      <formula>0</formula>
    </cfRule>
  </conditionalFormatting>
  <conditionalFormatting sqref="P97 P99 P101:P104">
    <cfRule type="cellIs" dxfId="12573" priority="1449" operator="greaterThan">
      <formula>0</formula>
    </cfRule>
  </conditionalFormatting>
  <conditionalFormatting sqref="Q97 Q99 Q101:Q104">
    <cfRule type="cellIs" dxfId="12572" priority="1450" operator="lessThan">
      <formula>0</formula>
    </cfRule>
  </conditionalFormatting>
  <conditionalFormatting sqref="P97 P99 P101:P104">
    <cfRule type="cellIs" dxfId="12571" priority="1447" operator="greaterThan">
      <formula>0</formula>
    </cfRule>
  </conditionalFormatting>
  <conditionalFormatting sqref="Q97 Q99 Q101:Q104">
    <cfRule type="cellIs" dxfId="12570" priority="1448" operator="lessThan">
      <formula>0</formula>
    </cfRule>
  </conditionalFormatting>
  <conditionalFormatting sqref="Q97 Q99 Q101:Q104">
    <cfRule type="cellIs" dxfId="12569" priority="1445" operator="lessThan">
      <formula>0</formula>
    </cfRule>
  </conditionalFormatting>
  <conditionalFormatting sqref="P97 P99 P101:P104">
    <cfRule type="cellIs" dxfId="12568" priority="1446" operator="greaterThan">
      <formula>0</formula>
    </cfRule>
  </conditionalFormatting>
  <conditionalFormatting sqref="Q97 Q99 Q101:Q104">
    <cfRule type="cellIs" dxfId="12567" priority="1443" operator="lessThan">
      <formula>0</formula>
    </cfRule>
  </conditionalFormatting>
  <conditionalFormatting sqref="P97 P99 P101:P104">
    <cfRule type="cellIs" dxfId="12566" priority="1444" operator="greaterThan">
      <formula>0</formula>
    </cfRule>
  </conditionalFormatting>
  <conditionalFormatting sqref="Q97 Q99 Q101:Q104">
    <cfRule type="cellIs" dxfId="12565" priority="1442" operator="lessThan">
      <formula>0</formula>
    </cfRule>
  </conditionalFormatting>
  <conditionalFormatting sqref="P97 P99 P101:P104">
    <cfRule type="cellIs" dxfId="12564" priority="1441" operator="greaterThan">
      <formula>0</formula>
    </cfRule>
  </conditionalFormatting>
  <conditionalFormatting sqref="Q97 Q99 Q101:Q104">
    <cfRule type="cellIs" dxfId="12563" priority="1440" operator="lessThan">
      <formula>0</formula>
    </cfRule>
  </conditionalFormatting>
  <conditionalFormatting sqref="P97 P99 P101:P104">
    <cfRule type="cellIs" dxfId="12562" priority="1439" operator="greaterThan">
      <formula>0</formula>
    </cfRule>
  </conditionalFormatting>
  <conditionalFormatting sqref="Q98 Q105 Q100">
    <cfRule type="cellIs" dxfId="12561" priority="1438" operator="lessThan">
      <formula>0</formula>
    </cfRule>
  </conditionalFormatting>
  <conditionalFormatting sqref="P98 P105 P100">
    <cfRule type="cellIs" dxfId="12560" priority="1437" operator="greaterThan">
      <formula>0</formula>
    </cfRule>
  </conditionalFormatting>
  <conditionalFormatting sqref="P98 P105 P100">
    <cfRule type="cellIs" dxfId="12559" priority="1435" operator="greaterThan">
      <formula>0</formula>
    </cfRule>
  </conditionalFormatting>
  <conditionalFormatting sqref="Q98 Q105 Q100">
    <cfRule type="cellIs" dxfId="12558" priority="1436" operator="lessThan">
      <formula>0</formula>
    </cfRule>
  </conditionalFormatting>
  <conditionalFormatting sqref="Q98 Q105 Q100">
    <cfRule type="cellIs" dxfId="12557" priority="1434" operator="lessThan">
      <formula>0</formula>
    </cfRule>
  </conditionalFormatting>
  <conditionalFormatting sqref="P98 P105 P100">
    <cfRule type="cellIs" dxfId="12556" priority="1433" operator="greaterThan">
      <formula>0</formula>
    </cfRule>
  </conditionalFormatting>
  <conditionalFormatting sqref="Q96">
    <cfRule type="cellIs" dxfId="12555" priority="1427" operator="lessThan">
      <formula>0</formula>
    </cfRule>
  </conditionalFormatting>
  <conditionalFormatting sqref="P96">
    <cfRule type="cellIs" dxfId="12554" priority="1428" operator="greaterThan">
      <formula>0</formula>
    </cfRule>
  </conditionalFormatting>
  <conditionalFormatting sqref="R96:R105">
    <cfRule type="cellIs" dxfId="12553" priority="1431" operator="lessThan">
      <formula>0.8</formula>
    </cfRule>
    <cfRule type="cellIs" dxfId="12552" priority="1432" operator="greaterThan">
      <formula>1</formula>
    </cfRule>
  </conditionalFormatting>
  <conditionalFormatting sqref="R96:R105">
    <cfRule type="cellIs" dxfId="12551" priority="1429" operator="greaterThan">
      <formula>1</formula>
    </cfRule>
    <cfRule type="cellIs" dxfId="12550" priority="1430" operator="lessThan">
      <formula>0.8</formula>
    </cfRule>
  </conditionalFormatting>
  <conditionalFormatting sqref="Q96">
    <cfRule type="cellIs" dxfId="12549" priority="1421" operator="lessThan">
      <formula>0</formula>
    </cfRule>
  </conditionalFormatting>
  <conditionalFormatting sqref="R96:R105">
    <cfRule type="cellIs" dxfId="12548" priority="1425" operator="lessThan">
      <formula>0.8</formula>
    </cfRule>
    <cfRule type="cellIs" dxfId="12547" priority="1426" operator="greaterThan">
      <formula>1</formula>
    </cfRule>
  </conditionalFormatting>
  <conditionalFormatting sqref="R96:R105">
    <cfRule type="cellIs" dxfId="12546" priority="1423" operator="greaterThan">
      <formula>1</formula>
    </cfRule>
    <cfRule type="cellIs" dxfId="12545" priority="1424" operator="lessThan">
      <formula>0.8</formula>
    </cfRule>
  </conditionalFormatting>
  <conditionalFormatting sqref="P96">
    <cfRule type="cellIs" dxfId="12544" priority="1422" operator="greaterThan">
      <formula>0</formula>
    </cfRule>
  </conditionalFormatting>
  <conditionalFormatting sqref="Q96">
    <cfRule type="cellIs" dxfId="12543" priority="1420" operator="lessThan">
      <formula>0</formula>
    </cfRule>
  </conditionalFormatting>
  <conditionalFormatting sqref="R96:R105">
    <cfRule type="cellIs" dxfId="12542" priority="1418" operator="lessThan">
      <formula>0.8</formula>
    </cfRule>
    <cfRule type="cellIs" dxfId="12541" priority="1419" operator="greaterThan">
      <formula>1</formula>
    </cfRule>
  </conditionalFormatting>
  <conditionalFormatting sqref="R96:R105">
    <cfRule type="cellIs" dxfId="12540" priority="1416" operator="greaterThan">
      <formula>1</formula>
    </cfRule>
    <cfRule type="cellIs" dxfId="12539" priority="1417" operator="lessThan">
      <formula>0.8</formula>
    </cfRule>
  </conditionalFormatting>
  <conditionalFormatting sqref="P96">
    <cfRule type="cellIs" dxfId="12538" priority="1415" operator="greaterThan">
      <formula>0</formula>
    </cfRule>
  </conditionalFormatting>
  <conditionalFormatting sqref="Q96">
    <cfRule type="cellIs" dxfId="12537" priority="1414" operator="lessThan">
      <formula>0</formula>
    </cfRule>
  </conditionalFormatting>
  <conditionalFormatting sqref="R96:R105">
    <cfRule type="cellIs" dxfId="12536" priority="1412" operator="lessThan">
      <formula>0.8</formula>
    </cfRule>
    <cfRule type="cellIs" dxfId="12535" priority="1413" operator="greaterThan">
      <formula>1</formula>
    </cfRule>
  </conditionalFormatting>
  <conditionalFormatting sqref="R96:R105">
    <cfRule type="cellIs" dxfId="12534" priority="1410" operator="greaterThan">
      <formula>1</formula>
    </cfRule>
    <cfRule type="cellIs" dxfId="12533" priority="1411" operator="lessThan">
      <formula>0.8</formula>
    </cfRule>
  </conditionalFormatting>
  <conditionalFormatting sqref="P96">
    <cfRule type="cellIs" dxfId="12532" priority="1409" operator="greaterThan">
      <formula>0</formula>
    </cfRule>
  </conditionalFormatting>
  <conditionalFormatting sqref="Q96">
    <cfRule type="cellIs" dxfId="12531" priority="1403" operator="lessThan">
      <formula>0</formula>
    </cfRule>
  </conditionalFormatting>
  <conditionalFormatting sqref="R96:R105">
    <cfRule type="cellIs" dxfId="12530" priority="1407" operator="lessThan">
      <formula>0.8</formula>
    </cfRule>
    <cfRule type="cellIs" dxfId="12529" priority="1408" operator="greaterThan">
      <formula>1</formula>
    </cfRule>
  </conditionalFormatting>
  <conditionalFormatting sqref="R96:R105">
    <cfRule type="cellIs" dxfId="12528" priority="1405" operator="greaterThan">
      <formula>1</formula>
    </cfRule>
    <cfRule type="cellIs" dxfId="12527" priority="1406" operator="lessThan">
      <formula>0.8</formula>
    </cfRule>
  </conditionalFormatting>
  <conditionalFormatting sqref="P96">
    <cfRule type="cellIs" dxfId="12526" priority="1404" operator="greaterThan">
      <formula>0</formula>
    </cfRule>
  </conditionalFormatting>
  <conditionalFormatting sqref="Q96">
    <cfRule type="cellIs" dxfId="12525" priority="1402" operator="lessThan">
      <formula>0</formula>
    </cfRule>
  </conditionalFormatting>
  <conditionalFormatting sqref="R96:R105">
    <cfRule type="cellIs" dxfId="12524" priority="1400" operator="lessThan">
      <formula>0.8</formula>
    </cfRule>
    <cfRule type="cellIs" dxfId="12523" priority="1401" operator="greaterThan">
      <formula>1</formula>
    </cfRule>
  </conditionalFormatting>
  <conditionalFormatting sqref="R96:R105">
    <cfRule type="cellIs" dxfId="12522" priority="1398" operator="greaterThan">
      <formula>1</formula>
    </cfRule>
    <cfRule type="cellIs" dxfId="12521" priority="1399" operator="lessThan">
      <formula>0.8</formula>
    </cfRule>
  </conditionalFormatting>
  <conditionalFormatting sqref="P96">
    <cfRule type="cellIs" dxfId="12520" priority="1397" operator="greaterThan">
      <formula>0</formula>
    </cfRule>
  </conditionalFormatting>
  <conditionalFormatting sqref="Q96">
    <cfRule type="cellIs" dxfId="12519" priority="1396" operator="lessThan">
      <formula>0</formula>
    </cfRule>
  </conditionalFormatting>
  <conditionalFormatting sqref="R96:R105">
    <cfRule type="cellIs" dxfId="12518" priority="1394" operator="lessThan">
      <formula>0.8</formula>
    </cfRule>
    <cfRule type="cellIs" dxfId="12517" priority="1395" operator="greaterThan">
      <formula>1</formula>
    </cfRule>
  </conditionalFormatting>
  <conditionalFormatting sqref="R96:R105">
    <cfRule type="cellIs" dxfId="12516" priority="1392" operator="greaterThan">
      <formula>1</formula>
    </cfRule>
    <cfRule type="cellIs" dxfId="12515" priority="1393" operator="lessThan">
      <formula>0.8</formula>
    </cfRule>
  </conditionalFormatting>
  <conditionalFormatting sqref="P96">
    <cfRule type="cellIs" dxfId="12514" priority="1391" operator="greaterThan">
      <formula>0</formula>
    </cfRule>
  </conditionalFormatting>
  <conditionalFormatting sqref="Q96">
    <cfRule type="cellIs" dxfId="12513" priority="1390" operator="lessThan">
      <formula>0</formula>
    </cfRule>
  </conditionalFormatting>
  <conditionalFormatting sqref="R96:R105">
    <cfRule type="cellIs" dxfId="12512" priority="1388" operator="lessThan">
      <formula>0.8</formula>
    </cfRule>
    <cfRule type="cellIs" dxfId="12511" priority="1389" operator="greaterThan">
      <formula>1</formula>
    </cfRule>
  </conditionalFormatting>
  <conditionalFormatting sqref="R96:R105">
    <cfRule type="cellIs" dxfId="12510" priority="1386" operator="greaterThan">
      <formula>1</formula>
    </cfRule>
    <cfRule type="cellIs" dxfId="12509" priority="1387" operator="lessThan">
      <formula>0.8</formula>
    </cfRule>
  </conditionalFormatting>
  <conditionalFormatting sqref="P96">
    <cfRule type="cellIs" dxfId="12508" priority="1385" operator="greaterThan">
      <formula>0</formula>
    </cfRule>
  </conditionalFormatting>
  <conditionalFormatting sqref="Q96">
    <cfRule type="cellIs" dxfId="12507" priority="1384" operator="lessThan">
      <formula>0</formula>
    </cfRule>
  </conditionalFormatting>
  <conditionalFormatting sqref="R96:R105">
    <cfRule type="cellIs" dxfId="12506" priority="1382" operator="lessThan">
      <formula>0.8</formula>
    </cfRule>
    <cfRule type="cellIs" dxfId="12505" priority="1383" operator="greaterThan">
      <formula>1</formula>
    </cfRule>
  </conditionalFormatting>
  <conditionalFormatting sqref="R96:R105">
    <cfRule type="cellIs" dxfId="12504" priority="1380" operator="greaterThan">
      <formula>1</formula>
    </cfRule>
    <cfRule type="cellIs" dxfId="12503" priority="1381" operator="lessThan">
      <formula>0.8</formula>
    </cfRule>
  </conditionalFormatting>
  <conditionalFormatting sqref="P96">
    <cfRule type="cellIs" dxfId="12502" priority="1379" operator="greaterThan">
      <formula>0</formula>
    </cfRule>
  </conditionalFormatting>
  <conditionalFormatting sqref="Q96">
    <cfRule type="cellIs" dxfId="12501" priority="1378" operator="lessThan">
      <formula>0</formula>
    </cfRule>
  </conditionalFormatting>
  <conditionalFormatting sqref="R96:R105">
    <cfRule type="cellIs" dxfId="12500" priority="1376" operator="lessThan">
      <formula>0.8</formula>
    </cfRule>
    <cfRule type="cellIs" dxfId="12499" priority="1377" operator="greaterThan">
      <formula>1</formula>
    </cfRule>
  </conditionalFormatting>
  <conditionalFormatting sqref="R96:R105">
    <cfRule type="cellIs" dxfId="12498" priority="1374" operator="greaterThan">
      <formula>1</formula>
    </cfRule>
    <cfRule type="cellIs" dxfId="12497" priority="1375" operator="lessThan">
      <formula>0.8</formula>
    </cfRule>
  </conditionalFormatting>
  <conditionalFormatting sqref="P96">
    <cfRule type="cellIs" dxfId="12496" priority="1373" operator="greaterThan">
      <formula>0</formula>
    </cfRule>
  </conditionalFormatting>
  <conditionalFormatting sqref="P96">
    <cfRule type="cellIs" dxfId="12495" priority="1367" operator="greaterThan">
      <formula>0</formula>
    </cfRule>
  </conditionalFormatting>
  <conditionalFormatting sqref="Q96">
    <cfRule type="cellIs" dxfId="12494" priority="1372" operator="lessThan">
      <formula>0</formula>
    </cfRule>
  </conditionalFormatting>
  <conditionalFormatting sqref="R96:R105">
    <cfRule type="cellIs" dxfId="12493" priority="1370" operator="lessThan">
      <formula>0.8</formula>
    </cfRule>
    <cfRule type="cellIs" dxfId="12492" priority="1371" operator="greaterThan">
      <formula>1</formula>
    </cfRule>
  </conditionalFormatting>
  <conditionalFormatting sqref="R96:R105">
    <cfRule type="cellIs" dxfId="12491" priority="1368" operator="greaterThan">
      <formula>1</formula>
    </cfRule>
    <cfRule type="cellIs" dxfId="12490" priority="1369" operator="lessThan">
      <formula>0.8</formula>
    </cfRule>
  </conditionalFormatting>
  <conditionalFormatting sqref="P96">
    <cfRule type="cellIs" dxfId="12489" priority="1361" operator="greaterThan">
      <formula>0</formula>
    </cfRule>
  </conditionalFormatting>
  <conditionalFormatting sqref="Q96">
    <cfRule type="cellIs" dxfId="12488" priority="1366" operator="lessThan">
      <formula>0</formula>
    </cfRule>
  </conditionalFormatting>
  <conditionalFormatting sqref="R96:R105">
    <cfRule type="cellIs" dxfId="12487" priority="1364" operator="lessThan">
      <formula>0.8</formula>
    </cfRule>
    <cfRule type="cellIs" dxfId="12486" priority="1365" operator="greaterThan">
      <formula>1</formula>
    </cfRule>
  </conditionalFormatting>
  <conditionalFormatting sqref="R96:R105">
    <cfRule type="cellIs" dxfId="12485" priority="1362" operator="greaterThan">
      <formula>1</formula>
    </cfRule>
    <cfRule type="cellIs" dxfId="12484" priority="1363" operator="lessThan">
      <formula>0.8</formula>
    </cfRule>
  </conditionalFormatting>
  <conditionalFormatting sqref="R96:R105">
    <cfRule type="cellIs" dxfId="12483" priority="1358" operator="lessThan">
      <formula>0.8</formula>
    </cfRule>
    <cfRule type="cellIs" dxfId="12482" priority="1359" operator="greaterThan">
      <formula>1</formula>
    </cfRule>
  </conditionalFormatting>
  <conditionalFormatting sqref="R96:R105">
    <cfRule type="cellIs" dxfId="12481" priority="1356" operator="greaterThan">
      <formula>1</formula>
    </cfRule>
    <cfRule type="cellIs" dxfId="12480" priority="1357" operator="lessThan">
      <formula>0.8</formula>
    </cfRule>
  </conditionalFormatting>
  <conditionalFormatting sqref="P96">
    <cfRule type="cellIs" dxfId="12479" priority="1355" operator="greaterThan">
      <formula>0</formula>
    </cfRule>
  </conditionalFormatting>
  <conditionalFormatting sqref="Q96">
    <cfRule type="cellIs" dxfId="12478" priority="1360" operator="lessThan">
      <formula>0</formula>
    </cfRule>
  </conditionalFormatting>
  <conditionalFormatting sqref="Q96">
    <cfRule type="cellIs" dxfId="12477" priority="1349" operator="lessThan">
      <formula>0</formula>
    </cfRule>
  </conditionalFormatting>
  <conditionalFormatting sqref="P96">
    <cfRule type="cellIs" dxfId="12476" priority="1350" operator="greaterThan">
      <formula>0</formula>
    </cfRule>
  </conditionalFormatting>
  <conditionalFormatting sqref="R96:R105">
    <cfRule type="cellIs" dxfId="12475" priority="1353" operator="lessThan">
      <formula>0.8</formula>
    </cfRule>
    <cfRule type="cellIs" dxfId="12474" priority="1354" operator="greaterThan">
      <formula>1</formula>
    </cfRule>
  </conditionalFormatting>
  <conditionalFormatting sqref="R96:R105">
    <cfRule type="cellIs" dxfId="12473" priority="1351" operator="greaterThan">
      <formula>1</formula>
    </cfRule>
    <cfRule type="cellIs" dxfId="12472" priority="1352" operator="lessThan">
      <formula>0.8</formula>
    </cfRule>
  </conditionalFormatting>
  <conditionalFormatting sqref="Q96">
    <cfRule type="cellIs" dxfId="12471" priority="1343" operator="lessThan">
      <formula>0</formula>
    </cfRule>
  </conditionalFormatting>
  <conditionalFormatting sqref="R96:R105">
    <cfRule type="cellIs" dxfId="12470" priority="1347" operator="lessThan">
      <formula>0.8</formula>
    </cfRule>
    <cfRule type="cellIs" dxfId="12469" priority="1348" operator="greaterThan">
      <formula>1</formula>
    </cfRule>
  </conditionalFormatting>
  <conditionalFormatting sqref="R96:R105">
    <cfRule type="cellIs" dxfId="12468" priority="1345" operator="greaterThan">
      <formula>1</formula>
    </cfRule>
    <cfRule type="cellIs" dxfId="12467" priority="1346" operator="lessThan">
      <formula>0.8</formula>
    </cfRule>
  </conditionalFormatting>
  <conditionalFormatting sqref="P96">
    <cfRule type="cellIs" dxfId="12466" priority="1344" operator="greaterThan">
      <formula>0</formula>
    </cfRule>
  </conditionalFormatting>
  <conditionalFormatting sqref="Q96">
    <cfRule type="cellIs" dxfId="12465" priority="1342" operator="lessThan">
      <formula>0</formula>
    </cfRule>
  </conditionalFormatting>
  <conditionalFormatting sqref="R96:R105">
    <cfRule type="cellIs" dxfId="12464" priority="1340" operator="lessThan">
      <formula>0.8</formula>
    </cfRule>
    <cfRule type="cellIs" dxfId="12463" priority="1341" operator="greaterThan">
      <formula>1</formula>
    </cfRule>
  </conditionalFormatting>
  <conditionalFormatting sqref="R96:R105">
    <cfRule type="cellIs" dxfId="12462" priority="1338" operator="greaterThan">
      <formula>1</formula>
    </cfRule>
    <cfRule type="cellIs" dxfId="12461" priority="1339" operator="lessThan">
      <formula>0.8</formula>
    </cfRule>
  </conditionalFormatting>
  <conditionalFormatting sqref="P96">
    <cfRule type="cellIs" dxfId="12460" priority="1337" operator="greaterThan">
      <formula>0</formula>
    </cfRule>
  </conditionalFormatting>
  <conditionalFormatting sqref="Q96">
    <cfRule type="cellIs" dxfId="12459" priority="1336" operator="lessThan">
      <formula>0</formula>
    </cfRule>
  </conditionalFormatting>
  <conditionalFormatting sqref="R96:R105">
    <cfRule type="cellIs" dxfId="12458" priority="1334" operator="lessThan">
      <formula>0.8</formula>
    </cfRule>
    <cfRule type="cellIs" dxfId="12457" priority="1335" operator="greaterThan">
      <formula>1</formula>
    </cfRule>
  </conditionalFormatting>
  <conditionalFormatting sqref="R96:R105">
    <cfRule type="cellIs" dxfId="12456" priority="1332" operator="greaterThan">
      <formula>1</formula>
    </cfRule>
    <cfRule type="cellIs" dxfId="12455" priority="1333" operator="lessThan">
      <formula>0.8</formula>
    </cfRule>
  </conditionalFormatting>
  <conditionalFormatting sqref="P96">
    <cfRule type="cellIs" dxfId="12454" priority="1331" operator="greaterThan">
      <formula>0</formula>
    </cfRule>
  </conditionalFormatting>
  <conditionalFormatting sqref="Q96">
    <cfRule type="cellIs" dxfId="12453" priority="1325" operator="lessThan">
      <formula>0</formula>
    </cfRule>
  </conditionalFormatting>
  <conditionalFormatting sqref="P96">
    <cfRule type="cellIs" dxfId="12452" priority="1326" operator="greaterThan">
      <formula>0</formula>
    </cfRule>
  </conditionalFormatting>
  <conditionalFormatting sqref="R96:R105">
    <cfRule type="cellIs" dxfId="12451" priority="1329" operator="lessThan">
      <formula>0.8</formula>
    </cfRule>
    <cfRule type="cellIs" dxfId="12450" priority="1330" operator="greaterThan">
      <formula>1</formula>
    </cfRule>
  </conditionalFormatting>
  <conditionalFormatting sqref="R96:R105">
    <cfRule type="cellIs" dxfId="12449" priority="1327" operator="greaterThan">
      <formula>1</formula>
    </cfRule>
    <cfRule type="cellIs" dxfId="12448" priority="1328" operator="lessThan">
      <formula>0.8</formula>
    </cfRule>
  </conditionalFormatting>
  <conditionalFormatting sqref="Q96">
    <cfRule type="cellIs" dxfId="12447" priority="1319" operator="lessThan">
      <formula>0</formula>
    </cfRule>
  </conditionalFormatting>
  <conditionalFormatting sqref="R96:R105">
    <cfRule type="cellIs" dxfId="12446" priority="1323" operator="lessThan">
      <formula>0.8</formula>
    </cfRule>
    <cfRule type="cellIs" dxfId="12445" priority="1324" operator="greaterThan">
      <formula>1</formula>
    </cfRule>
  </conditionalFormatting>
  <conditionalFormatting sqref="R96:R105">
    <cfRule type="cellIs" dxfId="12444" priority="1321" operator="greaterThan">
      <formula>1</formula>
    </cfRule>
    <cfRule type="cellIs" dxfId="12443" priority="1322" operator="lessThan">
      <formula>0.8</formula>
    </cfRule>
  </conditionalFormatting>
  <conditionalFormatting sqref="P96">
    <cfRule type="cellIs" dxfId="12442" priority="1320" operator="greaterThan">
      <formula>0</formula>
    </cfRule>
  </conditionalFormatting>
  <conditionalFormatting sqref="Q96">
    <cfRule type="cellIs" dxfId="12441" priority="1318" operator="lessThan">
      <formula>0</formula>
    </cfRule>
  </conditionalFormatting>
  <conditionalFormatting sqref="R96:R105">
    <cfRule type="cellIs" dxfId="12440" priority="1316" operator="lessThan">
      <formula>0.8</formula>
    </cfRule>
    <cfRule type="cellIs" dxfId="12439" priority="1317" operator="greaterThan">
      <formula>1</formula>
    </cfRule>
  </conditionalFormatting>
  <conditionalFormatting sqref="R96:R105">
    <cfRule type="cellIs" dxfId="12438" priority="1314" operator="greaterThan">
      <formula>1</formula>
    </cfRule>
    <cfRule type="cellIs" dxfId="12437" priority="1315" operator="lessThan">
      <formula>0.8</formula>
    </cfRule>
  </conditionalFormatting>
  <conditionalFormatting sqref="P96">
    <cfRule type="cellIs" dxfId="12436" priority="1313" operator="greaterThan">
      <formula>0</formula>
    </cfRule>
  </conditionalFormatting>
  <conditionalFormatting sqref="Q96">
    <cfRule type="cellIs" dxfId="12435" priority="1312" operator="lessThan">
      <formula>0</formula>
    </cfRule>
  </conditionalFormatting>
  <conditionalFormatting sqref="R96:R105">
    <cfRule type="cellIs" dxfId="12434" priority="1310" operator="lessThan">
      <formula>0.8</formula>
    </cfRule>
    <cfRule type="cellIs" dxfId="12433" priority="1311" operator="greaterThan">
      <formula>1</formula>
    </cfRule>
  </conditionalFormatting>
  <conditionalFormatting sqref="R96:R105">
    <cfRule type="cellIs" dxfId="12432" priority="1308" operator="greaterThan">
      <formula>1</formula>
    </cfRule>
    <cfRule type="cellIs" dxfId="12431" priority="1309" operator="lessThan">
      <formula>0.8</formula>
    </cfRule>
  </conditionalFormatting>
  <conditionalFormatting sqref="P96">
    <cfRule type="cellIs" dxfId="12430" priority="1307" operator="greaterThan">
      <formula>0</formula>
    </cfRule>
  </conditionalFormatting>
  <conditionalFormatting sqref="P124">
    <cfRule type="cellIs" dxfId="12429" priority="1301" operator="greaterThan">
      <formula>0</formula>
    </cfRule>
  </conditionalFormatting>
  <conditionalFormatting sqref="Q124">
    <cfRule type="cellIs" dxfId="12428" priority="1306" operator="lessThan">
      <formula>0</formula>
    </cfRule>
  </conditionalFormatting>
  <conditionalFormatting sqref="R124">
    <cfRule type="cellIs" dxfId="12427" priority="1304" operator="lessThan">
      <formula>0.8</formula>
    </cfRule>
    <cfRule type="cellIs" dxfId="12426" priority="1305" operator="greaterThan">
      <formula>1</formula>
    </cfRule>
  </conditionalFormatting>
  <conditionalFormatting sqref="R124">
    <cfRule type="cellIs" dxfId="12425" priority="1302" operator="greaterThan">
      <formula>1</formula>
    </cfRule>
    <cfRule type="cellIs" dxfId="12424" priority="1303" operator="lessThan">
      <formula>0.8</formula>
    </cfRule>
  </conditionalFormatting>
  <conditionalFormatting sqref="Q124">
    <cfRule type="cellIs" dxfId="12423" priority="1300" operator="lessThan">
      <formula>0</formula>
    </cfRule>
  </conditionalFormatting>
  <conditionalFormatting sqref="R124">
    <cfRule type="cellIs" dxfId="12422" priority="1298" operator="lessThan">
      <formula>0.8</formula>
    </cfRule>
    <cfRule type="cellIs" dxfId="12421" priority="1299" operator="greaterThan">
      <formula>1</formula>
    </cfRule>
  </conditionalFormatting>
  <conditionalFormatting sqref="R124">
    <cfRule type="cellIs" dxfId="12420" priority="1296" operator="greaterThan">
      <formula>1</formula>
    </cfRule>
    <cfRule type="cellIs" dxfId="12419" priority="1297" operator="lessThan">
      <formula>0.8</formula>
    </cfRule>
  </conditionalFormatting>
  <conditionalFormatting sqref="P124">
    <cfRule type="cellIs" dxfId="12418" priority="1295" operator="greaterThan">
      <formula>0</formula>
    </cfRule>
  </conditionalFormatting>
  <conditionalFormatting sqref="Q123 Q125:Q129">
    <cfRule type="cellIs" dxfId="12417" priority="1294" operator="lessThan">
      <formula>0</formula>
    </cfRule>
  </conditionalFormatting>
  <conditionalFormatting sqref="R123 R125:R129">
    <cfRule type="cellIs" dxfId="12416" priority="1292" operator="lessThan">
      <formula>0.8</formula>
    </cfRule>
    <cfRule type="cellIs" dxfId="12415" priority="1293" operator="greaterThan">
      <formula>1</formula>
    </cfRule>
  </conditionalFormatting>
  <conditionalFormatting sqref="R123 R125:R129">
    <cfRule type="cellIs" dxfId="12414" priority="1290" operator="greaterThan">
      <formula>1</formula>
    </cfRule>
    <cfRule type="cellIs" dxfId="12413" priority="1291" operator="lessThan">
      <formula>0.8</formula>
    </cfRule>
  </conditionalFormatting>
  <conditionalFormatting sqref="P123 P125:P129">
    <cfRule type="cellIs" dxfId="12412" priority="1289" operator="greaterThan">
      <formula>0</formula>
    </cfRule>
  </conditionalFormatting>
  <conditionalFormatting sqref="P123 P125:P129">
    <cfRule type="cellIs" dxfId="12411" priority="1283" operator="greaterThan">
      <formula>0</formula>
    </cfRule>
  </conditionalFormatting>
  <conditionalFormatting sqref="Q123 Q125:Q129">
    <cfRule type="cellIs" dxfId="12410" priority="1288" operator="lessThan">
      <formula>0</formula>
    </cfRule>
  </conditionalFormatting>
  <conditionalFormatting sqref="R123 R125:R129">
    <cfRule type="cellIs" dxfId="12409" priority="1286" operator="lessThan">
      <formula>0.8</formula>
    </cfRule>
    <cfRule type="cellIs" dxfId="12408" priority="1287" operator="greaterThan">
      <formula>1</formula>
    </cfRule>
  </conditionalFormatting>
  <conditionalFormatting sqref="R123 R125:R129">
    <cfRule type="cellIs" dxfId="12407" priority="1284" operator="greaterThan">
      <formula>1</formula>
    </cfRule>
    <cfRule type="cellIs" dxfId="12406" priority="1285" operator="lessThan">
      <formula>0.8</formula>
    </cfRule>
  </conditionalFormatting>
  <conditionalFormatting sqref="P122">
    <cfRule type="cellIs" dxfId="12405" priority="1277" operator="greaterThan">
      <formula>0</formula>
    </cfRule>
  </conditionalFormatting>
  <conditionalFormatting sqref="Q122">
    <cfRule type="cellIs" dxfId="12404" priority="1282" operator="lessThan">
      <formula>0</formula>
    </cfRule>
  </conditionalFormatting>
  <conditionalFormatting sqref="R122">
    <cfRule type="cellIs" dxfId="12403" priority="1280" operator="lessThan">
      <formula>0.8</formula>
    </cfRule>
    <cfRule type="cellIs" dxfId="12402" priority="1281" operator="greaterThan">
      <formula>1</formula>
    </cfRule>
  </conditionalFormatting>
  <conditionalFormatting sqref="R122">
    <cfRule type="cellIs" dxfId="12401" priority="1278" operator="greaterThan">
      <formula>1</formula>
    </cfRule>
    <cfRule type="cellIs" dxfId="12400" priority="1279" operator="lessThan">
      <formula>0.8</formula>
    </cfRule>
  </conditionalFormatting>
  <conditionalFormatting sqref="Q109:Q116">
    <cfRule type="cellIs" dxfId="12399" priority="1276" operator="lessThan">
      <formula>0</formula>
    </cfRule>
  </conditionalFormatting>
  <conditionalFormatting sqref="R109:R116">
    <cfRule type="cellIs" dxfId="12398" priority="1274" operator="lessThan">
      <formula>0.8</formula>
    </cfRule>
    <cfRule type="cellIs" dxfId="12397" priority="1275" operator="greaterThan">
      <formula>1</formula>
    </cfRule>
  </conditionalFormatting>
  <conditionalFormatting sqref="R109:R116">
    <cfRule type="cellIs" dxfId="12396" priority="1272" operator="greaterThan">
      <formula>1</formula>
    </cfRule>
    <cfRule type="cellIs" dxfId="12395" priority="1273" operator="lessThan">
      <formula>0.8</formula>
    </cfRule>
  </conditionalFormatting>
  <conditionalFormatting sqref="P109:P116">
    <cfRule type="cellIs" dxfId="12394" priority="1271" operator="greaterThan">
      <formula>0</formula>
    </cfRule>
  </conditionalFormatting>
  <conditionalFormatting sqref="Q130">
    <cfRule type="cellIs" dxfId="12393" priority="1270" operator="lessThan">
      <formula>0</formula>
    </cfRule>
  </conditionalFormatting>
  <conditionalFormatting sqref="R130">
    <cfRule type="cellIs" dxfId="12392" priority="1268" operator="lessThan">
      <formula>0.8</formula>
    </cfRule>
    <cfRule type="cellIs" dxfId="12391" priority="1269" operator="greaterThan">
      <formula>1</formula>
    </cfRule>
  </conditionalFormatting>
  <conditionalFormatting sqref="R130">
    <cfRule type="cellIs" dxfId="12390" priority="1266" operator="greaterThan">
      <formula>1</formula>
    </cfRule>
    <cfRule type="cellIs" dxfId="12389" priority="1267" operator="lessThan">
      <formula>0.8</formula>
    </cfRule>
  </conditionalFormatting>
  <conditionalFormatting sqref="P130">
    <cfRule type="cellIs" dxfId="12388" priority="1265" operator="greaterThan">
      <formula>0</formula>
    </cfRule>
  </conditionalFormatting>
  <conditionalFormatting sqref="R130">
    <cfRule type="cellIs" dxfId="12387" priority="1262" operator="lessThan">
      <formula>0.8</formula>
    </cfRule>
    <cfRule type="cellIs" dxfId="12386" priority="1263" operator="greaterThan">
      <formula>1</formula>
    </cfRule>
  </conditionalFormatting>
  <conditionalFormatting sqref="R130">
    <cfRule type="cellIs" dxfId="12385" priority="1260" operator="greaterThan">
      <formula>1</formula>
    </cfRule>
    <cfRule type="cellIs" dxfId="12384" priority="1261" operator="lessThan">
      <formula>0.8</formula>
    </cfRule>
  </conditionalFormatting>
  <conditionalFormatting sqref="P130">
    <cfRule type="cellIs" dxfId="12383" priority="1259" operator="greaterThan">
      <formula>0</formula>
    </cfRule>
  </conditionalFormatting>
  <conditionalFormatting sqref="Q130">
    <cfRule type="cellIs" dxfId="12382" priority="1264" operator="lessThan">
      <formula>0</formula>
    </cfRule>
  </conditionalFormatting>
  <conditionalFormatting sqref="R130">
    <cfRule type="cellIs" dxfId="12381" priority="1256" operator="lessThan">
      <formula>0.8</formula>
    </cfRule>
    <cfRule type="cellIs" dxfId="12380" priority="1257" operator="greaterThan">
      <formula>1</formula>
    </cfRule>
  </conditionalFormatting>
  <conditionalFormatting sqref="R130">
    <cfRule type="cellIs" dxfId="12379" priority="1254" operator="greaterThan">
      <formula>1</formula>
    </cfRule>
    <cfRule type="cellIs" dxfId="12378" priority="1255" operator="lessThan">
      <formula>0.8</formula>
    </cfRule>
  </conditionalFormatting>
  <conditionalFormatting sqref="P130">
    <cfRule type="cellIs" dxfId="12377" priority="1253" operator="greaterThan">
      <formula>0</formula>
    </cfRule>
  </conditionalFormatting>
  <conditionalFormatting sqref="Q130">
    <cfRule type="cellIs" dxfId="12376" priority="1258" operator="lessThan">
      <formula>0</formula>
    </cfRule>
  </conditionalFormatting>
  <conditionalFormatting sqref="Q130">
    <cfRule type="cellIs" dxfId="12375" priority="1252" operator="lessThan">
      <formula>0</formula>
    </cfRule>
  </conditionalFormatting>
  <conditionalFormatting sqref="R130">
    <cfRule type="cellIs" dxfId="12374" priority="1250" operator="lessThan">
      <formula>0.8</formula>
    </cfRule>
    <cfRule type="cellIs" dxfId="12373" priority="1251" operator="greaterThan">
      <formula>1</formula>
    </cfRule>
  </conditionalFormatting>
  <conditionalFormatting sqref="R130">
    <cfRule type="cellIs" dxfId="12372" priority="1248" operator="greaterThan">
      <formula>1</formula>
    </cfRule>
    <cfRule type="cellIs" dxfId="12371" priority="1249" operator="lessThan">
      <formula>0.8</formula>
    </cfRule>
  </conditionalFormatting>
  <conditionalFormatting sqref="P130">
    <cfRule type="cellIs" dxfId="12370" priority="1247" operator="greaterThan">
      <formula>0</formula>
    </cfRule>
  </conditionalFormatting>
  <conditionalFormatting sqref="R130">
    <cfRule type="cellIs" dxfId="12369" priority="1244" operator="lessThan">
      <formula>0.8</formula>
    </cfRule>
    <cfRule type="cellIs" dxfId="12368" priority="1245" operator="greaterThan">
      <formula>1</formula>
    </cfRule>
  </conditionalFormatting>
  <conditionalFormatting sqref="R130">
    <cfRule type="cellIs" dxfId="12367" priority="1242" operator="greaterThan">
      <formula>1</formula>
    </cfRule>
    <cfRule type="cellIs" dxfId="12366" priority="1243" operator="lessThan">
      <formula>0.8</formula>
    </cfRule>
  </conditionalFormatting>
  <conditionalFormatting sqref="P130">
    <cfRule type="cellIs" dxfId="12365" priority="1241" operator="greaterThan">
      <formula>0</formula>
    </cfRule>
  </conditionalFormatting>
  <conditionalFormatting sqref="Q130">
    <cfRule type="cellIs" dxfId="12364" priority="1246" operator="lessThan">
      <formula>0</formula>
    </cfRule>
  </conditionalFormatting>
  <conditionalFormatting sqref="Q130">
    <cfRule type="cellIs" dxfId="12363" priority="1240" operator="lessThan">
      <formula>0</formula>
    </cfRule>
  </conditionalFormatting>
  <conditionalFormatting sqref="R130">
    <cfRule type="cellIs" dxfId="12362" priority="1238" operator="lessThan">
      <formula>0.8</formula>
    </cfRule>
    <cfRule type="cellIs" dxfId="12361" priority="1239" operator="greaterThan">
      <formula>1</formula>
    </cfRule>
  </conditionalFormatting>
  <conditionalFormatting sqref="R130">
    <cfRule type="cellIs" dxfId="12360" priority="1236" operator="greaterThan">
      <formula>1</formula>
    </cfRule>
    <cfRule type="cellIs" dxfId="12359" priority="1237" operator="lessThan">
      <formula>0.8</formula>
    </cfRule>
  </conditionalFormatting>
  <conditionalFormatting sqref="P130">
    <cfRule type="cellIs" dxfId="12358" priority="1235" operator="greaterThan">
      <formula>0</formula>
    </cfRule>
  </conditionalFormatting>
  <conditionalFormatting sqref="Q130">
    <cfRule type="cellIs" dxfId="12357" priority="1229" operator="lessThan">
      <formula>0</formula>
    </cfRule>
  </conditionalFormatting>
  <conditionalFormatting sqref="R130">
    <cfRule type="cellIs" dxfId="12356" priority="1233" operator="lessThan">
      <formula>0.8</formula>
    </cfRule>
    <cfRule type="cellIs" dxfId="12355" priority="1234" operator="greaterThan">
      <formula>1</formula>
    </cfRule>
  </conditionalFormatting>
  <conditionalFormatting sqref="R130">
    <cfRule type="cellIs" dxfId="12354" priority="1231" operator="greaterThan">
      <formula>1</formula>
    </cfRule>
    <cfRule type="cellIs" dxfId="12353" priority="1232" operator="lessThan">
      <formula>0.8</formula>
    </cfRule>
  </conditionalFormatting>
  <conditionalFormatting sqref="P130">
    <cfRule type="cellIs" dxfId="12352" priority="1230" operator="greaterThan">
      <formula>0</formula>
    </cfRule>
  </conditionalFormatting>
  <conditionalFormatting sqref="Q130">
    <cfRule type="cellIs" dxfId="12351" priority="1228" operator="lessThan">
      <formula>0</formula>
    </cfRule>
  </conditionalFormatting>
  <conditionalFormatting sqref="R130">
    <cfRule type="cellIs" dxfId="12350" priority="1226" operator="lessThan">
      <formula>0.8</formula>
    </cfRule>
    <cfRule type="cellIs" dxfId="12349" priority="1227" operator="greaterThan">
      <formula>1</formula>
    </cfRule>
  </conditionalFormatting>
  <conditionalFormatting sqref="R130">
    <cfRule type="cellIs" dxfId="12348" priority="1224" operator="greaterThan">
      <formula>1</formula>
    </cfRule>
    <cfRule type="cellIs" dxfId="12347" priority="1225" operator="lessThan">
      <formula>0.8</formula>
    </cfRule>
  </conditionalFormatting>
  <conditionalFormatting sqref="P130">
    <cfRule type="cellIs" dxfId="12346" priority="1223" operator="greaterThan">
      <formula>0</formula>
    </cfRule>
  </conditionalFormatting>
  <conditionalFormatting sqref="Q130">
    <cfRule type="cellIs" dxfId="12345" priority="1222" operator="lessThan">
      <formula>0</formula>
    </cfRule>
  </conditionalFormatting>
  <conditionalFormatting sqref="R130">
    <cfRule type="cellIs" dxfId="12344" priority="1220" operator="lessThan">
      <formula>0.8</formula>
    </cfRule>
    <cfRule type="cellIs" dxfId="12343" priority="1221" operator="greaterThan">
      <formula>1</formula>
    </cfRule>
  </conditionalFormatting>
  <conditionalFormatting sqref="R130">
    <cfRule type="cellIs" dxfId="12342" priority="1218" operator="greaterThan">
      <formula>1</formula>
    </cfRule>
    <cfRule type="cellIs" dxfId="12341" priority="1219" operator="lessThan">
      <formula>0.8</formula>
    </cfRule>
  </conditionalFormatting>
  <conditionalFormatting sqref="P130">
    <cfRule type="cellIs" dxfId="12340" priority="1217" operator="greaterThan">
      <formula>0</formula>
    </cfRule>
  </conditionalFormatting>
  <conditionalFormatting sqref="Q130">
    <cfRule type="cellIs" dxfId="12339" priority="1216" operator="lessThan">
      <formula>0</formula>
    </cfRule>
  </conditionalFormatting>
  <conditionalFormatting sqref="R130">
    <cfRule type="cellIs" dxfId="12338" priority="1214" operator="lessThan">
      <formula>0.8</formula>
    </cfRule>
    <cfRule type="cellIs" dxfId="12337" priority="1215" operator="greaterThan">
      <formula>1</formula>
    </cfRule>
  </conditionalFormatting>
  <conditionalFormatting sqref="R130">
    <cfRule type="cellIs" dxfId="12336" priority="1212" operator="greaterThan">
      <formula>1</formula>
    </cfRule>
    <cfRule type="cellIs" dxfId="12335" priority="1213" operator="lessThan">
      <formula>0.8</formula>
    </cfRule>
  </conditionalFormatting>
  <conditionalFormatting sqref="P130">
    <cfRule type="cellIs" dxfId="12334" priority="1211" operator="greaterThan">
      <formula>0</formula>
    </cfRule>
  </conditionalFormatting>
  <conditionalFormatting sqref="Q130">
    <cfRule type="cellIs" dxfId="12333" priority="1210" operator="lessThan">
      <formula>0</formula>
    </cfRule>
  </conditionalFormatting>
  <conditionalFormatting sqref="R130">
    <cfRule type="cellIs" dxfId="12332" priority="1208" operator="lessThan">
      <formula>0.8</formula>
    </cfRule>
    <cfRule type="cellIs" dxfId="12331" priority="1209" operator="greaterThan">
      <formula>1</formula>
    </cfRule>
  </conditionalFormatting>
  <conditionalFormatting sqref="R130">
    <cfRule type="cellIs" dxfId="12330" priority="1206" operator="greaterThan">
      <formula>1</formula>
    </cfRule>
    <cfRule type="cellIs" dxfId="12329" priority="1207" operator="lessThan">
      <formula>0.8</formula>
    </cfRule>
  </conditionalFormatting>
  <conditionalFormatting sqref="P130">
    <cfRule type="cellIs" dxfId="12328" priority="1205" operator="greaterThan">
      <formula>0</formula>
    </cfRule>
  </conditionalFormatting>
  <conditionalFormatting sqref="Q130">
    <cfRule type="cellIs" dxfId="12327" priority="1204" operator="lessThan">
      <formula>0</formula>
    </cfRule>
  </conditionalFormatting>
  <conditionalFormatting sqref="R130">
    <cfRule type="cellIs" dxfId="12326" priority="1202" operator="lessThan">
      <formula>0.8</formula>
    </cfRule>
    <cfRule type="cellIs" dxfId="12325" priority="1203" operator="greaterThan">
      <formula>1</formula>
    </cfRule>
  </conditionalFormatting>
  <conditionalFormatting sqref="R130">
    <cfRule type="cellIs" dxfId="12324" priority="1200" operator="greaterThan">
      <formula>1</formula>
    </cfRule>
    <cfRule type="cellIs" dxfId="12323" priority="1201" operator="lessThan">
      <formula>0.8</formula>
    </cfRule>
  </conditionalFormatting>
  <conditionalFormatting sqref="P130">
    <cfRule type="cellIs" dxfId="12322" priority="1199" operator="greaterThan">
      <formula>0</formula>
    </cfRule>
  </conditionalFormatting>
  <conditionalFormatting sqref="P130">
    <cfRule type="cellIs" dxfId="12321" priority="1193" operator="greaterThan">
      <formula>0</formula>
    </cfRule>
  </conditionalFormatting>
  <conditionalFormatting sqref="Q130">
    <cfRule type="cellIs" dxfId="12320" priority="1198" operator="lessThan">
      <formula>0</formula>
    </cfRule>
  </conditionalFormatting>
  <conditionalFormatting sqref="R130">
    <cfRule type="cellIs" dxfId="12319" priority="1196" operator="lessThan">
      <formula>0.8</formula>
    </cfRule>
    <cfRule type="cellIs" dxfId="12318" priority="1197" operator="greaterThan">
      <formula>1</formula>
    </cfRule>
  </conditionalFormatting>
  <conditionalFormatting sqref="R130">
    <cfRule type="cellIs" dxfId="12317" priority="1194" operator="greaterThan">
      <formula>1</formula>
    </cfRule>
    <cfRule type="cellIs" dxfId="12316" priority="1195" operator="lessThan">
      <formula>0.8</formula>
    </cfRule>
  </conditionalFormatting>
  <conditionalFormatting sqref="P130">
    <cfRule type="cellIs" dxfId="12315" priority="1187" operator="greaterThan">
      <formula>0</formula>
    </cfRule>
  </conditionalFormatting>
  <conditionalFormatting sqref="Q130">
    <cfRule type="cellIs" dxfId="12314" priority="1192" operator="lessThan">
      <formula>0</formula>
    </cfRule>
  </conditionalFormatting>
  <conditionalFormatting sqref="R130">
    <cfRule type="cellIs" dxfId="12313" priority="1190" operator="lessThan">
      <formula>0.8</formula>
    </cfRule>
    <cfRule type="cellIs" dxfId="12312" priority="1191" operator="greaterThan">
      <formula>1</formula>
    </cfRule>
  </conditionalFormatting>
  <conditionalFormatting sqref="R130">
    <cfRule type="cellIs" dxfId="12311" priority="1188" operator="greaterThan">
      <formula>1</formula>
    </cfRule>
    <cfRule type="cellIs" dxfId="12310" priority="1189" operator="lessThan">
      <formula>0.8</formula>
    </cfRule>
  </conditionalFormatting>
  <conditionalFormatting sqref="R130">
    <cfRule type="cellIs" dxfId="12309" priority="1184" operator="lessThan">
      <formula>0.8</formula>
    </cfRule>
    <cfRule type="cellIs" dxfId="12308" priority="1185" operator="greaterThan">
      <formula>1</formula>
    </cfRule>
  </conditionalFormatting>
  <conditionalFormatting sqref="R130">
    <cfRule type="cellIs" dxfId="12307" priority="1182" operator="greaterThan">
      <formula>1</formula>
    </cfRule>
    <cfRule type="cellIs" dxfId="12306" priority="1183" operator="lessThan">
      <formula>0.8</formula>
    </cfRule>
  </conditionalFormatting>
  <conditionalFormatting sqref="P130">
    <cfRule type="cellIs" dxfId="12305" priority="1181" operator="greaterThan">
      <formula>0</formula>
    </cfRule>
  </conditionalFormatting>
  <conditionalFormatting sqref="Q130">
    <cfRule type="cellIs" dxfId="12304" priority="1186" operator="lessThan">
      <formula>0</formula>
    </cfRule>
  </conditionalFormatting>
  <conditionalFormatting sqref="Q130">
    <cfRule type="cellIs" dxfId="12303" priority="1175" operator="lessThan">
      <formula>0</formula>
    </cfRule>
  </conditionalFormatting>
  <conditionalFormatting sqref="P130">
    <cfRule type="cellIs" dxfId="12302" priority="1176" operator="greaterThan">
      <formula>0</formula>
    </cfRule>
  </conditionalFormatting>
  <conditionalFormatting sqref="R130">
    <cfRule type="cellIs" dxfId="12301" priority="1179" operator="lessThan">
      <formula>0.8</formula>
    </cfRule>
    <cfRule type="cellIs" dxfId="12300" priority="1180" operator="greaterThan">
      <formula>1</formula>
    </cfRule>
  </conditionalFormatting>
  <conditionalFormatting sqref="R130">
    <cfRule type="cellIs" dxfId="12299" priority="1177" operator="greaterThan">
      <formula>1</formula>
    </cfRule>
    <cfRule type="cellIs" dxfId="12298" priority="1178" operator="lessThan">
      <formula>0.8</formula>
    </cfRule>
  </conditionalFormatting>
  <conditionalFormatting sqref="Q130">
    <cfRule type="cellIs" dxfId="12297" priority="1169" operator="lessThan">
      <formula>0</formula>
    </cfRule>
  </conditionalFormatting>
  <conditionalFormatting sqref="R130">
    <cfRule type="cellIs" dxfId="12296" priority="1173" operator="lessThan">
      <formula>0.8</formula>
    </cfRule>
    <cfRule type="cellIs" dxfId="12295" priority="1174" operator="greaterThan">
      <formula>1</formula>
    </cfRule>
  </conditionalFormatting>
  <conditionalFormatting sqref="R130">
    <cfRule type="cellIs" dxfId="12294" priority="1171" operator="greaterThan">
      <formula>1</formula>
    </cfRule>
    <cfRule type="cellIs" dxfId="12293" priority="1172" operator="lessThan">
      <formula>0.8</formula>
    </cfRule>
  </conditionalFormatting>
  <conditionalFormatting sqref="P130">
    <cfRule type="cellIs" dxfId="12292" priority="1170" operator="greaterThan">
      <formula>0</formula>
    </cfRule>
  </conditionalFormatting>
  <conditionalFormatting sqref="Q130">
    <cfRule type="cellIs" dxfId="12291" priority="1168" operator="lessThan">
      <formula>0</formula>
    </cfRule>
  </conditionalFormatting>
  <conditionalFormatting sqref="R130">
    <cfRule type="cellIs" dxfId="12290" priority="1166" operator="lessThan">
      <formula>0.8</formula>
    </cfRule>
    <cfRule type="cellIs" dxfId="12289" priority="1167" operator="greaterThan">
      <formula>1</formula>
    </cfRule>
  </conditionalFormatting>
  <conditionalFormatting sqref="R130">
    <cfRule type="cellIs" dxfId="12288" priority="1164" operator="greaterThan">
      <formula>1</formula>
    </cfRule>
    <cfRule type="cellIs" dxfId="12287" priority="1165" operator="lessThan">
      <formula>0.8</formula>
    </cfRule>
  </conditionalFormatting>
  <conditionalFormatting sqref="P130">
    <cfRule type="cellIs" dxfId="12286" priority="1163" operator="greaterThan">
      <formula>0</formula>
    </cfRule>
  </conditionalFormatting>
  <conditionalFormatting sqref="Q130">
    <cfRule type="cellIs" dxfId="12285" priority="1162" operator="lessThan">
      <formula>0</formula>
    </cfRule>
  </conditionalFormatting>
  <conditionalFormatting sqref="R130">
    <cfRule type="cellIs" dxfId="12284" priority="1160" operator="lessThan">
      <formula>0.8</formula>
    </cfRule>
    <cfRule type="cellIs" dxfId="12283" priority="1161" operator="greaterThan">
      <formula>1</formula>
    </cfRule>
  </conditionalFormatting>
  <conditionalFormatting sqref="R130">
    <cfRule type="cellIs" dxfId="12282" priority="1158" operator="greaterThan">
      <formula>1</formula>
    </cfRule>
    <cfRule type="cellIs" dxfId="12281" priority="1159" operator="lessThan">
      <formula>0.8</formula>
    </cfRule>
  </conditionalFormatting>
  <conditionalFormatting sqref="P130">
    <cfRule type="cellIs" dxfId="12280" priority="1157" operator="greaterThan">
      <formula>0</formula>
    </cfRule>
  </conditionalFormatting>
  <conditionalFormatting sqref="Q130">
    <cfRule type="cellIs" dxfId="12279" priority="1151" operator="lessThan">
      <formula>0</formula>
    </cfRule>
  </conditionalFormatting>
  <conditionalFormatting sqref="P130">
    <cfRule type="cellIs" dxfId="12278" priority="1152" operator="greaterThan">
      <formula>0</formula>
    </cfRule>
  </conditionalFormatting>
  <conditionalFormatting sqref="R130">
    <cfRule type="cellIs" dxfId="12277" priority="1155" operator="lessThan">
      <formula>0.8</formula>
    </cfRule>
    <cfRule type="cellIs" dxfId="12276" priority="1156" operator="greaterThan">
      <formula>1</formula>
    </cfRule>
  </conditionalFormatting>
  <conditionalFormatting sqref="R130">
    <cfRule type="cellIs" dxfId="12275" priority="1153" operator="greaterThan">
      <formula>1</formula>
    </cfRule>
    <cfRule type="cellIs" dxfId="12274" priority="1154" operator="lessThan">
      <formula>0.8</formula>
    </cfRule>
  </conditionalFormatting>
  <conditionalFormatting sqref="Q130">
    <cfRule type="cellIs" dxfId="12273" priority="1145" operator="lessThan">
      <formula>0</formula>
    </cfRule>
  </conditionalFormatting>
  <conditionalFormatting sqref="R130">
    <cfRule type="cellIs" dxfId="12272" priority="1149" operator="lessThan">
      <formula>0.8</formula>
    </cfRule>
    <cfRule type="cellIs" dxfId="12271" priority="1150" operator="greaterThan">
      <formula>1</formula>
    </cfRule>
  </conditionalFormatting>
  <conditionalFormatting sqref="R130">
    <cfRule type="cellIs" dxfId="12270" priority="1147" operator="greaterThan">
      <formula>1</formula>
    </cfRule>
    <cfRule type="cellIs" dxfId="12269" priority="1148" operator="lessThan">
      <formula>0.8</formula>
    </cfRule>
  </conditionalFormatting>
  <conditionalFormatting sqref="P130">
    <cfRule type="cellIs" dxfId="12268" priority="1146" operator="greaterThan">
      <formula>0</formula>
    </cfRule>
  </conditionalFormatting>
  <conditionalFormatting sqref="Q130">
    <cfRule type="cellIs" dxfId="12267" priority="1144" operator="lessThan">
      <formula>0</formula>
    </cfRule>
  </conditionalFormatting>
  <conditionalFormatting sqref="R130">
    <cfRule type="cellIs" dxfId="12266" priority="1142" operator="lessThan">
      <formula>0.8</formula>
    </cfRule>
    <cfRule type="cellIs" dxfId="12265" priority="1143" operator="greaterThan">
      <formula>1</formula>
    </cfRule>
  </conditionalFormatting>
  <conditionalFormatting sqref="R130">
    <cfRule type="cellIs" dxfId="12264" priority="1140" operator="greaterThan">
      <formula>1</formula>
    </cfRule>
    <cfRule type="cellIs" dxfId="12263" priority="1141" operator="lessThan">
      <formula>0.8</formula>
    </cfRule>
  </conditionalFormatting>
  <conditionalFormatting sqref="P130">
    <cfRule type="cellIs" dxfId="12262" priority="1139" operator="greaterThan">
      <formula>0</formula>
    </cfRule>
  </conditionalFormatting>
  <conditionalFormatting sqref="Q130">
    <cfRule type="cellIs" dxfId="12261" priority="1138" operator="lessThan">
      <formula>0</formula>
    </cfRule>
  </conditionalFormatting>
  <conditionalFormatting sqref="R130">
    <cfRule type="cellIs" dxfId="12260" priority="1136" operator="lessThan">
      <formula>0.8</formula>
    </cfRule>
    <cfRule type="cellIs" dxfId="12259" priority="1137" operator="greaterThan">
      <formula>1</formula>
    </cfRule>
  </conditionalFormatting>
  <conditionalFormatting sqref="R130">
    <cfRule type="cellIs" dxfId="12258" priority="1134" operator="greaterThan">
      <formula>1</formula>
    </cfRule>
    <cfRule type="cellIs" dxfId="12257" priority="1135" operator="lessThan">
      <formula>0.8</formula>
    </cfRule>
  </conditionalFormatting>
  <conditionalFormatting sqref="P130">
    <cfRule type="cellIs" dxfId="12256" priority="1133" operator="greaterThan">
      <formula>0</formula>
    </cfRule>
  </conditionalFormatting>
  <conditionalFormatting sqref="P130">
    <cfRule type="cellIs" dxfId="12255" priority="1127" operator="greaterThan">
      <formula>0</formula>
    </cfRule>
  </conditionalFormatting>
  <conditionalFormatting sqref="Q130">
    <cfRule type="cellIs" dxfId="12254" priority="1132" operator="lessThan">
      <formula>0</formula>
    </cfRule>
  </conditionalFormatting>
  <conditionalFormatting sqref="R130">
    <cfRule type="cellIs" dxfId="12253" priority="1130" operator="lessThan">
      <formula>0.8</formula>
    </cfRule>
    <cfRule type="cellIs" dxfId="12252" priority="1131" operator="greaterThan">
      <formula>1</formula>
    </cfRule>
  </conditionalFormatting>
  <conditionalFormatting sqref="R130">
    <cfRule type="cellIs" dxfId="12251" priority="1128" operator="greaterThan">
      <formula>1</formula>
    </cfRule>
    <cfRule type="cellIs" dxfId="12250" priority="1129" operator="lessThan">
      <formula>0.8</formula>
    </cfRule>
  </conditionalFormatting>
  <conditionalFormatting sqref="P130">
    <cfRule type="cellIs" dxfId="12249" priority="1121" operator="greaterThan">
      <formula>0</formula>
    </cfRule>
  </conditionalFormatting>
  <conditionalFormatting sqref="Q130">
    <cfRule type="cellIs" dxfId="12248" priority="1126" operator="lessThan">
      <formula>0</formula>
    </cfRule>
  </conditionalFormatting>
  <conditionalFormatting sqref="R130">
    <cfRule type="cellIs" dxfId="12247" priority="1124" operator="lessThan">
      <formula>0.8</formula>
    </cfRule>
    <cfRule type="cellIs" dxfId="12246" priority="1125" operator="greaterThan">
      <formula>1</formula>
    </cfRule>
  </conditionalFormatting>
  <conditionalFormatting sqref="R130">
    <cfRule type="cellIs" dxfId="12245" priority="1122" operator="greaterThan">
      <formula>1</formula>
    </cfRule>
    <cfRule type="cellIs" dxfId="12244" priority="1123" operator="lessThan">
      <formula>0.8</formula>
    </cfRule>
  </conditionalFormatting>
  <conditionalFormatting sqref="Q130">
    <cfRule type="cellIs" dxfId="12243" priority="1115" operator="lessThan">
      <formula>0</formula>
    </cfRule>
  </conditionalFormatting>
  <conditionalFormatting sqref="R130">
    <cfRule type="cellIs" dxfId="12242" priority="1119" operator="lessThan">
      <formula>0.8</formula>
    </cfRule>
    <cfRule type="cellIs" dxfId="12241" priority="1120" operator="greaterThan">
      <formula>1</formula>
    </cfRule>
  </conditionalFormatting>
  <conditionalFormatting sqref="R130">
    <cfRule type="cellIs" dxfId="12240" priority="1117" operator="greaterThan">
      <formula>1</formula>
    </cfRule>
    <cfRule type="cellIs" dxfId="12239" priority="1118" operator="lessThan">
      <formula>0.8</formula>
    </cfRule>
  </conditionalFormatting>
  <conditionalFormatting sqref="P130">
    <cfRule type="cellIs" dxfId="12238" priority="1116" operator="greaterThan">
      <formula>0</formula>
    </cfRule>
  </conditionalFormatting>
  <conditionalFormatting sqref="Q130">
    <cfRule type="cellIs" dxfId="12237" priority="1114" operator="lessThan">
      <formula>0</formula>
    </cfRule>
  </conditionalFormatting>
  <conditionalFormatting sqref="R130">
    <cfRule type="cellIs" dxfId="12236" priority="1112" operator="lessThan">
      <formula>0.8</formula>
    </cfRule>
    <cfRule type="cellIs" dxfId="12235" priority="1113" operator="greaterThan">
      <formula>1</formula>
    </cfRule>
  </conditionalFormatting>
  <conditionalFormatting sqref="R130">
    <cfRule type="cellIs" dxfId="12234" priority="1110" operator="greaterThan">
      <formula>1</formula>
    </cfRule>
    <cfRule type="cellIs" dxfId="12233" priority="1111" operator="lessThan">
      <formula>0.8</formula>
    </cfRule>
  </conditionalFormatting>
  <conditionalFormatting sqref="P130">
    <cfRule type="cellIs" dxfId="12232" priority="1109" operator="greaterThan">
      <formula>0</formula>
    </cfRule>
  </conditionalFormatting>
  <conditionalFormatting sqref="Q130">
    <cfRule type="cellIs" dxfId="12231" priority="1108" operator="lessThan">
      <formula>0</formula>
    </cfRule>
  </conditionalFormatting>
  <conditionalFormatting sqref="R130">
    <cfRule type="cellIs" dxfId="12230" priority="1106" operator="lessThan">
      <formula>0.8</formula>
    </cfRule>
    <cfRule type="cellIs" dxfId="12229" priority="1107" operator="greaterThan">
      <formula>1</formula>
    </cfRule>
  </conditionalFormatting>
  <conditionalFormatting sqref="R130">
    <cfRule type="cellIs" dxfId="12228" priority="1104" operator="greaterThan">
      <formula>1</formula>
    </cfRule>
    <cfRule type="cellIs" dxfId="12227" priority="1105" operator="lessThan">
      <formula>0.8</formula>
    </cfRule>
  </conditionalFormatting>
  <conditionalFormatting sqref="P130">
    <cfRule type="cellIs" dxfId="12226" priority="1103" operator="greaterThan">
      <formula>0</formula>
    </cfRule>
  </conditionalFormatting>
  <conditionalFormatting sqref="Q130">
    <cfRule type="cellIs" dxfId="12225" priority="1102" operator="lessThan">
      <formula>0</formula>
    </cfRule>
  </conditionalFormatting>
  <conditionalFormatting sqref="R130">
    <cfRule type="cellIs" dxfId="12224" priority="1100" operator="lessThan">
      <formula>0.8</formula>
    </cfRule>
    <cfRule type="cellIs" dxfId="12223" priority="1101" operator="greaterThan">
      <formula>1</formula>
    </cfRule>
  </conditionalFormatting>
  <conditionalFormatting sqref="R130">
    <cfRule type="cellIs" dxfId="12222" priority="1098" operator="greaterThan">
      <formula>1</formula>
    </cfRule>
    <cfRule type="cellIs" dxfId="12221" priority="1099" operator="lessThan">
      <formula>0.8</formula>
    </cfRule>
  </conditionalFormatting>
  <conditionalFormatting sqref="P130">
    <cfRule type="cellIs" dxfId="12220" priority="1097" operator="greaterThan">
      <formula>0</formula>
    </cfRule>
  </conditionalFormatting>
  <conditionalFormatting sqref="Q130">
    <cfRule type="cellIs" dxfId="12219" priority="1096" operator="lessThan">
      <formula>0</formula>
    </cfRule>
  </conditionalFormatting>
  <conditionalFormatting sqref="R130">
    <cfRule type="cellIs" dxfId="12218" priority="1094" operator="lessThan">
      <formula>0.8</formula>
    </cfRule>
    <cfRule type="cellIs" dxfId="12217" priority="1095" operator="greaterThan">
      <formula>1</formula>
    </cfRule>
  </conditionalFormatting>
  <conditionalFormatting sqref="R130">
    <cfRule type="cellIs" dxfId="12216" priority="1092" operator="greaterThan">
      <formula>1</formula>
    </cfRule>
    <cfRule type="cellIs" dxfId="12215" priority="1093" operator="lessThan">
      <formula>0.8</formula>
    </cfRule>
  </conditionalFormatting>
  <conditionalFormatting sqref="P130">
    <cfRule type="cellIs" dxfId="12214" priority="1091" operator="greaterThan">
      <formula>0</formula>
    </cfRule>
  </conditionalFormatting>
  <conditionalFormatting sqref="Q130">
    <cfRule type="cellIs" dxfId="12213" priority="1090" operator="lessThan">
      <formula>0</formula>
    </cfRule>
  </conditionalFormatting>
  <conditionalFormatting sqref="R130">
    <cfRule type="cellIs" dxfId="12212" priority="1088" operator="lessThan">
      <formula>0.8</formula>
    </cfRule>
    <cfRule type="cellIs" dxfId="12211" priority="1089" operator="greaterThan">
      <formula>1</formula>
    </cfRule>
  </conditionalFormatting>
  <conditionalFormatting sqref="R130">
    <cfRule type="cellIs" dxfId="12210" priority="1086" operator="greaterThan">
      <formula>1</formula>
    </cfRule>
    <cfRule type="cellIs" dxfId="12209" priority="1087" operator="lessThan">
      <formula>0.8</formula>
    </cfRule>
  </conditionalFormatting>
  <conditionalFormatting sqref="P130">
    <cfRule type="cellIs" dxfId="12208" priority="1085" operator="greaterThan">
      <formula>0</formula>
    </cfRule>
  </conditionalFormatting>
  <conditionalFormatting sqref="P130">
    <cfRule type="cellIs" dxfId="12207" priority="1079" operator="greaterThan">
      <formula>0</formula>
    </cfRule>
  </conditionalFormatting>
  <conditionalFormatting sqref="Q130">
    <cfRule type="cellIs" dxfId="12206" priority="1084" operator="lessThan">
      <formula>0</formula>
    </cfRule>
  </conditionalFormatting>
  <conditionalFormatting sqref="R130">
    <cfRule type="cellIs" dxfId="12205" priority="1082" operator="lessThan">
      <formula>0.8</formula>
    </cfRule>
    <cfRule type="cellIs" dxfId="12204" priority="1083" operator="greaterThan">
      <formula>1</formula>
    </cfRule>
  </conditionalFormatting>
  <conditionalFormatting sqref="R130">
    <cfRule type="cellIs" dxfId="12203" priority="1080" operator="greaterThan">
      <formula>1</formula>
    </cfRule>
    <cfRule type="cellIs" dxfId="12202" priority="1081" operator="lessThan">
      <formula>0.8</formula>
    </cfRule>
  </conditionalFormatting>
  <conditionalFormatting sqref="P130">
    <cfRule type="cellIs" dxfId="12201" priority="1073" operator="greaterThan">
      <formula>0</formula>
    </cfRule>
  </conditionalFormatting>
  <conditionalFormatting sqref="Q130">
    <cfRule type="cellIs" dxfId="12200" priority="1078" operator="lessThan">
      <formula>0</formula>
    </cfRule>
  </conditionalFormatting>
  <conditionalFormatting sqref="R130">
    <cfRule type="cellIs" dxfId="12199" priority="1076" operator="lessThan">
      <formula>0.8</formula>
    </cfRule>
    <cfRule type="cellIs" dxfId="12198" priority="1077" operator="greaterThan">
      <formula>1</formula>
    </cfRule>
  </conditionalFormatting>
  <conditionalFormatting sqref="R130">
    <cfRule type="cellIs" dxfId="12197" priority="1074" operator="greaterThan">
      <formula>1</formula>
    </cfRule>
    <cfRule type="cellIs" dxfId="12196" priority="1075" operator="lessThan">
      <formula>0.8</formula>
    </cfRule>
  </conditionalFormatting>
  <conditionalFormatting sqref="R130">
    <cfRule type="cellIs" dxfId="12195" priority="1070" operator="lessThan">
      <formula>0.8</formula>
    </cfRule>
    <cfRule type="cellIs" dxfId="12194" priority="1071" operator="greaterThan">
      <formula>1</formula>
    </cfRule>
  </conditionalFormatting>
  <conditionalFormatting sqref="R130">
    <cfRule type="cellIs" dxfId="12193" priority="1068" operator="greaterThan">
      <formula>1</formula>
    </cfRule>
    <cfRule type="cellIs" dxfId="12192" priority="1069" operator="lessThan">
      <formula>0.8</formula>
    </cfRule>
  </conditionalFormatting>
  <conditionalFormatting sqref="P130">
    <cfRule type="cellIs" dxfId="12191" priority="1067" operator="greaterThan">
      <formula>0</formula>
    </cfRule>
  </conditionalFormatting>
  <conditionalFormatting sqref="Q130">
    <cfRule type="cellIs" dxfId="12190" priority="1072" operator="lessThan">
      <formula>0</formula>
    </cfRule>
  </conditionalFormatting>
  <conditionalFormatting sqref="Q130">
    <cfRule type="cellIs" dxfId="12189" priority="1061" operator="lessThan">
      <formula>0</formula>
    </cfRule>
  </conditionalFormatting>
  <conditionalFormatting sqref="P130">
    <cfRule type="cellIs" dxfId="12188" priority="1062" operator="greaterThan">
      <formula>0</formula>
    </cfRule>
  </conditionalFormatting>
  <conditionalFormatting sqref="R130">
    <cfRule type="cellIs" dxfId="12187" priority="1065" operator="lessThan">
      <formula>0.8</formula>
    </cfRule>
    <cfRule type="cellIs" dxfId="12186" priority="1066" operator="greaterThan">
      <formula>1</formula>
    </cfRule>
  </conditionalFormatting>
  <conditionalFormatting sqref="R130">
    <cfRule type="cellIs" dxfId="12185" priority="1063" operator="greaterThan">
      <formula>1</formula>
    </cfRule>
    <cfRule type="cellIs" dxfId="12184" priority="1064" operator="lessThan">
      <formula>0.8</formula>
    </cfRule>
  </conditionalFormatting>
  <conditionalFormatting sqref="Q130">
    <cfRule type="cellIs" dxfId="12183" priority="1055" operator="lessThan">
      <formula>0</formula>
    </cfRule>
  </conditionalFormatting>
  <conditionalFormatting sqref="R130">
    <cfRule type="cellIs" dxfId="12182" priority="1059" operator="lessThan">
      <formula>0.8</formula>
    </cfRule>
    <cfRule type="cellIs" dxfId="12181" priority="1060" operator="greaterThan">
      <formula>1</formula>
    </cfRule>
  </conditionalFormatting>
  <conditionalFormatting sqref="R130">
    <cfRule type="cellIs" dxfId="12180" priority="1057" operator="greaterThan">
      <formula>1</formula>
    </cfRule>
    <cfRule type="cellIs" dxfId="12179" priority="1058" operator="lessThan">
      <formula>0.8</formula>
    </cfRule>
  </conditionalFormatting>
  <conditionalFormatting sqref="P130">
    <cfRule type="cellIs" dxfId="12178" priority="1056" operator="greaterThan">
      <formula>0</formula>
    </cfRule>
  </conditionalFormatting>
  <conditionalFormatting sqref="Q130">
    <cfRule type="cellIs" dxfId="12177" priority="1054" operator="lessThan">
      <formula>0</formula>
    </cfRule>
  </conditionalFormatting>
  <conditionalFormatting sqref="R130">
    <cfRule type="cellIs" dxfId="12176" priority="1052" operator="lessThan">
      <formula>0.8</formula>
    </cfRule>
    <cfRule type="cellIs" dxfId="12175" priority="1053" operator="greaterThan">
      <formula>1</formula>
    </cfRule>
  </conditionalFormatting>
  <conditionalFormatting sqref="R130">
    <cfRule type="cellIs" dxfId="12174" priority="1050" operator="greaterThan">
      <formula>1</formula>
    </cfRule>
    <cfRule type="cellIs" dxfId="12173" priority="1051" operator="lessThan">
      <formula>0.8</formula>
    </cfRule>
  </conditionalFormatting>
  <conditionalFormatting sqref="P130">
    <cfRule type="cellIs" dxfId="12172" priority="1049" operator="greaterThan">
      <formula>0</formula>
    </cfRule>
  </conditionalFormatting>
  <conditionalFormatting sqref="Q130">
    <cfRule type="cellIs" dxfId="12171" priority="1048" operator="lessThan">
      <formula>0</formula>
    </cfRule>
  </conditionalFormatting>
  <conditionalFormatting sqref="R130">
    <cfRule type="cellIs" dxfId="12170" priority="1046" operator="lessThan">
      <formula>0.8</formula>
    </cfRule>
    <cfRule type="cellIs" dxfId="12169" priority="1047" operator="greaterThan">
      <formula>1</formula>
    </cfRule>
  </conditionalFormatting>
  <conditionalFormatting sqref="R130">
    <cfRule type="cellIs" dxfId="12168" priority="1044" operator="greaterThan">
      <formula>1</formula>
    </cfRule>
    <cfRule type="cellIs" dxfId="12167" priority="1045" operator="lessThan">
      <formula>0.8</formula>
    </cfRule>
  </conditionalFormatting>
  <conditionalFormatting sqref="P130">
    <cfRule type="cellIs" dxfId="12166" priority="1043" operator="greaterThan">
      <formula>0</formula>
    </cfRule>
  </conditionalFormatting>
  <conditionalFormatting sqref="P131">
    <cfRule type="cellIs" dxfId="12165" priority="1042" operator="greaterThan">
      <formula>0</formula>
    </cfRule>
  </conditionalFormatting>
  <conditionalFormatting sqref="Q131">
    <cfRule type="cellIs" dxfId="12164" priority="1041" operator="lessThan">
      <formula>0</formula>
    </cfRule>
  </conditionalFormatting>
  <conditionalFormatting sqref="R131">
    <cfRule type="cellIs" dxfId="12163" priority="1039" operator="lessThan">
      <formula>0.8</formula>
    </cfRule>
    <cfRule type="cellIs" dxfId="12162" priority="1040" operator="greaterThan">
      <formula>1</formula>
    </cfRule>
  </conditionalFormatting>
  <conditionalFormatting sqref="R131">
    <cfRule type="cellIs" dxfId="12161" priority="1037" operator="greaterThan">
      <formula>1</formula>
    </cfRule>
    <cfRule type="cellIs" dxfId="12160" priority="1038" operator="lessThan">
      <formula>0.8</formula>
    </cfRule>
  </conditionalFormatting>
  <conditionalFormatting sqref="P131">
    <cfRule type="cellIs" dxfId="12159" priority="1036" operator="greaterThan">
      <formula>0</formula>
    </cfRule>
  </conditionalFormatting>
  <conditionalFormatting sqref="P137 P139 P141">
    <cfRule type="cellIs" dxfId="12158" priority="1035" operator="greaterThan">
      <formula>0</formula>
    </cfRule>
  </conditionalFormatting>
  <conditionalFormatting sqref="Q137 Q139 Q141">
    <cfRule type="cellIs" dxfId="12157" priority="1034" operator="lessThan">
      <formula>0</formula>
    </cfRule>
  </conditionalFormatting>
  <conditionalFormatting sqref="R137 R139 R141">
    <cfRule type="cellIs" dxfId="12156" priority="1032" operator="lessThan">
      <formula>0.8</formula>
    </cfRule>
    <cfRule type="cellIs" dxfId="12155" priority="1033" operator="greaterThan">
      <formula>1</formula>
    </cfRule>
  </conditionalFormatting>
  <conditionalFormatting sqref="R137 R139 R141">
    <cfRule type="cellIs" dxfId="12154" priority="1030" operator="greaterThan">
      <formula>1</formula>
    </cfRule>
    <cfRule type="cellIs" dxfId="12153" priority="1031" operator="lessThan">
      <formula>0.8</formula>
    </cfRule>
  </conditionalFormatting>
  <conditionalFormatting sqref="P137 P139 P141">
    <cfRule type="cellIs" dxfId="12152" priority="1029" operator="greaterThan">
      <formula>0</formula>
    </cfRule>
  </conditionalFormatting>
  <conditionalFormatting sqref="Q137 Q139 Q141">
    <cfRule type="cellIs" dxfId="12151" priority="1028" operator="lessThan">
      <formula>0</formula>
    </cfRule>
  </conditionalFormatting>
  <conditionalFormatting sqref="R137 R139 R141">
    <cfRule type="cellIs" dxfId="12150" priority="1026" operator="lessThan">
      <formula>0.8</formula>
    </cfRule>
    <cfRule type="cellIs" dxfId="12149" priority="1027" operator="greaterThan">
      <formula>1</formula>
    </cfRule>
  </conditionalFormatting>
  <conditionalFormatting sqref="R137 R139 R141">
    <cfRule type="cellIs" dxfId="12148" priority="1024" operator="greaterThan">
      <formula>1</formula>
    </cfRule>
    <cfRule type="cellIs" dxfId="12147" priority="1025" operator="lessThan">
      <formula>0.8</formula>
    </cfRule>
  </conditionalFormatting>
  <conditionalFormatting sqref="P137 P139 P141">
    <cfRule type="cellIs" dxfId="12146" priority="1023" operator="greaterThan">
      <formula>0</formula>
    </cfRule>
  </conditionalFormatting>
  <conditionalFormatting sqref="P137 P139 P141">
    <cfRule type="cellIs" dxfId="12145" priority="1017" operator="greaterThan">
      <formula>0</formula>
    </cfRule>
  </conditionalFormatting>
  <conditionalFormatting sqref="Q137 Q139 Q141">
    <cfRule type="cellIs" dxfId="12144" priority="1022" operator="lessThan">
      <formula>0</formula>
    </cfRule>
  </conditionalFormatting>
  <conditionalFormatting sqref="R137 R139 R141">
    <cfRule type="cellIs" dxfId="12143" priority="1020" operator="lessThan">
      <formula>0.8</formula>
    </cfRule>
    <cfRule type="cellIs" dxfId="12142" priority="1021" operator="greaterThan">
      <formula>1</formula>
    </cfRule>
  </conditionalFormatting>
  <conditionalFormatting sqref="R137 R139 R141">
    <cfRule type="cellIs" dxfId="12141" priority="1018" operator="greaterThan">
      <formula>1</formula>
    </cfRule>
    <cfRule type="cellIs" dxfId="12140" priority="1019" operator="lessThan">
      <formula>0.8</formula>
    </cfRule>
  </conditionalFormatting>
  <conditionalFormatting sqref="Q137 Q139 Q141">
    <cfRule type="cellIs" dxfId="12139" priority="1016" operator="lessThan">
      <formula>0</formula>
    </cfRule>
  </conditionalFormatting>
  <conditionalFormatting sqref="R137 R139 R141">
    <cfRule type="cellIs" dxfId="12138" priority="1014" operator="lessThan">
      <formula>0.8</formula>
    </cfRule>
    <cfRule type="cellIs" dxfId="12137" priority="1015" operator="greaterThan">
      <formula>1</formula>
    </cfRule>
  </conditionalFormatting>
  <conditionalFormatting sqref="R137 R139 R141">
    <cfRule type="cellIs" dxfId="12136" priority="1012" operator="greaterThan">
      <formula>1</formula>
    </cfRule>
    <cfRule type="cellIs" dxfId="12135" priority="1013" operator="lessThan">
      <formula>0.8</formula>
    </cfRule>
  </conditionalFormatting>
  <conditionalFormatting sqref="P137 P139 P141">
    <cfRule type="cellIs" dxfId="12134" priority="1011" operator="greaterThan">
      <formula>0</formula>
    </cfRule>
  </conditionalFormatting>
  <conditionalFormatting sqref="Q137 Q139 Q141">
    <cfRule type="cellIs" dxfId="12133" priority="1010" operator="lessThan">
      <formula>0</formula>
    </cfRule>
  </conditionalFormatting>
  <conditionalFormatting sqref="R137 R139 R141">
    <cfRule type="cellIs" dxfId="12132" priority="1008" operator="lessThan">
      <formula>0.8</formula>
    </cfRule>
    <cfRule type="cellIs" dxfId="12131" priority="1009" operator="greaterThan">
      <formula>1</formula>
    </cfRule>
  </conditionalFormatting>
  <conditionalFormatting sqref="R137 R139 R141">
    <cfRule type="cellIs" dxfId="12130" priority="1006" operator="greaterThan">
      <formula>1</formula>
    </cfRule>
    <cfRule type="cellIs" dxfId="12129" priority="1007" operator="lessThan">
      <formula>0.8</formula>
    </cfRule>
  </conditionalFormatting>
  <conditionalFormatting sqref="P137 P139 P141">
    <cfRule type="cellIs" dxfId="12128" priority="1005" operator="greaterThan">
      <formula>0</formula>
    </cfRule>
  </conditionalFormatting>
  <conditionalFormatting sqref="P137 P139 P141">
    <cfRule type="cellIs" dxfId="12127" priority="999" operator="greaterThan">
      <formula>0</formula>
    </cfRule>
  </conditionalFormatting>
  <conditionalFormatting sqref="Q137 Q139 Q141">
    <cfRule type="cellIs" dxfId="12126" priority="1004" operator="lessThan">
      <formula>0</formula>
    </cfRule>
  </conditionalFormatting>
  <conditionalFormatting sqref="R137 R139 R141">
    <cfRule type="cellIs" dxfId="12125" priority="1002" operator="lessThan">
      <formula>0.8</formula>
    </cfRule>
    <cfRule type="cellIs" dxfId="12124" priority="1003" operator="greaterThan">
      <formula>1</formula>
    </cfRule>
  </conditionalFormatting>
  <conditionalFormatting sqref="R137 R139 R141">
    <cfRule type="cellIs" dxfId="12123" priority="1000" operator="greaterThan">
      <formula>1</formula>
    </cfRule>
    <cfRule type="cellIs" dxfId="12122" priority="1001" operator="lessThan">
      <formula>0.8</formula>
    </cfRule>
  </conditionalFormatting>
  <conditionalFormatting sqref="Q137 Q139 Q141">
    <cfRule type="cellIs" dxfId="12121" priority="998" operator="lessThan">
      <formula>0</formula>
    </cfRule>
  </conditionalFormatting>
  <conditionalFormatting sqref="R137 R139 R141">
    <cfRule type="cellIs" dxfId="12120" priority="996" operator="lessThan">
      <formula>0.8</formula>
    </cfRule>
    <cfRule type="cellIs" dxfId="12119" priority="997" operator="greaterThan">
      <formula>1</formula>
    </cfRule>
  </conditionalFormatting>
  <conditionalFormatting sqref="R137 R139 R141">
    <cfRule type="cellIs" dxfId="12118" priority="994" operator="greaterThan">
      <formula>1</formula>
    </cfRule>
    <cfRule type="cellIs" dxfId="12117" priority="995" operator="lessThan">
      <formula>0.8</formula>
    </cfRule>
  </conditionalFormatting>
  <conditionalFormatting sqref="P137 P139 P141">
    <cfRule type="cellIs" dxfId="12116" priority="993" operator="greaterThan">
      <formula>0</formula>
    </cfRule>
  </conditionalFormatting>
  <conditionalFormatting sqref="Q137 Q139 Q141">
    <cfRule type="cellIs" dxfId="12115" priority="992" operator="lessThan">
      <formula>0</formula>
    </cfRule>
  </conditionalFormatting>
  <conditionalFormatting sqref="R137 R139 R141">
    <cfRule type="cellIs" dxfId="12114" priority="990" operator="lessThan">
      <formula>0.8</formula>
    </cfRule>
    <cfRule type="cellIs" dxfId="12113" priority="991" operator="greaterThan">
      <formula>1</formula>
    </cfRule>
  </conditionalFormatting>
  <conditionalFormatting sqref="R137 R139 R141">
    <cfRule type="cellIs" dxfId="12112" priority="988" operator="greaterThan">
      <formula>1</formula>
    </cfRule>
    <cfRule type="cellIs" dxfId="12111" priority="989" operator="lessThan">
      <formula>0.8</formula>
    </cfRule>
  </conditionalFormatting>
  <conditionalFormatting sqref="P137 P139 P141">
    <cfRule type="cellIs" dxfId="12110" priority="987" operator="greaterThan">
      <formula>0</formula>
    </cfRule>
  </conditionalFormatting>
  <conditionalFormatting sqref="P137 P139 P141">
    <cfRule type="cellIs" dxfId="12109" priority="981" operator="greaterThan">
      <formula>0</formula>
    </cfRule>
  </conditionalFormatting>
  <conditionalFormatting sqref="Q137 Q139 Q141">
    <cfRule type="cellIs" dxfId="12108" priority="986" operator="lessThan">
      <formula>0</formula>
    </cfRule>
  </conditionalFormatting>
  <conditionalFormatting sqref="R137 R139 R141">
    <cfRule type="cellIs" dxfId="12107" priority="984" operator="lessThan">
      <formula>0.8</formula>
    </cfRule>
    <cfRule type="cellIs" dxfId="12106" priority="985" operator="greaterThan">
      <formula>1</formula>
    </cfRule>
  </conditionalFormatting>
  <conditionalFormatting sqref="R137 R139 R141">
    <cfRule type="cellIs" dxfId="12105" priority="982" operator="greaterThan">
      <formula>1</formula>
    </cfRule>
    <cfRule type="cellIs" dxfId="12104" priority="983" operator="lessThan">
      <formula>0.8</formula>
    </cfRule>
  </conditionalFormatting>
  <conditionalFormatting sqref="Q137 Q139 Q141">
    <cfRule type="cellIs" dxfId="12103" priority="980" operator="lessThan">
      <formula>0</formula>
    </cfRule>
  </conditionalFormatting>
  <conditionalFormatting sqref="R137 R139 R141">
    <cfRule type="cellIs" dxfId="12102" priority="978" operator="lessThan">
      <formula>0.8</formula>
    </cfRule>
    <cfRule type="cellIs" dxfId="12101" priority="979" operator="greaterThan">
      <formula>1</formula>
    </cfRule>
  </conditionalFormatting>
  <conditionalFormatting sqref="R137 R139 R141">
    <cfRule type="cellIs" dxfId="12100" priority="976" operator="greaterThan">
      <formula>1</formula>
    </cfRule>
    <cfRule type="cellIs" dxfId="12099" priority="977" operator="lessThan">
      <formula>0.8</formula>
    </cfRule>
  </conditionalFormatting>
  <conditionalFormatting sqref="P137 P139 P141">
    <cfRule type="cellIs" dxfId="12098" priority="975" operator="greaterThan">
      <formula>0</formula>
    </cfRule>
  </conditionalFormatting>
  <conditionalFormatting sqref="P138 P140 P142:P143">
    <cfRule type="cellIs" dxfId="12097" priority="969" operator="greaterThan">
      <formula>0</formula>
    </cfRule>
  </conditionalFormatting>
  <conditionalFormatting sqref="Q138 Q140 Q142:Q143">
    <cfRule type="cellIs" dxfId="12096" priority="974" operator="lessThan">
      <formula>0</formula>
    </cfRule>
  </conditionalFormatting>
  <conditionalFormatting sqref="R138 R140 R142:R143">
    <cfRule type="cellIs" dxfId="12095" priority="972" operator="lessThan">
      <formula>0.8</formula>
    </cfRule>
    <cfRule type="cellIs" dxfId="12094" priority="973" operator="greaterThan">
      <formula>1</formula>
    </cfRule>
  </conditionalFormatting>
  <conditionalFormatting sqref="R138 R140 R142:R143">
    <cfRule type="cellIs" dxfId="12093" priority="970" operator="greaterThan">
      <formula>1</formula>
    </cfRule>
    <cfRule type="cellIs" dxfId="12092" priority="971" operator="lessThan">
      <formula>0.8</formula>
    </cfRule>
  </conditionalFormatting>
  <conditionalFormatting sqref="Q138 Q140 Q142:Q143">
    <cfRule type="cellIs" dxfId="12091" priority="968" operator="lessThan">
      <formula>0</formula>
    </cfRule>
  </conditionalFormatting>
  <conditionalFormatting sqref="R138 R140 R142:R143">
    <cfRule type="cellIs" dxfId="12090" priority="966" operator="lessThan">
      <formula>0.8</formula>
    </cfRule>
    <cfRule type="cellIs" dxfId="12089" priority="967" operator="greaterThan">
      <formula>1</formula>
    </cfRule>
  </conditionalFormatting>
  <conditionalFormatting sqref="R138 R140 R142:R143">
    <cfRule type="cellIs" dxfId="12088" priority="964" operator="greaterThan">
      <formula>1</formula>
    </cfRule>
    <cfRule type="cellIs" dxfId="12087" priority="965" operator="lessThan">
      <formula>0.8</formula>
    </cfRule>
  </conditionalFormatting>
  <conditionalFormatting sqref="P138 P140 P142:P143">
    <cfRule type="cellIs" dxfId="12086" priority="963" operator="greaterThan">
      <formula>0</formula>
    </cfRule>
  </conditionalFormatting>
  <conditionalFormatting sqref="Q138 Q140 Q142:Q143">
    <cfRule type="cellIs" dxfId="12085" priority="962" operator="lessThan">
      <formula>0</formula>
    </cfRule>
  </conditionalFormatting>
  <conditionalFormatting sqref="R138 R140 R142:R143">
    <cfRule type="cellIs" dxfId="12084" priority="960" operator="lessThan">
      <formula>0.8</formula>
    </cfRule>
    <cfRule type="cellIs" dxfId="12083" priority="961" operator="greaterThan">
      <formula>1</formula>
    </cfRule>
  </conditionalFormatting>
  <conditionalFormatting sqref="R138 R140 R142:R143">
    <cfRule type="cellIs" dxfId="12082" priority="958" operator="greaterThan">
      <formula>1</formula>
    </cfRule>
    <cfRule type="cellIs" dxfId="12081" priority="959" operator="lessThan">
      <formula>0.8</formula>
    </cfRule>
  </conditionalFormatting>
  <conditionalFormatting sqref="P138 P140 P142:P143">
    <cfRule type="cellIs" dxfId="12080" priority="957" operator="greaterThan">
      <formula>0</formula>
    </cfRule>
  </conditionalFormatting>
  <conditionalFormatting sqref="Q138 Q140 Q142:Q143">
    <cfRule type="cellIs" dxfId="12079" priority="956" operator="lessThan">
      <formula>0</formula>
    </cfRule>
  </conditionalFormatting>
  <conditionalFormatting sqref="R138 R140 R142:R143">
    <cfRule type="cellIs" dxfId="12078" priority="954" operator="lessThan">
      <formula>0.8</formula>
    </cfRule>
    <cfRule type="cellIs" dxfId="12077" priority="955" operator="greaterThan">
      <formula>1</formula>
    </cfRule>
  </conditionalFormatting>
  <conditionalFormatting sqref="R138 R140 R142:R143">
    <cfRule type="cellIs" dxfId="12076" priority="952" operator="greaterThan">
      <formula>1</formula>
    </cfRule>
    <cfRule type="cellIs" dxfId="12075" priority="953" operator="lessThan">
      <formula>0.8</formula>
    </cfRule>
  </conditionalFormatting>
  <conditionalFormatting sqref="P138 P140 P142:P143">
    <cfRule type="cellIs" dxfId="12074" priority="951" operator="greaterThan">
      <formula>0</formula>
    </cfRule>
  </conditionalFormatting>
  <conditionalFormatting sqref="Q138 Q140 Q142:Q143">
    <cfRule type="cellIs" dxfId="12073" priority="950" operator="lessThan">
      <formula>0</formula>
    </cfRule>
  </conditionalFormatting>
  <conditionalFormatting sqref="R138 R140 R142:R143">
    <cfRule type="cellIs" dxfId="12072" priority="948" operator="lessThan">
      <formula>0.8</formula>
    </cfRule>
    <cfRule type="cellIs" dxfId="12071" priority="949" operator="greaterThan">
      <formula>1</formula>
    </cfRule>
  </conditionalFormatting>
  <conditionalFormatting sqref="R138 R140 R142:R143">
    <cfRule type="cellIs" dxfId="12070" priority="946" operator="greaterThan">
      <formula>1</formula>
    </cfRule>
    <cfRule type="cellIs" dxfId="12069" priority="947" operator="lessThan">
      <formula>0.8</formula>
    </cfRule>
  </conditionalFormatting>
  <conditionalFormatting sqref="Q138 Q140 Q142:Q143">
    <cfRule type="cellIs" dxfId="12068" priority="945" operator="lessThan">
      <formula>0</formula>
    </cfRule>
  </conditionalFormatting>
  <conditionalFormatting sqref="R138 R140 R142:R143">
    <cfRule type="cellIs" dxfId="12067" priority="943" operator="lessThan">
      <formula>0.8</formula>
    </cfRule>
    <cfRule type="cellIs" dxfId="12066" priority="944" operator="greaterThan">
      <formula>1</formula>
    </cfRule>
  </conditionalFormatting>
  <conditionalFormatting sqref="R138 R140 R142:R143">
    <cfRule type="cellIs" dxfId="12065" priority="941" operator="greaterThan">
      <formula>1</formula>
    </cfRule>
    <cfRule type="cellIs" dxfId="12064" priority="942" operator="lessThan">
      <formula>0.8</formula>
    </cfRule>
  </conditionalFormatting>
  <conditionalFormatting sqref="P138 P140 P142:P143">
    <cfRule type="cellIs" dxfId="12063" priority="940" operator="greaterThan">
      <formula>0</formula>
    </cfRule>
  </conditionalFormatting>
  <conditionalFormatting sqref="P138 P140 P142:P143">
    <cfRule type="cellIs" dxfId="12062" priority="934" operator="greaterThan">
      <formula>0</formula>
    </cfRule>
  </conditionalFormatting>
  <conditionalFormatting sqref="Q138 Q140 Q142:Q143">
    <cfRule type="cellIs" dxfId="12061" priority="939" operator="lessThan">
      <formula>0</formula>
    </cfRule>
  </conditionalFormatting>
  <conditionalFormatting sqref="R138 R140 R142:R143">
    <cfRule type="cellIs" dxfId="12060" priority="937" operator="lessThan">
      <formula>0.8</formula>
    </cfRule>
    <cfRule type="cellIs" dxfId="12059" priority="938" operator="greaterThan">
      <formula>1</formula>
    </cfRule>
  </conditionalFormatting>
  <conditionalFormatting sqref="R138 R140 R142:R143">
    <cfRule type="cellIs" dxfId="12058" priority="935" operator="greaterThan">
      <formula>1</formula>
    </cfRule>
    <cfRule type="cellIs" dxfId="12057" priority="936" operator="lessThan">
      <formula>0.8</formula>
    </cfRule>
  </conditionalFormatting>
  <conditionalFormatting sqref="Q138 Q140 Q142:Q143">
    <cfRule type="cellIs" dxfId="12056" priority="933" operator="lessThan">
      <formula>0</formula>
    </cfRule>
  </conditionalFormatting>
  <conditionalFormatting sqref="R138 R140 R142:R143">
    <cfRule type="cellIs" dxfId="12055" priority="931" operator="lessThan">
      <formula>0.8</formula>
    </cfRule>
    <cfRule type="cellIs" dxfId="12054" priority="932" operator="greaterThan">
      <formula>1</formula>
    </cfRule>
  </conditionalFormatting>
  <conditionalFormatting sqref="R138 R140 R142:R143">
    <cfRule type="cellIs" dxfId="12053" priority="929" operator="greaterThan">
      <formula>1</formula>
    </cfRule>
    <cfRule type="cellIs" dxfId="12052" priority="930" operator="lessThan">
      <formula>0.8</formula>
    </cfRule>
  </conditionalFormatting>
  <conditionalFormatting sqref="P138 P140 P142:P143">
    <cfRule type="cellIs" dxfId="12051" priority="928" operator="greaterThan">
      <formula>0</formula>
    </cfRule>
  </conditionalFormatting>
  <conditionalFormatting sqref="Q148:Q153">
    <cfRule type="cellIs" dxfId="12050" priority="927" operator="lessThan">
      <formula>0</formula>
    </cfRule>
  </conditionalFormatting>
  <conditionalFormatting sqref="R148:R153">
    <cfRule type="cellIs" dxfId="12049" priority="925" operator="lessThan">
      <formula>0.8</formula>
    </cfRule>
    <cfRule type="cellIs" dxfId="12048" priority="926" operator="greaterThan">
      <formula>1</formula>
    </cfRule>
  </conditionalFormatting>
  <conditionalFormatting sqref="R148:R153">
    <cfRule type="cellIs" dxfId="12047" priority="923" operator="greaterThan">
      <formula>1</formula>
    </cfRule>
    <cfRule type="cellIs" dxfId="12046" priority="924" operator="lessThan">
      <formula>0.8</formula>
    </cfRule>
  </conditionalFormatting>
  <conditionalFormatting sqref="P148:P153">
    <cfRule type="cellIs" dxfId="12045" priority="922" operator="greaterThan">
      <formula>0</formula>
    </cfRule>
  </conditionalFormatting>
  <conditionalFormatting sqref="P148:P153">
    <cfRule type="cellIs" dxfId="12044" priority="916" operator="greaterThan">
      <formula>0</formula>
    </cfRule>
  </conditionalFormatting>
  <conditionalFormatting sqref="Q148:Q153">
    <cfRule type="cellIs" dxfId="12043" priority="921" operator="lessThan">
      <formula>0</formula>
    </cfRule>
  </conditionalFormatting>
  <conditionalFormatting sqref="R148:R153">
    <cfRule type="cellIs" dxfId="12042" priority="919" operator="lessThan">
      <formula>0.8</formula>
    </cfRule>
    <cfRule type="cellIs" dxfId="12041" priority="920" operator="greaterThan">
      <formula>1</formula>
    </cfRule>
  </conditionalFormatting>
  <conditionalFormatting sqref="R148:R153">
    <cfRule type="cellIs" dxfId="12040" priority="917" operator="greaterThan">
      <formula>1</formula>
    </cfRule>
    <cfRule type="cellIs" dxfId="12039" priority="918" operator="lessThan">
      <formula>0.8</formula>
    </cfRule>
  </conditionalFormatting>
  <conditionalFormatting sqref="Q148:Q153">
    <cfRule type="cellIs" dxfId="12038" priority="915" operator="lessThan">
      <formula>0</formula>
    </cfRule>
  </conditionalFormatting>
  <conditionalFormatting sqref="R148:R153">
    <cfRule type="cellIs" dxfId="12037" priority="913" operator="lessThan">
      <formula>0.8</formula>
    </cfRule>
    <cfRule type="cellIs" dxfId="12036" priority="914" operator="greaterThan">
      <formula>1</formula>
    </cfRule>
  </conditionalFormatting>
  <conditionalFormatting sqref="R148:R153">
    <cfRule type="cellIs" dxfId="12035" priority="911" operator="greaterThan">
      <formula>1</formula>
    </cfRule>
    <cfRule type="cellIs" dxfId="12034" priority="912" operator="lessThan">
      <formula>0.8</formula>
    </cfRule>
  </conditionalFormatting>
  <conditionalFormatting sqref="P148:P153">
    <cfRule type="cellIs" dxfId="12033" priority="910" operator="greaterThan">
      <formula>0</formula>
    </cfRule>
  </conditionalFormatting>
  <conditionalFormatting sqref="Q148:Q153">
    <cfRule type="cellIs" dxfId="12032" priority="909" operator="lessThan">
      <formula>0</formula>
    </cfRule>
  </conditionalFormatting>
  <conditionalFormatting sqref="R148:R153">
    <cfRule type="cellIs" dxfId="12031" priority="907" operator="lessThan">
      <formula>0.8</formula>
    </cfRule>
    <cfRule type="cellIs" dxfId="12030" priority="908" operator="greaterThan">
      <formula>1</formula>
    </cfRule>
  </conditionalFormatting>
  <conditionalFormatting sqref="R148:R153">
    <cfRule type="cellIs" dxfId="12029" priority="905" operator="greaterThan">
      <formula>1</formula>
    </cfRule>
    <cfRule type="cellIs" dxfId="12028" priority="906" operator="lessThan">
      <formula>0.8</formula>
    </cfRule>
  </conditionalFormatting>
  <conditionalFormatting sqref="P148:P153">
    <cfRule type="cellIs" dxfId="12027" priority="904" operator="greaterThan">
      <formula>0</formula>
    </cfRule>
  </conditionalFormatting>
  <conditionalFormatting sqref="P148:P153">
    <cfRule type="cellIs" dxfId="12026" priority="898" operator="greaterThan">
      <formula>0</formula>
    </cfRule>
  </conditionalFormatting>
  <conditionalFormatting sqref="Q148:Q153">
    <cfRule type="cellIs" dxfId="12025" priority="903" operator="lessThan">
      <formula>0</formula>
    </cfRule>
  </conditionalFormatting>
  <conditionalFormatting sqref="R148:R153">
    <cfRule type="cellIs" dxfId="12024" priority="901" operator="lessThan">
      <formula>0.8</formula>
    </cfRule>
    <cfRule type="cellIs" dxfId="12023" priority="902" operator="greaterThan">
      <formula>1</formula>
    </cfRule>
  </conditionalFormatting>
  <conditionalFormatting sqref="R148:R153">
    <cfRule type="cellIs" dxfId="12022" priority="899" operator="greaterThan">
      <formula>1</formula>
    </cfRule>
    <cfRule type="cellIs" dxfId="12021" priority="900" operator="lessThan">
      <formula>0.8</formula>
    </cfRule>
  </conditionalFormatting>
  <conditionalFormatting sqref="Q148:Q153">
    <cfRule type="cellIs" dxfId="12020" priority="897" operator="lessThan">
      <formula>0</formula>
    </cfRule>
  </conditionalFormatting>
  <conditionalFormatting sqref="R148:R153">
    <cfRule type="cellIs" dxfId="12019" priority="895" operator="lessThan">
      <formula>0.8</formula>
    </cfRule>
    <cfRule type="cellIs" dxfId="12018" priority="896" operator="greaterThan">
      <formula>1</formula>
    </cfRule>
  </conditionalFormatting>
  <conditionalFormatting sqref="R148:R153">
    <cfRule type="cellIs" dxfId="12017" priority="893" operator="greaterThan">
      <formula>1</formula>
    </cfRule>
    <cfRule type="cellIs" dxfId="12016" priority="894" operator="lessThan">
      <formula>0.8</formula>
    </cfRule>
  </conditionalFormatting>
  <conditionalFormatting sqref="P148:P153">
    <cfRule type="cellIs" dxfId="12015" priority="892" operator="greaterThan">
      <formula>0</formula>
    </cfRule>
  </conditionalFormatting>
  <conditionalFormatting sqref="Q148:Q153">
    <cfRule type="cellIs" dxfId="12014" priority="886" operator="lessThan">
      <formula>0</formula>
    </cfRule>
  </conditionalFormatting>
  <conditionalFormatting sqref="P148:P153">
    <cfRule type="cellIs" dxfId="12013" priority="887" operator="greaterThan">
      <formula>0</formula>
    </cfRule>
  </conditionalFormatting>
  <conditionalFormatting sqref="R148:R153">
    <cfRule type="cellIs" dxfId="12012" priority="890" operator="lessThan">
      <formula>0.8</formula>
    </cfRule>
    <cfRule type="cellIs" dxfId="12011" priority="891" operator="greaterThan">
      <formula>1</formula>
    </cfRule>
  </conditionalFormatting>
  <conditionalFormatting sqref="R148:R153">
    <cfRule type="cellIs" dxfId="12010" priority="888" operator="greaterThan">
      <formula>1</formula>
    </cfRule>
    <cfRule type="cellIs" dxfId="12009" priority="889" operator="lessThan">
      <formula>0.8</formula>
    </cfRule>
  </conditionalFormatting>
  <conditionalFormatting sqref="Q148:Q153">
    <cfRule type="cellIs" dxfId="12008" priority="880" operator="lessThan">
      <formula>0</formula>
    </cfRule>
  </conditionalFormatting>
  <conditionalFormatting sqref="R148:R153">
    <cfRule type="cellIs" dxfId="12007" priority="884" operator="lessThan">
      <formula>0.8</formula>
    </cfRule>
    <cfRule type="cellIs" dxfId="12006" priority="885" operator="greaterThan">
      <formula>1</formula>
    </cfRule>
  </conditionalFormatting>
  <conditionalFormatting sqref="R148:R153">
    <cfRule type="cellIs" dxfId="12005" priority="882" operator="greaterThan">
      <formula>1</formula>
    </cfRule>
    <cfRule type="cellIs" dxfId="12004" priority="883" operator="lessThan">
      <formula>0.8</formula>
    </cfRule>
  </conditionalFormatting>
  <conditionalFormatting sqref="P148:P153">
    <cfRule type="cellIs" dxfId="12003" priority="881" operator="greaterThan">
      <formula>0</formula>
    </cfRule>
  </conditionalFormatting>
  <conditionalFormatting sqref="Q148:Q153">
    <cfRule type="cellIs" dxfId="12002" priority="879" operator="lessThan">
      <formula>0</formula>
    </cfRule>
  </conditionalFormatting>
  <conditionalFormatting sqref="R148:R153">
    <cfRule type="cellIs" dxfId="12001" priority="877" operator="lessThan">
      <formula>0.8</formula>
    </cfRule>
    <cfRule type="cellIs" dxfId="12000" priority="878" operator="greaterThan">
      <formula>1</formula>
    </cfRule>
  </conditionalFormatting>
  <conditionalFormatting sqref="R148:R153">
    <cfRule type="cellIs" dxfId="11999" priority="875" operator="greaterThan">
      <formula>1</formula>
    </cfRule>
    <cfRule type="cellIs" dxfId="11998" priority="876" operator="lessThan">
      <formula>0.8</formula>
    </cfRule>
  </conditionalFormatting>
  <conditionalFormatting sqref="P148:P153">
    <cfRule type="cellIs" dxfId="11997" priority="874" operator="greaterThan">
      <formula>0</formula>
    </cfRule>
  </conditionalFormatting>
  <conditionalFormatting sqref="Q148:Q153">
    <cfRule type="cellIs" dxfId="11996" priority="873" operator="lessThan">
      <formula>0</formula>
    </cfRule>
  </conditionalFormatting>
  <conditionalFormatting sqref="R148:R153">
    <cfRule type="cellIs" dxfId="11995" priority="871" operator="lessThan">
      <formula>0.8</formula>
    </cfRule>
    <cfRule type="cellIs" dxfId="11994" priority="872" operator="greaterThan">
      <formula>1</formula>
    </cfRule>
  </conditionalFormatting>
  <conditionalFormatting sqref="R148:R153">
    <cfRule type="cellIs" dxfId="11993" priority="869" operator="greaterThan">
      <formula>1</formula>
    </cfRule>
    <cfRule type="cellIs" dxfId="11992" priority="870" operator="lessThan">
      <formula>0.8</formula>
    </cfRule>
  </conditionalFormatting>
  <conditionalFormatting sqref="P148:P153">
    <cfRule type="cellIs" dxfId="11991" priority="868" operator="greaterThan">
      <formula>0</formula>
    </cfRule>
  </conditionalFormatting>
  <conditionalFormatting sqref="Q148:Q153">
    <cfRule type="cellIs" dxfId="11990" priority="867" operator="lessThan">
      <formula>0</formula>
    </cfRule>
  </conditionalFormatting>
  <conditionalFormatting sqref="R148:R153">
    <cfRule type="cellIs" dxfId="11989" priority="865" operator="lessThan">
      <formula>0.8</formula>
    </cfRule>
    <cfRule type="cellIs" dxfId="11988" priority="866" operator="greaterThan">
      <formula>1</formula>
    </cfRule>
  </conditionalFormatting>
  <conditionalFormatting sqref="R148:R153">
    <cfRule type="cellIs" dxfId="11987" priority="863" operator="greaterThan">
      <formula>1</formula>
    </cfRule>
    <cfRule type="cellIs" dxfId="11986" priority="864" operator="lessThan">
      <formula>0.8</formula>
    </cfRule>
  </conditionalFormatting>
  <conditionalFormatting sqref="P148:P153">
    <cfRule type="cellIs" dxfId="11985" priority="862" operator="greaterThan">
      <formula>0</formula>
    </cfRule>
  </conditionalFormatting>
  <conditionalFormatting sqref="Q148:Q153">
    <cfRule type="cellIs" dxfId="11984" priority="861" operator="lessThan">
      <formula>0</formula>
    </cfRule>
  </conditionalFormatting>
  <conditionalFormatting sqref="R148:R153">
    <cfRule type="cellIs" dxfId="11983" priority="859" operator="lessThan">
      <formula>0.8</formula>
    </cfRule>
    <cfRule type="cellIs" dxfId="11982" priority="860" operator="greaterThan">
      <formula>1</formula>
    </cfRule>
  </conditionalFormatting>
  <conditionalFormatting sqref="R148:R153">
    <cfRule type="cellIs" dxfId="11981" priority="857" operator="greaterThan">
      <formula>1</formula>
    </cfRule>
    <cfRule type="cellIs" dxfId="11980" priority="858" operator="lessThan">
      <formula>0.8</formula>
    </cfRule>
  </conditionalFormatting>
  <conditionalFormatting sqref="P148:P153">
    <cfRule type="cellIs" dxfId="11979" priority="856" operator="greaterThan">
      <formula>0</formula>
    </cfRule>
  </conditionalFormatting>
  <conditionalFormatting sqref="Q148:Q153">
    <cfRule type="cellIs" dxfId="11978" priority="855" operator="lessThan">
      <formula>0</formula>
    </cfRule>
  </conditionalFormatting>
  <conditionalFormatting sqref="R148:R153">
    <cfRule type="cellIs" dxfId="11977" priority="853" operator="lessThan">
      <formula>0.8</formula>
    </cfRule>
    <cfRule type="cellIs" dxfId="11976" priority="854" operator="greaterThan">
      <formula>1</formula>
    </cfRule>
  </conditionalFormatting>
  <conditionalFormatting sqref="R148:R153">
    <cfRule type="cellIs" dxfId="11975" priority="851" operator="greaterThan">
      <formula>1</formula>
    </cfRule>
    <cfRule type="cellIs" dxfId="11974" priority="852" operator="lessThan">
      <formula>0.8</formula>
    </cfRule>
  </conditionalFormatting>
  <conditionalFormatting sqref="P148:P153">
    <cfRule type="cellIs" dxfId="11973" priority="850" operator="greaterThan">
      <formula>0</formula>
    </cfRule>
  </conditionalFormatting>
  <conditionalFormatting sqref="Q148:Q153">
    <cfRule type="cellIs" dxfId="11972" priority="849" operator="lessThan">
      <formula>0</formula>
    </cfRule>
  </conditionalFormatting>
  <conditionalFormatting sqref="R148:R153">
    <cfRule type="cellIs" dxfId="11971" priority="847" operator="lessThan">
      <formula>0.8</formula>
    </cfRule>
    <cfRule type="cellIs" dxfId="11970" priority="848" operator="greaterThan">
      <formula>1</formula>
    </cfRule>
  </conditionalFormatting>
  <conditionalFormatting sqref="R148:R153">
    <cfRule type="cellIs" dxfId="11969" priority="845" operator="greaterThan">
      <formula>1</formula>
    </cfRule>
    <cfRule type="cellIs" dxfId="11968" priority="846" operator="lessThan">
      <formula>0.8</formula>
    </cfRule>
  </conditionalFormatting>
  <conditionalFormatting sqref="P148:P153">
    <cfRule type="cellIs" dxfId="11967" priority="844" operator="greaterThan">
      <formula>0</formula>
    </cfRule>
  </conditionalFormatting>
  <conditionalFormatting sqref="Q148:Q153">
    <cfRule type="cellIs" dxfId="11966" priority="843" operator="lessThan">
      <formula>0</formula>
    </cfRule>
  </conditionalFormatting>
  <conditionalFormatting sqref="R148:R153">
    <cfRule type="cellIs" dxfId="11965" priority="841" operator="lessThan">
      <formula>0.8</formula>
    </cfRule>
    <cfRule type="cellIs" dxfId="11964" priority="842" operator="greaterThan">
      <formula>1</formula>
    </cfRule>
  </conditionalFormatting>
  <conditionalFormatting sqref="R148:R153">
    <cfRule type="cellIs" dxfId="11963" priority="839" operator="greaterThan">
      <formula>1</formula>
    </cfRule>
    <cfRule type="cellIs" dxfId="11962" priority="840" operator="lessThan">
      <formula>0.8</formula>
    </cfRule>
  </conditionalFormatting>
  <conditionalFormatting sqref="P148:P153">
    <cfRule type="cellIs" dxfId="11961" priority="838" operator="greaterThan">
      <formula>0</formula>
    </cfRule>
  </conditionalFormatting>
  <conditionalFormatting sqref="P148:P153">
    <cfRule type="cellIs" dxfId="11960" priority="832" operator="greaterThan">
      <formula>0</formula>
    </cfRule>
  </conditionalFormatting>
  <conditionalFormatting sqref="Q148:Q153">
    <cfRule type="cellIs" dxfId="11959" priority="837" operator="lessThan">
      <formula>0</formula>
    </cfRule>
  </conditionalFormatting>
  <conditionalFormatting sqref="R148:R153">
    <cfRule type="cellIs" dxfId="11958" priority="835" operator="lessThan">
      <formula>0.8</formula>
    </cfRule>
    <cfRule type="cellIs" dxfId="11957" priority="836" operator="greaterThan">
      <formula>1</formula>
    </cfRule>
  </conditionalFormatting>
  <conditionalFormatting sqref="R148:R153">
    <cfRule type="cellIs" dxfId="11956" priority="833" operator="greaterThan">
      <formula>1</formula>
    </cfRule>
    <cfRule type="cellIs" dxfId="11955" priority="834" operator="lessThan">
      <formula>0.8</formula>
    </cfRule>
  </conditionalFormatting>
  <conditionalFormatting sqref="P148:P153">
    <cfRule type="cellIs" dxfId="11954" priority="826" operator="greaterThan">
      <formula>0</formula>
    </cfRule>
  </conditionalFormatting>
  <conditionalFormatting sqref="Q148:Q153">
    <cfRule type="cellIs" dxfId="11953" priority="831" operator="lessThan">
      <formula>0</formula>
    </cfRule>
  </conditionalFormatting>
  <conditionalFormatting sqref="R148:R153">
    <cfRule type="cellIs" dxfId="11952" priority="829" operator="lessThan">
      <formula>0.8</formula>
    </cfRule>
    <cfRule type="cellIs" dxfId="11951" priority="830" operator="greaterThan">
      <formula>1</formula>
    </cfRule>
  </conditionalFormatting>
  <conditionalFormatting sqref="R148:R153">
    <cfRule type="cellIs" dxfId="11950" priority="827" operator="greaterThan">
      <formula>1</formula>
    </cfRule>
    <cfRule type="cellIs" dxfId="11949" priority="828" operator="lessThan">
      <formula>0.8</formula>
    </cfRule>
  </conditionalFormatting>
  <conditionalFormatting sqref="R148:R153">
    <cfRule type="cellIs" dxfId="11948" priority="823" operator="lessThan">
      <formula>0.8</formula>
    </cfRule>
    <cfRule type="cellIs" dxfId="11947" priority="824" operator="greaterThan">
      <formula>1</formula>
    </cfRule>
  </conditionalFormatting>
  <conditionalFormatting sqref="R148:R153">
    <cfRule type="cellIs" dxfId="11946" priority="821" operator="greaterThan">
      <formula>1</formula>
    </cfRule>
    <cfRule type="cellIs" dxfId="11945" priority="822" operator="lessThan">
      <formula>0.8</formula>
    </cfRule>
  </conditionalFormatting>
  <conditionalFormatting sqref="P148:P153">
    <cfRule type="cellIs" dxfId="11944" priority="820" operator="greaterThan">
      <formula>0</formula>
    </cfRule>
  </conditionalFormatting>
  <conditionalFormatting sqref="Q148:Q153">
    <cfRule type="cellIs" dxfId="11943" priority="825" operator="lessThan">
      <formula>0</formula>
    </cfRule>
  </conditionalFormatting>
  <conditionalFormatting sqref="Q148:Q153">
    <cfRule type="cellIs" dxfId="11942" priority="819" operator="lessThan">
      <formula>0</formula>
    </cfRule>
  </conditionalFormatting>
  <conditionalFormatting sqref="R148:R153">
    <cfRule type="cellIs" dxfId="11941" priority="817" operator="lessThan">
      <formula>0.8</formula>
    </cfRule>
    <cfRule type="cellIs" dxfId="11940" priority="818" operator="greaterThan">
      <formula>1</formula>
    </cfRule>
  </conditionalFormatting>
  <conditionalFormatting sqref="R148:R153">
    <cfRule type="cellIs" dxfId="11939" priority="815" operator="greaterThan">
      <formula>1</formula>
    </cfRule>
    <cfRule type="cellIs" dxfId="11938" priority="816" operator="lessThan">
      <formula>0.8</formula>
    </cfRule>
  </conditionalFormatting>
  <conditionalFormatting sqref="P148:P153">
    <cfRule type="cellIs" dxfId="11937" priority="814" operator="greaterThan">
      <formula>0</formula>
    </cfRule>
  </conditionalFormatting>
  <conditionalFormatting sqref="P148:P153">
    <cfRule type="cellIs" dxfId="11936" priority="808" operator="greaterThan">
      <formula>0</formula>
    </cfRule>
  </conditionalFormatting>
  <conditionalFormatting sqref="Q148:Q153">
    <cfRule type="cellIs" dxfId="11935" priority="813" operator="lessThan">
      <formula>0</formula>
    </cfRule>
  </conditionalFormatting>
  <conditionalFormatting sqref="R148:R153">
    <cfRule type="cellIs" dxfId="11934" priority="811" operator="lessThan">
      <formula>0.8</formula>
    </cfRule>
    <cfRule type="cellIs" dxfId="11933" priority="812" operator="greaterThan">
      <formula>1</formula>
    </cfRule>
  </conditionalFormatting>
  <conditionalFormatting sqref="R148:R153">
    <cfRule type="cellIs" dxfId="11932" priority="809" operator="greaterThan">
      <formula>1</formula>
    </cfRule>
    <cfRule type="cellIs" dxfId="11931" priority="810" operator="lessThan">
      <formula>0.8</formula>
    </cfRule>
  </conditionalFormatting>
  <conditionalFormatting sqref="P148:P153">
    <cfRule type="cellIs" dxfId="11930" priority="802" operator="greaterThan">
      <formula>0</formula>
    </cfRule>
  </conditionalFormatting>
  <conditionalFormatting sqref="Q148:Q153">
    <cfRule type="cellIs" dxfId="11929" priority="807" operator="lessThan">
      <formula>0</formula>
    </cfRule>
  </conditionalFormatting>
  <conditionalFormatting sqref="R148:R153">
    <cfRule type="cellIs" dxfId="11928" priority="805" operator="lessThan">
      <formula>0.8</formula>
    </cfRule>
    <cfRule type="cellIs" dxfId="11927" priority="806" operator="greaterThan">
      <formula>1</formula>
    </cfRule>
  </conditionalFormatting>
  <conditionalFormatting sqref="R148:R153">
    <cfRule type="cellIs" dxfId="11926" priority="803" operator="greaterThan">
      <formula>1</formula>
    </cfRule>
    <cfRule type="cellIs" dxfId="11925" priority="804" operator="lessThan">
      <formula>0.8</formula>
    </cfRule>
  </conditionalFormatting>
  <conditionalFormatting sqref="R148:R153">
    <cfRule type="cellIs" dxfId="11924" priority="799" operator="lessThan">
      <formula>0.8</formula>
    </cfRule>
    <cfRule type="cellIs" dxfId="11923" priority="800" operator="greaterThan">
      <formula>1</formula>
    </cfRule>
  </conditionalFormatting>
  <conditionalFormatting sqref="R148:R153">
    <cfRule type="cellIs" dxfId="11922" priority="797" operator="greaterThan">
      <formula>1</formula>
    </cfRule>
    <cfRule type="cellIs" dxfId="11921" priority="798" operator="lessThan">
      <formula>0.8</formula>
    </cfRule>
  </conditionalFormatting>
  <conditionalFormatting sqref="P148:P153">
    <cfRule type="cellIs" dxfId="11920" priority="796" operator="greaterThan">
      <formula>0</formula>
    </cfRule>
  </conditionalFormatting>
  <conditionalFormatting sqref="Q148:Q153">
    <cfRule type="cellIs" dxfId="11919" priority="801" operator="lessThan">
      <formula>0</formula>
    </cfRule>
  </conditionalFormatting>
  <conditionalFormatting sqref="P148:P153">
    <cfRule type="cellIs" dxfId="11918" priority="790" operator="greaterThan">
      <formula>0</formula>
    </cfRule>
  </conditionalFormatting>
  <conditionalFormatting sqref="Q148:Q153">
    <cfRule type="cellIs" dxfId="11917" priority="795" operator="lessThan">
      <formula>0</formula>
    </cfRule>
  </conditionalFormatting>
  <conditionalFormatting sqref="R148:R153">
    <cfRule type="cellIs" dxfId="11916" priority="793" operator="lessThan">
      <formula>0.8</formula>
    </cfRule>
    <cfRule type="cellIs" dxfId="11915" priority="794" operator="greaterThan">
      <formula>1</formula>
    </cfRule>
  </conditionalFormatting>
  <conditionalFormatting sqref="R148:R153">
    <cfRule type="cellIs" dxfId="11914" priority="791" operator="greaterThan">
      <formula>1</formula>
    </cfRule>
    <cfRule type="cellIs" dxfId="11913" priority="792" operator="lessThan">
      <formula>0.8</formula>
    </cfRule>
  </conditionalFormatting>
  <conditionalFormatting sqref="R148:R153">
    <cfRule type="cellIs" dxfId="11912" priority="787" operator="lessThan">
      <formula>0.8</formula>
    </cfRule>
    <cfRule type="cellIs" dxfId="11911" priority="788" operator="greaterThan">
      <formula>1</formula>
    </cfRule>
  </conditionalFormatting>
  <conditionalFormatting sqref="R148:R153">
    <cfRule type="cellIs" dxfId="11910" priority="785" operator="greaterThan">
      <formula>1</formula>
    </cfRule>
    <cfRule type="cellIs" dxfId="11909" priority="786" operator="lessThan">
      <formula>0.8</formula>
    </cfRule>
  </conditionalFormatting>
  <conditionalFormatting sqref="P148:P153">
    <cfRule type="cellIs" dxfId="11908" priority="784" operator="greaterThan">
      <formula>0</formula>
    </cfRule>
  </conditionalFormatting>
  <conditionalFormatting sqref="Q148:Q153">
    <cfRule type="cellIs" dxfId="11907" priority="789" operator="lessThan">
      <formula>0</formula>
    </cfRule>
  </conditionalFormatting>
  <conditionalFormatting sqref="R148:R153">
    <cfRule type="cellIs" dxfId="11906" priority="781" operator="lessThan">
      <formula>0.8</formula>
    </cfRule>
    <cfRule type="cellIs" dxfId="11905" priority="782" operator="greaterThan">
      <formula>1</formula>
    </cfRule>
  </conditionalFormatting>
  <conditionalFormatting sqref="R148:R153">
    <cfRule type="cellIs" dxfId="11904" priority="779" operator="greaterThan">
      <formula>1</formula>
    </cfRule>
    <cfRule type="cellIs" dxfId="11903" priority="780" operator="lessThan">
      <formula>0.8</formula>
    </cfRule>
  </conditionalFormatting>
  <conditionalFormatting sqref="P148:P153">
    <cfRule type="cellIs" dxfId="11902" priority="778" operator="greaterThan">
      <formula>0</formula>
    </cfRule>
  </conditionalFormatting>
  <conditionalFormatting sqref="Q148:Q153">
    <cfRule type="cellIs" dxfId="11901" priority="783" operator="lessThan">
      <formula>0</formula>
    </cfRule>
  </conditionalFormatting>
  <conditionalFormatting sqref="Q148:Q153">
    <cfRule type="cellIs" dxfId="11900" priority="777" operator="lessThan">
      <formula>0</formula>
    </cfRule>
  </conditionalFormatting>
  <conditionalFormatting sqref="R148:R153">
    <cfRule type="cellIs" dxfId="11899" priority="775" operator="lessThan">
      <formula>0.8</formula>
    </cfRule>
    <cfRule type="cellIs" dxfId="11898" priority="776" operator="greaterThan">
      <formula>1</formula>
    </cfRule>
  </conditionalFormatting>
  <conditionalFormatting sqref="R148:R153">
    <cfRule type="cellIs" dxfId="11897" priority="773" operator="greaterThan">
      <formula>1</formula>
    </cfRule>
    <cfRule type="cellIs" dxfId="11896" priority="774" operator="lessThan">
      <formula>0.8</formula>
    </cfRule>
  </conditionalFormatting>
  <conditionalFormatting sqref="P148:P153">
    <cfRule type="cellIs" dxfId="11895" priority="772" operator="greaterThan">
      <formula>0</formula>
    </cfRule>
  </conditionalFormatting>
  <conditionalFormatting sqref="Q148:Q153">
    <cfRule type="cellIs" dxfId="11894" priority="766" operator="lessThan">
      <formula>0</formula>
    </cfRule>
  </conditionalFormatting>
  <conditionalFormatting sqref="R148:R153">
    <cfRule type="cellIs" dxfId="11893" priority="770" operator="lessThan">
      <formula>0.8</formula>
    </cfRule>
    <cfRule type="cellIs" dxfId="11892" priority="771" operator="greaterThan">
      <formula>1</formula>
    </cfRule>
  </conditionalFormatting>
  <conditionalFormatting sqref="R148:R153">
    <cfRule type="cellIs" dxfId="11891" priority="768" operator="greaterThan">
      <formula>1</formula>
    </cfRule>
    <cfRule type="cellIs" dxfId="11890" priority="769" operator="lessThan">
      <formula>0.8</formula>
    </cfRule>
  </conditionalFormatting>
  <conditionalFormatting sqref="P148:P153">
    <cfRule type="cellIs" dxfId="11889" priority="767" operator="greaterThan">
      <formula>0</formula>
    </cfRule>
  </conditionalFormatting>
  <conditionalFormatting sqref="Q148:Q153">
    <cfRule type="cellIs" dxfId="11888" priority="765" operator="lessThan">
      <formula>0</formula>
    </cfRule>
  </conditionalFormatting>
  <conditionalFormatting sqref="R148:R153">
    <cfRule type="cellIs" dxfId="11887" priority="763" operator="lessThan">
      <formula>0.8</formula>
    </cfRule>
    <cfRule type="cellIs" dxfId="11886" priority="764" operator="greaterThan">
      <formula>1</formula>
    </cfRule>
  </conditionalFormatting>
  <conditionalFormatting sqref="R148:R153">
    <cfRule type="cellIs" dxfId="11885" priority="761" operator="greaterThan">
      <formula>1</formula>
    </cfRule>
    <cfRule type="cellIs" dxfId="11884" priority="762" operator="lessThan">
      <formula>0.8</formula>
    </cfRule>
  </conditionalFormatting>
  <conditionalFormatting sqref="P148:P153">
    <cfRule type="cellIs" dxfId="11883" priority="760" operator="greaterThan">
      <formula>0</formula>
    </cfRule>
  </conditionalFormatting>
  <conditionalFormatting sqref="Q148:Q153">
    <cfRule type="cellIs" dxfId="11882" priority="759" operator="lessThan">
      <formula>0</formula>
    </cfRule>
  </conditionalFormatting>
  <conditionalFormatting sqref="R148:R153">
    <cfRule type="cellIs" dxfId="11881" priority="757" operator="lessThan">
      <formula>0.8</formula>
    </cfRule>
    <cfRule type="cellIs" dxfId="11880" priority="758" operator="greaterThan">
      <formula>1</formula>
    </cfRule>
  </conditionalFormatting>
  <conditionalFormatting sqref="R148:R153">
    <cfRule type="cellIs" dxfId="11879" priority="755" operator="greaterThan">
      <formula>1</formula>
    </cfRule>
    <cfRule type="cellIs" dxfId="11878" priority="756" operator="lessThan">
      <formula>0.8</formula>
    </cfRule>
  </conditionalFormatting>
  <conditionalFormatting sqref="P148:P153">
    <cfRule type="cellIs" dxfId="11877" priority="754" operator="greaterThan">
      <formula>0</formula>
    </cfRule>
  </conditionalFormatting>
  <conditionalFormatting sqref="Q148:Q153">
    <cfRule type="cellIs" dxfId="11876" priority="753" operator="lessThan">
      <formula>0</formula>
    </cfRule>
  </conditionalFormatting>
  <conditionalFormatting sqref="R148:R153">
    <cfRule type="cellIs" dxfId="11875" priority="751" operator="lessThan">
      <formula>0.8</formula>
    </cfRule>
    <cfRule type="cellIs" dxfId="11874" priority="752" operator="greaterThan">
      <formula>1</formula>
    </cfRule>
  </conditionalFormatting>
  <conditionalFormatting sqref="R148:R153">
    <cfRule type="cellIs" dxfId="11873" priority="749" operator="greaterThan">
      <formula>1</formula>
    </cfRule>
    <cfRule type="cellIs" dxfId="11872" priority="750" operator="lessThan">
      <formula>0.8</formula>
    </cfRule>
  </conditionalFormatting>
  <conditionalFormatting sqref="P148:P153">
    <cfRule type="cellIs" dxfId="11871" priority="748" operator="greaterThan">
      <formula>0</formula>
    </cfRule>
  </conditionalFormatting>
  <conditionalFormatting sqref="Q148:Q153">
    <cfRule type="cellIs" dxfId="11870" priority="747" operator="lessThan">
      <formula>0</formula>
    </cfRule>
  </conditionalFormatting>
  <conditionalFormatting sqref="R148:R153">
    <cfRule type="cellIs" dxfId="11869" priority="745" operator="lessThan">
      <formula>0.8</formula>
    </cfRule>
    <cfRule type="cellIs" dxfId="11868" priority="746" operator="greaterThan">
      <formula>1</formula>
    </cfRule>
  </conditionalFormatting>
  <conditionalFormatting sqref="R148:R153">
    <cfRule type="cellIs" dxfId="11867" priority="743" operator="greaterThan">
      <formula>1</formula>
    </cfRule>
    <cfRule type="cellIs" dxfId="11866" priority="744" operator="lessThan">
      <formula>0.8</formula>
    </cfRule>
  </conditionalFormatting>
  <conditionalFormatting sqref="P148:P153">
    <cfRule type="cellIs" dxfId="11865" priority="742" operator="greaterThan">
      <formula>0</formula>
    </cfRule>
  </conditionalFormatting>
  <conditionalFormatting sqref="Q148:Q153">
    <cfRule type="cellIs" dxfId="11864" priority="741" operator="lessThan">
      <formula>0</formula>
    </cfRule>
  </conditionalFormatting>
  <conditionalFormatting sqref="R148:R153">
    <cfRule type="cellIs" dxfId="11863" priority="739" operator="lessThan">
      <formula>0.8</formula>
    </cfRule>
    <cfRule type="cellIs" dxfId="11862" priority="740" operator="greaterThan">
      <formula>1</formula>
    </cfRule>
  </conditionalFormatting>
  <conditionalFormatting sqref="R148:R153">
    <cfRule type="cellIs" dxfId="11861" priority="737" operator="greaterThan">
      <formula>1</formula>
    </cfRule>
    <cfRule type="cellIs" dxfId="11860" priority="738" operator="lessThan">
      <formula>0.8</formula>
    </cfRule>
  </conditionalFormatting>
  <conditionalFormatting sqref="P148:P153">
    <cfRule type="cellIs" dxfId="11859" priority="736" operator="greaterThan">
      <formula>0</formula>
    </cfRule>
  </conditionalFormatting>
  <conditionalFormatting sqref="P148:P153">
    <cfRule type="cellIs" dxfId="11858" priority="730" operator="greaterThan">
      <formula>0</formula>
    </cfRule>
  </conditionalFormatting>
  <conditionalFormatting sqref="Q148:Q153">
    <cfRule type="cellIs" dxfId="11857" priority="735" operator="lessThan">
      <formula>0</formula>
    </cfRule>
  </conditionalFormatting>
  <conditionalFormatting sqref="R148:R153">
    <cfRule type="cellIs" dxfId="11856" priority="733" operator="lessThan">
      <formula>0.8</formula>
    </cfRule>
    <cfRule type="cellIs" dxfId="11855" priority="734" operator="greaterThan">
      <formula>1</formula>
    </cfRule>
  </conditionalFormatting>
  <conditionalFormatting sqref="R148:R153">
    <cfRule type="cellIs" dxfId="11854" priority="731" operator="greaterThan">
      <formula>1</formula>
    </cfRule>
    <cfRule type="cellIs" dxfId="11853" priority="732" operator="lessThan">
      <formula>0.8</formula>
    </cfRule>
  </conditionalFormatting>
  <conditionalFormatting sqref="P148:P153">
    <cfRule type="cellIs" dxfId="11852" priority="724" operator="greaterThan">
      <formula>0</formula>
    </cfRule>
  </conditionalFormatting>
  <conditionalFormatting sqref="Q148:Q153">
    <cfRule type="cellIs" dxfId="11851" priority="729" operator="lessThan">
      <formula>0</formula>
    </cfRule>
  </conditionalFormatting>
  <conditionalFormatting sqref="R148:R153">
    <cfRule type="cellIs" dxfId="11850" priority="727" operator="lessThan">
      <formula>0.8</formula>
    </cfRule>
    <cfRule type="cellIs" dxfId="11849" priority="728" operator="greaterThan">
      <formula>1</formula>
    </cfRule>
  </conditionalFormatting>
  <conditionalFormatting sqref="R148:R153">
    <cfRule type="cellIs" dxfId="11848" priority="725" operator="greaterThan">
      <formula>1</formula>
    </cfRule>
    <cfRule type="cellIs" dxfId="11847" priority="726" operator="lessThan">
      <formula>0.8</formula>
    </cfRule>
  </conditionalFormatting>
  <conditionalFormatting sqref="R148:R153">
    <cfRule type="cellIs" dxfId="11846" priority="721" operator="lessThan">
      <formula>0.8</formula>
    </cfRule>
    <cfRule type="cellIs" dxfId="11845" priority="722" operator="greaterThan">
      <formula>1</formula>
    </cfRule>
  </conditionalFormatting>
  <conditionalFormatting sqref="R148:R153">
    <cfRule type="cellIs" dxfId="11844" priority="719" operator="greaterThan">
      <formula>1</formula>
    </cfRule>
    <cfRule type="cellIs" dxfId="11843" priority="720" operator="lessThan">
      <formula>0.8</formula>
    </cfRule>
  </conditionalFormatting>
  <conditionalFormatting sqref="P148:P153">
    <cfRule type="cellIs" dxfId="11842" priority="718" operator="greaterThan">
      <formula>0</formula>
    </cfRule>
  </conditionalFormatting>
  <conditionalFormatting sqref="Q148:Q153">
    <cfRule type="cellIs" dxfId="11841" priority="723" operator="lessThan">
      <formula>0</formula>
    </cfRule>
  </conditionalFormatting>
  <conditionalFormatting sqref="P44:P51">
    <cfRule type="cellIs" dxfId="11840" priority="712" operator="greaterThan">
      <formula>0</formula>
    </cfRule>
  </conditionalFormatting>
  <conditionalFormatting sqref="Q44:Q51">
    <cfRule type="cellIs" dxfId="11839" priority="717" operator="lessThan">
      <formula>0</formula>
    </cfRule>
  </conditionalFormatting>
  <conditionalFormatting sqref="R44:R51">
    <cfRule type="cellIs" dxfId="11838" priority="715" operator="lessThan">
      <formula>0.8</formula>
    </cfRule>
    <cfRule type="cellIs" dxfId="11837" priority="716" operator="greaterThan">
      <formula>1</formula>
    </cfRule>
  </conditionalFormatting>
  <conditionalFormatting sqref="R44:R51">
    <cfRule type="cellIs" dxfId="11836" priority="713" operator="greaterThan">
      <formula>1</formula>
    </cfRule>
    <cfRule type="cellIs" dxfId="11835" priority="714" operator="lessThan">
      <formula>0.8</formula>
    </cfRule>
  </conditionalFormatting>
  <conditionalFormatting sqref="Q84:Q91">
    <cfRule type="cellIs" dxfId="11834" priority="711" operator="lessThan">
      <formula>0</formula>
    </cfRule>
  </conditionalFormatting>
  <conditionalFormatting sqref="R84:R91">
    <cfRule type="cellIs" dxfId="11833" priority="709" operator="lessThan">
      <formula>0.8</formula>
    </cfRule>
    <cfRule type="cellIs" dxfId="11832" priority="710" operator="greaterThan">
      <formula>1</formula>
    </cfRule>
  </conditionalFormatting>
  <conditionalFormatting sqref="R84:R91">
    <cfRule type="cellIs" dxfId="11831" priority="707" operator="greaterThan">
      <formula>1</formula>
    </cfRule>
    <cfRule type="cellIs" dxfId="11830" priority="708" operator="lessThan">
      <formula>0.8</formula>
    </cfRule>
  </conditionalFormatting>
  <conditionalFormatting sqref="P84:P91">
    <cfRule type="cellIs" dxfId="11829" priority="706" operator="greaterThan">
      <formula>0</formula>
    </cfRule>
  </conditionalFormatting>
  <conditionalFormatting sqref="Q84:Q91">
    <cfRule type="cellIs" dxfId="11828" priority="705" operator="lessThan">
      <formula>0</formula>
    </cfRule>
  </conditionalFormatting>
  <conditionalFormatting sqref="R84:R91">
    <cfRule type="cellIs" dxfId="11827" priority="703" operator="lessThan">
      <formula>0.8</formula>
    </cfRule>
    <cfRule type="cellIs" dxfId="11826" priority="704" operator="greaterThan">
      <formula>1</formula>
    </cfRule>
  </conditionalFormatting>
  <conditionalFormatting sqref="R84:R91">
    <cfRule type="cellIs" dxfId="11825" priority="701" operator="greaterThan">
      <formula>1</formula>
    </cfRule>
    <cfRule type="cellIs" dxfId="11824" priority="702" operator="lessThan">
      <formula>0.8</formula>
    </cfRule>
  </conditionalFormatting>
  <conditionalFormatting sqref="P84:P91">
    <cfRule type="cellIs" dxfId="11823" priority="700" operator="greaterThan">
      <formula>0</formula>
    </cfRule>
  </conditionalFormatting>
  <conditionalFormatting sqref="Q84:Q91">
    <cfRule type="cellIs" dxfId="11822" priority="699" operator="lessThan">
      <formula>0</formula>
    </cfRule>
  </conditionalFormatting>
  <conditionalFormatting sqref="R84:R91">
    <cfRule type="cellIs" dxfId="11821" priority="697" operator="lessThan">
      <formula>0.8</formula>
    </cfRule>
    <cfRule type="cellIs" dxfId="11820" priority="698" operator="greaterThan">
      <formula>1</formula>
    </cfRule>
  </conditionalFormatting>
  <conditionalFormatting sqref="R84:R91">
    <cfRule type="cellIs" dxfId="11819" priority="695" operator="greaterThan">
      <formula>1</formula>
    </cfRule>
    <cfRule type="cellIs" dxfId="11818" priority="696" operator="lessThan">
      <formula>0.8</formula>
    </cfRule>
  </conditionalFormatting>
  <conditionalFormatting sqref="P84:P91">
    <cfRule type="cellIs" dxfId="11817" priority="694" operator="greaterThan">
      <formula>0</formula>
    </cfRule>
  </conditionalFormatting>
  <conditionalFormatting sqref="Q84:Q91">
    <cfRule type="cellIs" dxfId="11816" priority="693" operator="lessThan">
      <formula>0</formula>
    </cfRule>
  </conditionalFormatting>
  <conditionalFormatting sqref="R84:R91">
    <cfRule type="cellIs" dxfId="11815" priority="691" operator="lessThan">
      <formula>0.8</formula>
    </cfRule>
    <cfRule type="cellIs" dxfId="11814" priority="692" operator="greaterThan">
      <formula>1</formula>
    </cfRule>
  </conditionalFormatting>
  <conditionalFormatting sqref="R84:R91">
    <cfRule type="cellIs" dxfId="11813" priority="689" operator="greaterThan">
      <formula>1</formula>
    </cfRule>
    <cfRule type="cellIs" dxfId="11812" priority="690" operator="lessThan">
      <formula>0.8</formula>
    </cfRule>
  </conditionalFormatting>
  <conditionalFormatting sqref="P84:P91">
    <cfRule type="cellIs" dxfId="11811" priority="688" operator="greaterThan">
      <formula>0</formula>
    </cfRule>
  </conditionalFormatting>
  <conditionalFormatting sqref="P84:P91">
    <cfRule type="cellIs" dxfId="11810" priority="682" operator="greaterThan">
      <formula>0</formula>
    </cfRule>
  </conditionalFormatting>
  <conditionalFormatting sqref="Q84:Q91">
    <cfRule type="cellIs" dxfId="11809" priority="687" operator="lessThan">
      <formula>0</formula>
    </cfRule>
  </conditionalFormatting>
  <conditionalFormatting sqref="R84:R91">
    <cfRule type="cellIs" dxfId="11808" priority="685" operator="lessThan">
      <formula>0.8</formula>
    </cfRule>
    <cfRule type="cellIs" dxfId="11807" priority="686" operator="greaterThan">
      <formula>1</formula>
    </cfRule>
  </conditionalFormatting>
  <conditionalFormatting sqref="R84:R91">
    <cfRule type="cellIs" dxfId="11806" priority="683" operator="greaterThan">
      <formula>1</formula>
    </cfRule>
    <cfRule type="cellIs" dxfId="11805" priority="684" operator="lessThan">
      <formula>0.8</formula>
    </cfRule>
  </conditionalFormatting>
  <conditionalFormatting sqref="P84:P91">
    <cfRule type="cellIs" dxfId="11804" priority="676" operator="greaterThan">
      <formula>0</formula>
    </cfRule>
  </conditionalFormatting>
  <conditionalFormatting sqref="Q84:Q91">
    <cfRule type="cellIs" dxfId="11803" priority="681" operator="lessThan">
      <formula>0</formula>
    </cfRule>
  </conditionalFormatting>
  <conditionalFormatting sqref="R84:R91">
    <cfRule type="cellIs" dxfId="11802" priority="679" operator="lessThan">
      <formula>0.8</formula>
    </cfRule>
    <cfRule type="cellIs" dxfId="11801" priority="680" operator="greaterThan">
      <formula>1</formula>
    </cfRule>
  </conditionalFormatting>
  <conditionalFormatting sqref="R84:R91">
    <cfRule type="cellIs" dxfId="11800" priority="677" operator="greaterThan">
      <formula>1</formula>
    </cfRule>
    <cfRule type="cellIs" dxfId="11799" priority="678" operator="lessThan">
      <formula>0.8</formula>
    </cfRule>
  </conditionalFormatting>
  <conditionalFormatting sqref="R84:R91">
    <cfRule type="cellIs" dxfId="11798" priority="673" operator="lessThan">
      <formula>0.8</formula>
    </cfRule>
    <cfRule type="cellIs" dxfId="11797" priority="674" operator="greaterThan">
      <formula>1</formula>
    </cfRule>
  </conditionalFormatting>
  <conditionalFormatting sqref="R84:R91">
    <cfRule type="cellIs" dxfId="11796" priority="671" operator="greaterThan">
      <formula>1</formula>
    </cfRule>
    <cfRule type="cellIs" dxfId="11795" priority="672" operator="lessThan">
      <formula>0.8</formula>
    </cfRule>
  </conditionalFormatting>
  <conditionalFormatting sqref="P84:P91">
    <cfRule type="cellIs" dxfId="11794" priority="670" operator="greaterThan">
      <formula>0</formula>
    </cfRule>
  </conditionalFormatting>
  <conditionalFormatting sqref="Q84:Q91">
    <cfRule type="cellIs" dxfId="11793" priority="675" operator="lessThan">
      <formula>0</formula>
    </cfRule>
  </conditionalFormatting>
  <conditionalFormatting sqref="Q84:Q91">
    <cfRule type="cellIs" dxfId="11792" priority="669" operator="lessThan">
      <formula>0</formula>
    </cfRule>
  </conditionalFormatting>
  <conditionalFormatting sqref="R84:R91">
    <cfRule type="cellIs" dxfId="11791" priority="667" operator="lessThan">
      <formula>0.8</formula>
    </cfRule>
    <cfRule type="cellIs" dxfId="11790" priority="668" operator="greaterThan">
      <formula>1</formula>
    </cfRule>
  </conditionalFormatting>
  <conditionalFormatting sqref="R84:R91">
    <cfRule type="cellIs" dxfId="11789" priority="665" operator="greaterThan">
      <formula>1</formula>
    </cfRule>
    <cfRule type="cellIs" dxfId="11788" priority="666" operator="lessThan">
      <formula>0.8</formula>
    </cfRule>
  </conditionalFormatting>
  <conditionalFormatting sqref="P84:P91">
    <cfRule type="cellIs" dxfId="11787" priority="664" operator="greaterThan">
      <formula>0</formula>
    </cfRule>
  </conditionalFormatting>
  <conditionalFormatting sqref="P84:P91">
    <cfRule type="cellIs" dxfId="11786" priority="658" operator="greaterThan">
      <formula>0</formula>
    </cfRule>
  </conditionalFormatting>
  <conditionalFormatting sqref="Q84:Q91">
    <cfRule type="cellIs" dxfId="11785" priority="663" operator="lessThan">
      <formula>0</formula>
    </cfRule>
  </conditionalFormatting>
  <conditionalFormatting sqref="R84:R91">
    <cfRule type="cellIs" dxfId="11784" priority="661" operator="lessThan">
      <formula>0.8</formula>
    </cfRule>
    <cfRule type="cellIs" dxfId="11783" priority="662" operator="greaterThan">
      <formula>1</formula>
    </cfRule>
  </conditionalFormatting>
  <conditionalFormatting sqref="R84:R91">
    <cfRule type="cellIs" dxfId="11782" priority="659" operator="greaterThan">
      <formula>1</formula>
    </cfRule>
    <cfRule type="cellIs" dxfId="11781" priority="660" operator="lessThan">
      <formula>0.8</formula>
    </cfRule>
  </conditionalFormatting>
  <conditionalFormatting sqref="P84:P91">
    <cfRule type="cellIs" dxfId="11780" priority="652" operator="greaterThan">
      <formula>0</formula>
    </cfRule>
  </conditionalFormatting>
  <conditionalFormatting sqref="Q84:Q91">
    <cfRule type="cellIs" dxfId="11779" priority="657" operator="lessThan">
      <formula>0</formula>
    </cfRule>
  </conditionalFormatting>
  <conditionalFormatting sqref="R84:R91">
    <cfRule type="cellIs" dxfId="11778" priority="655" operator="lessThan">
      <formula>0.8</formula>
    </cfRule>
    <cfRule type="cellIs" dxfId="11777" priority="656" operator="greaterThan">
      <formula>1</formula>
    </cfRule>
  </conditionalFormatting>
  <conditionalFormatting sqref="R84:R91">
    <cfRule type="cellIs" dxfId="11776" priority="653" operator="greaterThan">
      <formula>1</formula>
    </cfRule>
    <cfRule type="cellIs" dxfId="11775" priority="654" operator="lessThan">
      <formula>0.8</formula>
    </cfRule>
  </conditionalFormatting>
  <conditionalFormatting sqref="R84:R91">
    <cfRule type="cellIs" dxfId="11774" priority="649" operator="lessThan">
      <formula>0.8</formula>
    </cfRule>
    <cfRule type="cellIs" dxfId="11773" priority="650" operator="greaterThan">
      <formula>1</formula>
    </cfRule>
  </conditionalFormatting>
  <conditionalFormatting sqref="R84:R91">
    <cfRule type="cellIs" dxfId="11772" priority="647" operator="greaterThan">
      <formula>1</formula>
    </cfRule>
    <cfRule type="cellIs" dxfId="11771" priority="648" operator="lessThan">
      <formula>0.8</formula>
    </cfRule>
  </conditionalFormatting>
  <conditionalFormatting sqref="P84:P91">
    <cfRule type="cellIs" dxfId="11770" priority="646" operator="greaterThan">
      <formula>0</formula>
    </cfRule>
  </conditionalFormatting>
  <conditionalFormatting sqref="Q84:Q91">
    <cfRule type="cellIs" dxfId="11769" priority="651" operator="lessThan">
      <formula>0</formula>
    </cfRule>
  </conditionalFormatting>
  <conditionalFormatting sqref="P84:P91">
    <cfRule type="cellIs" dxfId="11768" priority="640" operator="greaterThan">
      <formula>0</formula>
    </cfRule>
  </conditionalFormatting>
  <conditionalFormatting sqref="Q84:Q91">
    <cfRule type="cellIs" dxfId="11767" priority="645" operator="lessThan">
      <formula>0</formula>
    </cfRule>
  </conditionalFormatting>
  <conditionalFormatting sqref="R84:R91">
    <cfRule type="cellIs" dxfId="11766" priority="643" operator="lessThan">
      <formula>0.8</formula>
    </cfRule>
    <cfRule type="cellIs" dxfId="11765" priority="644" operator="greaterThan">
      <formula>1</formula>
    </cfRule>
  </conditionalFormatting>
  <conditionalFormatting sqref="R84:R91">
    <cfRule type="cellIs" dxfId="11764" priority="641" operator="greaterThan">
      <formula>1</formula>
    </cfRule>
    <cfRule type="cellIs" dxfId="11763" priority="642" operator="lessThan">
      <formula>0.8</formula>
    </cfRule>
  </conditionalFormatting>
  <conditionalFormatting sqref="R84:R91">
    <cfRule type="cellIs" dxfId="11762" priority="637" operator="lessThan">
      <formula>0.8</formula>
    </cfRule>
    <cfRule type="cellIs" dxfId="11761" priority="638" operator="greaterThan">
      <formula>1</formula>
    </cfRule>
  </conditionalFormatting>
  <conditionalFormatting sqref="R84:R91">
    <cfRule type="cellIs" dxfId="11760" priority="635" operator="greaterThan">
      <formula>1</formula>
    </cfRule>
    <cfRule type="cellIs" dxfId="11759" priority="636" operator="lessThan">
      <formula>0.8</formula>
    </cfRule>
  </conditionalFormatting>
  <conditionalFormatting sqref="P84:P91">
    <cfRule type="cellIs" dxfId="11758" priority="634" operator="greaterThan">
      <formula>0</formula>
    </cfRule>
  </conditionalFormatting>
  <conditionalFormatting sqref="Q84:Q91">
    <cfRule type="cellIs" dxfId="11757" priority="639" operator="lessThan">
      <formula>0</formula>
    </cfRule>
  </conditionalFormatting>
  <conditionalFormatting sqref="R84:R91">
    <cfRule type="cellIs" dxfId="11756" priority="631" operator="lessThan">
      <formula>0.8</formula>
    </cfRule>
    <cfRule type="cellIs" dxfId="11755" priority="632" operator="greaterThan">
      <formula>1</formula>
    </cfRule>
  </conditionalFormatting>
  <conditionalFormatting sqref="R84:R91">
    <cfRule type="cellIs" dxfId="11754" priority="629" operator="greaterThan">
      <formula>1</formula>
    </cfRule>
    <cfRule type="cellIs" dxfId="11753" priority="630" operator="lessThan">
      <formula>0.8</formula>
    </cfRule>
  </conditionalFormatting>
  <conditionalFormatting sqref="P84:P91">
    <cfRule type="cellIs" dxfId="11752" priority="628" operator="greaterThan">
      <formula>0</formula>
    </cfRule>
  </conditionalFormatting>
  <conditionalFormatting sqref="Q84:Q91">
    <cfRule type="cellIs" dxfId="11751" priority="633" operator="lessThan">
      <formula>0</formula>
    </cfRule>
  </conditionalFormatting>
  <conditionalFormatting sqref="Q84:Q91">
    <cfRule type="cellIs" dxfId="11750" priority="627" operator="lessThan">
      <formula>0</formula>
    </cfRule>
  </conditionalFormatting>
  <conditionalFormatting sqref="R84:R91">
    <cfRule type="cellIs" dxfId="11749" priority="625" operator="lessThan">
      <formula>0.8</formula>
    </cfRule>
    <cfRule type="cellIs" dxfId="11748" priority="626" operator="greaterThan">
      <formula>1</formula>
    </cfRule>
  </conditionalFormatting>
  <conditionalFormatting sqref="R84:R91">
    <cfRule type="cellIs" dxfId="11747" priority="623" operator="greaterThan">
      <formula>1</formula>
    </cfRule>
    <cfRule type="cellIs" dxfId="11746" priority="624" operator="lessThan">
      <formula>0.8</formula>
    </cfRule>
  </conditionalFormatting>
  <conditionalFormatting sqref="P84:P91">
    <cfRule type="cellIs" dxfId="11745" priority="622" operator="greaterThan">
      <formula>0</formula>
    </cfRule>
  </conditionalFormatting>
  <conditionalFormatting sqref="Q84:Q91">
    <cfRule type="cellIs" dxfId="11744" priority="616" operator="lessThan">
      <formula>0</formula>
    </cfRule>
  </conditionalFormatting>
  <conditionalFormatting sqref="R84:R91">
    <cfRule type="cellIs" dxfId="11743" priority="620" operator="lessThan">
      <formula>0.8</formula>
    </cfRule>
    <cfRule type="cellIs" dxfId="11742" priority="621" operator="greaterThan">
      <formula>1</formula>
    </cfRule>
  </conditionalFormatting>
  <conditionalFormatting sqref="R84:R91">
    <cfRule type="cellIs" dxfId="11741" priority="618" operator="greaterThan">
      <formula>1</formula>
    </cfRule>
    <cfRule type="cellIs" dxfId="11740" priority="619" operator="lessThan">
      <formula>0.8</formula>
    </cfRule>
  </conditionalFormatting>
  <conditionalFormatting sqref="P84:P91">
    <cfRule type="cellIs" dxfId="11739" priority="617" operator="greaterThan">
      <formula>0</formula>
    </cfRule>
  </conditionalFormatting>
  <conditionalFormatting sqref="Q84:Q91">
    <cfRule type="cellIs" dxfId="11738" priority="615" operator="lessThan">
      <formula>0</formula>
    </cfRule>
  </conditionalFormatting>
  <conditionalFormatting sqref="R84:R91">
    <cfRule type="cellIs" dxfId="11737" priority="613" operator="lessThan">
      <formula>0.8</formula>
    </cfRule>
    <cfRule type="cellIs" dxfId="11736" priority="614" operator="greaterThan">
      <formula>1</formula>
    </cfRule>
  </conditionalFormatting>
  <conditionalFormatting sqref="R84:R91">
    <cfRule type="cellIs" dxfId="11735" priority="611" operator="greaterThan">
      <formula>1</formula>
    </cfRule>
    <cfRule type="cellIs" dxfId="11734" priority="612" operator="lessThan">
      <formula>0.8</formula>
    </cfRule>
  </conditionalFormatting>
  <conditionalFormatting sqref="P84:P91">
    <cfRule type="cellIs" dxfId="11733" priority="610" operator="greaterThan">
      <formula>0</formula>
    </cfRule>
  </conditionalFormatting>
  <conditionalFormatting sqref="Q84:Q91">
    <cfRule type="cellIs" dxfId="11732" priority="609" operator="lessThan">
      <formula>0</formula>
    </cfRule>
  </conditionalFormatting>
  <conditionalFormatting sqref="R84:R91">
    <cfRule type="cellIs" dxfId="11731" priority="607" operator="lessThan">
      <formula>0.8</formula>
    </cfRule>
    <cfRule type="cellIs" dxfId="11730" priority="608" operator="greaterThan">
      <formula>1</formula>
    </cfRule>
  </conditionalFormatting>
  <conditionalFormatting sqref="R84:R91">
    <cfRule type="cellIs" dxfId="11729" priority="605" operator="greaterThan">
      <formula>1</formula>
    </cfRule>
    <cfRule type="cellIs" dxfId="11728" priority="606" operator="lessThan">
      <formula>0.8</formula>
    </cfRule>
  </conditionalFormatting>
  <conditionalFormatting sqref="P84:P91">
    <cfRule type="cellIs" dxfId="11727" priority="604" operator="greaterThan">
      <formula>0</formula>
    </cfRule>
  </conditionalFormatting>
  <conditionalFormatting sqref="Q84:Q91">
    <cfRule type="cellIs" dxfId="11726" priority="603" operator="lessThan">
      <formula>0</formula>
    </cfRule>
  </conditionalFormatting>
  <conditionalFormatting sqref="R84:R91">
    <cfRule type="cellIs" dxfId="11725" priority="601" operator="lessThan">
      <formula>0.8</formula>
    </cfRule>
    <cfRule type="cellIs" dxfId="11724" priority="602" operator="greaterThan">
      <formula>1</formula>
    </cfRule>
  </conditionalFormatting>
  <conditionalFormatting sqref="R84:R91">
    <cfRule type="cellIs" dxfId="11723" priority="599" operator="greaterThan">
      <formula>1</formula>
    </cfRule>
    <cfRule type="cellIs" dxfId="11722" priority="600" operator="lessThan">
      <formula>0.8</formula>
    </cfRule>
  </conditionalFormatting>
  <conditionalFormatting sqref="P84:P91">
    <cfRule type="cellIs" dxfId="11721" priority="598" operator="greaterThan">
      <formula>0</formula>
    </cfRule>
  </conditionalFormatting>
  <conditionalFormatting sqref="Q84:Q91">
    <cfRule type="cellIs" dxfId="11720" priority="597" operator="lessThan">
      <formula>0</formula>
    </cfRule>
  </conditionalFormatting>
  <conditionalFormatting sqref="R84:R91">
    <cfRule type="cellIs" dxfId="11719" priority="595" operator="lessThan">
      <formula>0.8</formula>
    </cfRule>
    <cfRule type="cellIs" dxfId="11718" priority="596" operator="greaterThan">
      <formula>1</formula>
    </cfRule>
  </conditionalFormatting>
  <conditionalFormatting sqref="R84:R91">
    <cfRule type="cellIs" dxfId="11717" priority="593" operator="greaterThan">
      <formula>1</formula>
    </cfRule>
    <cfRule type="cellIs" dxfId="11716" priority="594" operator="lessThan">
      <formula>0.8</formula>
    </cfRule>
  </conditionalFormatting>
  <conditionalFormatting sqref="P84:P91">
    <cfRule type="cellIs" dxfId="11715" priority="592" operator="greaterThan">
      <formula>0</formula>
    </cfRule>
  </conditionalFormatting>
  <conditionalFormatting sqref="Q84:Q91">
    <cfRule type="cellIs" dxfId="11714" priority="591" operator="lessThan">
      <formula>0</formula>
    </cfRule>
  </conditionalFormatting>
  <conditionalFormatting sqref="R84:R91">
    <cfRule type="cellIs" dxfId="11713" priority="589" operator="lessThan">
      <formula>0.8</formula>
    </cfRule>
    <cfRule type="cellIs" dxfId="11712" priority="590" operator="greaterThan">
      <formula>1</formula>
    </cfRule>
  </conditionalFormatting>
  <conditionalFormatting sqref="R84:R91">
    <cfRule type="cellIs" dxfId="11711" priority="587" operator="greaterThan">
      <formula>1</formula>
    </cfRule>
    <cfRule type="cellIs" dxfId="11710" priority="588" operator="lessThan">
      <formula>0.8</formula>
    </cfRule>
  </conditionalFormatting>
  <conditionalFormatting sqref="P84:P91">
    <cfRule type="cellIs" dxfId="11709" priority="586" operator="greaterThan">
      <formula>0</formula>
    </cfRule>
  </conditionalFormatting>
  <conditionalFormatting sqref="P84:P91">
    <cfRule type="cellIs" dxfId="11708" priority="580" operator="greaterThan">
      <formula>0</formula>
    </cfRule>
  </conditionalFormatting>
  <conditionalFormatting sqref="Q84:Q91">
    <cfRule type="cellIs" dxfId="11707" priority="585" operator="lessThan">
      <formula>0</formula>
    </cfRule>
  </conditionalFormatting>
  <conditionalFormatting sqref="R84:R91">
    <cfRule type="cellIs" dxfId="11706" priority="583" operator="lessThan">
      <formula>0.8</formula>
    </cfRule>
    <cfRule type="cellIs" dxfId="11705" priority="584" operator="greaterThan">
      <formula>1</formula>
    </cfRule>
  </conditionalFormatting>
  <conditionalFormatting sqref="R84:R91">
    <cfRule type="cellIs" dxfId="11704" priority="581" operator="greaterThan">
      <formula>1</formula>
    </cfRule>
    <cfRule type="cellIs" dxfId="11703" priority="582" operator="lessThan">
      <formula>0.8</formula>
    </cfRule>
  </conditionalFormatting>
  <conditionalFormatting sqref="P84:P91">
    <cfRule type="cellIs" dxfId="11702" priority="574" operator="greaterThan">
      <formula>0</formula>
    </cfRule>
  </conditionalFormatting>
  <conditionalFormatting sqref="Q84:Q91">
    <cfRule type="cellIs" dxfId="11701" priority="579" operator="lessThan">
      <formula>0</formula>
    </cfRule>
  </conditionalFormatting>
  <conditionalFormatting sqref="R84:R91">
    <cfRule type="cellIs" dxfId="11700" priority="577" operator="lessThan">
      <formula>0.8</formula>
    </cfRule>
    <cfRule type="cellIs" dxfId="11699" priority="578" operator="greaterThan">
      <formula>1</formula>
    </cfRule>
  </conditionalFormatting>
  <conditionalFormatting sqref="R84:R91">
    <cfRule type="cellIs" dxfId="11698" priority="575" operator="greaterThan">
      <formula>1</formula>
    </cfRule>
    <cfRule type="cellIs" dxfId="11697" priority="576" operator="lessThan">
      <formula>0.8</formula>
    </cfRule>
  </conditionalFormatting>
  <conditionalFormatting sqref="R84:R91">
    <cfRule type="cellIs" dxfId="11696" priority="571" operator="lessThan">
      <formula>0.8</formula>
    </cfRule>
    <cfRule type="cellIs" dxfId="11695" priority="572" operator="greaterThan">
      <formula>1</formula>
    </cfRule>
  </conditionalFormatting>
  <conditionalFormatting sqref="R84:R91">
    <cfRule type="cellIs" dxfId="11694" priority="569" operator="greaterThan">
      <formula>1</formula>
    </cfRule>
    <cfRule type="cellIs" dxfId="11693" priority="570" operator="lessThan">
      <formula>0.8</formula>
    </cfRule>
  </conditionalFormatting>
  <conditionalFormatting sqref="P84:P91">
    <cfRule type="cellIs" dxfId="11692" priority="568" operator="greaterThan">
      <formula>0</formula>
    </cfRule>
  </conditionalFormatting>
  <conditionalFormatting sqref="Q84:Q91">
    <cfRule type="cellIs" dxfId="11691" priority="573" operator="lessThan">
      <formula>0</formula>
    </cfRule>
  </conditionalFormatting>
  <conditionalFormatting sqref="Q84:Q91">
    <cfRule type="cellIs" dxfId="11690" priority="567" operator="lessThan">
      <formula>0</formula>
    </cfRule>
  </conditionalFormatting>
  <conditionalFormatting sqref="R84:R91">
    <cfRule type="cellIs" dxfId="11689" priority="565" operator="lessThan">
      <formula>0.8</formula>
    </cfRule>
    <cfRule type="cellIs" dxfId="11688" priority="566" operator="greaterThan">
      <formula>1</formula>
    </cfRule>
  </conditionalFormatting>
  <conditionalFormatting sqref="R84:R91">
    <cfRule type="cellIs" dxfId="11687" priority="563" operator="greaterThan">
      <formula>1</formula>
    </cfRule>
    <cfRule type="cellIs" dxfId="11686" priority="564" operator="lessThan">
      <formula>0.8</formula>
    </cfRule>
  </conditionalFormatting>
  <conditionalFormatting sqref="P84:P91">
    <cfRule type="cellIs" dxfId="11685" priority="562" operator="greaterThan">
      <formula>0</formula>
    </cfRule>
  </conditionalFormatting>
  <conditionalFormatting sqref="Q84:Q91">
    <cfRule type="cellIs" dxfId="11684" priority="561" operator="lessThan">
      <formula>0</formula>
    </cfRule>
  </conditionalFormatting>
  <conditionalFormatting sqref="R84:R91">
    <cfRule type="cellIs" dxfId="11683" priority="559" operator="lessThan">
      <formula>0.8</formula>
    </cfRule>
    <cfRule type="cellIs" dxfId="11682" priority="560" operator="greaterThan">
      <formula>1</formula>
    </cfRule>
  </conditionalFormatting>
  <conditionalFormatting sqref="R84:R91">
    <cfRule type="cellIs" dxfId="11681" priority="557" operator="greaterThan">
      <formula>1</formula>
    </cfRule>
    <cfRule type="cellIs" dxfId="11680" priority="558" operator="lessThan">
      <formula>0.8</formula>
    </cfRule>
  </conditionalFormatting>
  <conditionalFormatting sqref="P84:P91">
    <cfRule type="cellIs" dxfId="11679" priority="556" operator="greaterThan">
      <formula>0</formula>
    </cfRule>
  </conditionalFormatting>
  <conditionalFormatting sqref="Q84:Q91">
    <cfRule type="cellIs" dxfId="11678" priority="555" operator="lessThan">
      <formula>0</formula>
    </cfRule>
  </conditionalFormatting>
  <conditionalFormatting sqref="R84:R91">
    <cfRule type="cellIs" dxfId="11677" priority="553" operator="lessThan">
      <formula>0.8</formula>
    </cfRule>
    <cfRule type="cellIs" dxfId="11676" priority="554" operator="greaterThan">
      <formula>1</formula>
    </cfRule>
  </conditionalFormatting>
  <conditionalFormatting sqref="R84:R91">
    <cfRule type="cellIs" dxfId="11675" priority="551" operator="greaterThan">
      <formula>1</formula>
    </cfRule>
    <cfRule type="cellIs" dxfId="11674" priority="552" operator="lessThan">
      <formula>0.8</formula>
    </cfRule>
  </conditionalFormatting>
  <conditionalFormatting sqref="P84:P91">
    <cfRule type="cellIs" dxfId="11673" priority="550" operator="greaterThan">
      <formula>0</formula>
    </cfRule>
  </conditionalFormatting>
  <conditionalFormatting sqref="Q84:Q91">
    <cfRule type="cellIs" dxfId="11672" priority="549" operator="lessThan">
      <formula>0</formula>
    </cfRule>
  </conditionalFormatting>
  <conditionalFormatting sqref="R84:R91">
    <cfRule type="cellIs" dxfId="11671" priority="547" operator="lessThan">
      <formula>0.8</formula>
    </cfRule>
    <cfRule type="cellIs" dxfId="11670" priority="548" operator="greaterThan">
      <formula>1</formula>
    </cfRule>
  </conditionalFormatting>
  <conditionalFormatting sqref="R84:R91">
    <cfRule type="cellIs" dxfId="11669" priority="545" operator="greaterThan">
      <formula>1</formula>
    </cfRule>
    <cfRule type="cellIs" dxfId="11668" priority="546" operator="lessThan">
      <formula>0.8</formula>
    </cfRule>
  </conditionalFormatting>
  <conditionalFormatting sqref="P84:P91">
    <cfRule type="cellIs" dxfId="11667" priority="544" operator="greaterThan">
      <formula>0</formula>
    </cfRule>
  </conditionalFormatting>
  <conditionalFormatting sqref="P84:P91">
    <cfRule type="cellIs" dxfId="11666" priority="538" operator="greaterThan">
      <formula>0</formula>
    </cfRule>
  </conditionalFormatting>
  <conditionalFormatting sqref="Q84:Q91">
    <cfRule type="cellIs" dxfId="11665" priority="543" operator="lessThan">
      <formula>0</formula>
    </cfRule>
  </conditionalFormatting>
  <conditionalFormatting sqref="R84:R91">
    <cfRule type="cellIs" dxfId="11664" priority="541" operator="lessThan">
      <formula>0.8</formula>
    </cfRule>
    <cfRule type="cellIs" dxfId="11663" priority="542" operator="greaterThan">
      <formula>1</formula>
    </cfRule>
  </conditionalFormatting>
  <conditionalFormatting sqref="R84:R91">
    <cfRule type="cellIs" dxfId="11662" priority="539" operator="greaterThan">
      <formula>1</formula>
    </cfRule>
    <cfRule type="cellIs" dxfId="11661" priority="540" operator="lessThan">
      <formula>0.8</formula>
    </cfRule>
  </conditionalFormatting>
  <conditionalFormatting sqref="P84:P91">
    <cfRule type="cellIs" dxfId="11660" priority="532" operator="greaterThan">
      <formula>0</formula>
    </cfRule>
  </conditionalFormatting>
  <conditionalFormatting sqref="Q84:Q91">
    <cfRule type="cellIs" dxfId="11659" priority="537" operator="lessThan">
      <formula>0</formula>
    </cfRule>
  </conditionalFormatting>
  <conditionalFormatting sqref="R84:R91">
    <cfRule type="cellIs" dxfId="11658" priority="535" operator="lessThan">
      <formula>0.8</formula>
    </cfRule>
    <cfRule type="cellIs" dxfId="11657" priority="536" operator="greaterThan">
      <formula>1</formula>
    </cfRule>
  </conditionalFormatting>
  <conditionalFormatting sqref="R84:R91">
    <cfRule type="cellIs" dxfId="11656" priority="533" operator="greaterThan">
      <formula>1</formula>
    </cfRule>
    <cfRule type="cellIs" dxfId="11655" priority="534" operator="lessThan">
      <formula>0.8</formula>
    </cfRule>
  </conditionalFormatting>
  <conditionalFormatting sqref="R84:R91">
    <cfRule type="cellIs" dxfId="11654" priority="529" operator="lessThan">
      <formula>0.8</formula>
    </cfRule>
    <cfRule type="cellIs" dxfId="11653" priority="530" operator="greaterThan">
      <formula>1</formula>
    </cfRule>
  </conditionalFormatting>
  <conditionalFormatting sqref="R84:R91">
    <cfRule type="cellIs" dxfId="11652" priority="527" operator="greaterThan">
      <formula>1</formula>
    </cfRule>
    <cfRule type="cellIs" dxfId="11651" priority="528" operator="lessThan">
      <formula>0.8</formula>
    </cfRule>
  </conditionalFormatting>
  <conditionalFormatting sqref="P84:P91">
    <cfRule type="cellIs" dxfId="11650" priority="526" operator="greaterThan">
      <formula>0</formula>
    </cfRule>
  </conditionalFormatting>
  <conditionalFormatting sqref="Q84:Q91">
    <cfRule type="cellIs" dxfId="11649" priority="531" operator="lessThan">
      <formula>0</formula>
    </cfRule>
  </conditionalFormatting>
  <conditionalFormatting sqref="Q84:Q91">
    <cfRule type="cellIs" dxfId="11648" priority="525" operator="lessThan">
      <formula>0</formula>
    </cfRule>
  </conditionalFormatting>
  <conditionalFormatting sqref="R84:R91">
    <cfRule type="cellIs" dxfId="11647" priority="523" operator="lessThan">
      <formula>0.8</formula>
    </cfRule>
    <cfRule type="cellIs" dxfId="11646" priority="524" operator="greaterThan">
      <formula>1</formula>
    </cfRule>
  </conditionalFormatting>
  <conditionalFormatting sqref="R84:R91">
    <cfRule type="cellIs" dxfId="11645" priority="521" operator="greaterThan">
      <formula>1</formula>
    </cfRule>
    <cfRule type="cellIs" dxfId="11644" priority="522" operator="lessThan">
      <formula>0.8</formula>
    </cfRule>
  </conditionalFormatting>
  <conditionalFormatting sqref="P84:P91">
    <cfRule type="cellIs" dxfId="11643" priority="520" operator="greaterThan">
      <formula>0</formula>
    </cfRule>
  </conditionalFormatting>
  <conditionalFormatting sqref="P84:P91">
    <cfRule type="cellIs" dxfId="11642" priority="514" operator="greaterThan">
      <formula>0</formula>
    </cfRule>
  </conditionalFormatting>
  <conditionalFormatting sqref="Q84:Q91">
    <cfRule type="cellIs" dxfId="11641" priority="519" operator="lessThan">
      <formula>0</formula>
    </cfRule>
  </conditionalFormatting>
  <conditionalFormatting sqref="R84:R91">
    <cfRule type="cellIs" dxfId="11640" priority="517" operator="lessThan">
      <formula>0.8</formula>
    </cfRule>
    <cfRule type="cellIs" dxfId="11639" priority="518" operator="greaterThan">
      <formula>1</formula>
    </cfRule>
  </conditionalFormatting>
  <conditionalFormatting sqref="R84:R91">
    <cfRule type="cellIs" dxfId="11638" priority="515" operator="greaterThan">
      <formula>1</formula>
    </cfRule>
    <cfRule type="cellIs" dxfId="11637" priority="516" operator="lessThan">
      <formula>0.8</formula>
    </cfRule>
  </conditionalFormatting>
  <conditionalFormatting sqref="P84:P91">
    <cfRule type="cellIs" dxfId="11636" priority="508" operator="greaterThan">
      <formula>0</formula>
    </cfRule>
  </conditionalFormatting>
  <conditionalFormatting sqref="Q84:Q91">
    <cfRule type="cellIs" dxfId="11635" priority="513" operator="lessThan">
      <formula>0</formula>
    </cfRule>
  </conditionalFormatting>
  <conditionalFormatting sqref="R84:R91">
    <cfRule type="cellIs" dxfId="11634" priority="511" operator="lessThan">
      <formula>0.8</formula>
    </cfRule>
    <cfRule type="cellIs" dxfId="11633" priority="512" operator="greaterThan">
      <formula>1</formula>
    </cfRule>
  </conditionalFormatting>
  <conditionalFormatting sqref="R84:R91">
    <cfRule type="cellIs" dxfId="11632" priority="509" operator="greaterThan">
      <formula>1</formula>
    </cfRule>
    <cfRule type="cellIs" dxfId="11631" priority="510" operator="lessThan">
      <formula>0.8</formula>
    </cfRule>
  </conditionalFormatting>
  <conditionalFormatting sqref="R84:R91">
    <cfRule type="cellIs" dxfId="11630" priority="505" operator="lessThan">
      <formula>0.8</formula>
    </cfRule>
    <cfRule type="cellIs" dxfId="11629" priority="506" operator="greaterThan">
      <formula>1</formula>
    </cfRule>
  </conditionalFormatting>
  <conditionalFormatting sqref="R84:R91">
    <cfRule type="cellIs" dxfId="11628" priority="503" operator="greaterThan">
      <formula>1</formula>
    </cfRule>
    <cfRule type="cellIs" dxfId="11627" priority="504" operator="lessThan">
      <formula>0.8</formula>
    </cfRule>
  </conditionalFormatting>
  <conditionalFormatting sqref="P84:P91">
    <cfRule type="cellIs" dxfId="11626" priority="502" operator="greaterThan">
      <formula>0</formula>
    </cfRule>
  </conditionalFormatting>
  <conditionalFormatting sqref="Q84:Q91">
    <cfRule type="cellIs" dxfId="11625" priority="507" operator="lessThan">
      <formula>0</formula>
    </cfRule>
  </conditionalFormatting>
  <conditionalFormatting sqref="P84:P91">
    <cfRule type="cellIs" dxfId="11624" priority="496" operator="greaterThan">
      <formula>0</formula>
    </cfRule>
  </conditionalFormatting>
  <conditionalFormatting sqref="Q84:Q91">
    <cfRule type="cellIs" dxfId="11623" priority="501" operator="lessThan">
      <formula>0</formula>
    </cfRule>
  </conditionalFormatting>
  <conditionalFormatting sqref="R84:R91">
    <cfRule type="cellIs" dxfId="11622" priority="499" operator="lessThan">
      <formula>0.8</formula>
    </cfRule>
    <cfRule type="cellIs" dxfId="11621" priority="500" operator="greaterThan">
      <formula>1</formula>
    </cfRule>
  </conditionalFormatting>
  <conditionalFormatting sqref="R84:R91">
    <cfRule type="cellIs" dxfId="11620" priority="497" operator="greaterThan">
      <formula>1</formula>
    </cfRule>
    <cfRule type="cellIs" dxfId="11619" priority="498" operator="lessThan">
      <formula>0.8</formula>
    </cfRule>
  </conditionalFormatting>
  <conditionalFormatting sqref="R84:R91">
    <cfRule type="cellIs" dxfId="11618" priority="493" operator="lessThan">
      <formula>0.8</formula>
    </cfRule>
    <cfRule type="cellIs" dxfId="11617" priority="494" operator="greaterThan">
      <formula>1</formula>
    </cfRule>
  </conditionalFormatting>
  <conditionalFormatting sqref="R84:R91">
    <cfRule type="cellIs" dxfId="11616" priority="491" operator="greaterThan">
      <formula>1</formula>
    </cfRule>
    <cfRule type="cellIs" dxfId="11615" priority="492" operator="lessThan">
      <formula>0.8</formula>
    </cfRule>
  </conditionalFormatting>
  <conditionalFormatting sqref="P84:P91">
    <cfRule type="cellIs" dxfId="11614" priority="490" operator="greaterThan">
      <formula>0</formula>
    </cfRule>
  </conditionalFormatting>
  <conditionalFormatting sqref="Q84:Q91">
    <cfRule type="cellIs" dxfId="11613" priority="495" operator="lessThan">
      <formula>0</formula>
    </cfRule>
  </conditionalFormatting>
  <conditionalFormatting sqref="R84:R91">
    <cfRule type="cellIs" dxfId="11612" priority="487" operator="lessThan">
      <formula>0.8</formula>
    </cfRule>
    <cfRule type="cellIs" dxfId="11611" priority="488" operator="greaterThan">
      <formula>1</formula>
    </cfRule>
  </conditionalFormatting>
  <conditionalFormatting sqref="R84:R91">
    <cfRule type="cellIs" dxfId="11610" priority="485" operator="greaterThan">
      <formula>1</formula>
    </cfRule>
    <cfRule type="cellIs" dxfId="11609" priority="486" operator="lessThan">
      <formula>0.8</formula>
    </cfRule>
  </conditionalFormatting>
  <conditionalFormatting sqref="P84:P91">
    <cfRule type="cellIs" dxfId="11608" priority="484" operator="greaterThan">
      <formula>0</formula>
    </cfRule>
  </conditionalFormatting>
  <conditionalFormatting sqref="Q84:Q91">
    <cfRule type="cellIs" dxfId="11607" priority="489" operator="lessThan">
      <formula>0</formula>
    </cfRule>
  </conditionalFormatting>
  <conditionalFormatting sqref="Q84:Q91">
    <cfRule type="cellIs" dxfId="11606" priority="483" operator="lessThan">
      <formula>0</formula>
    </cfRule>
  </conditionalFormatting>
  <conditionalFormatting sqref="R84:R91">
    <cfRule type="cellIs" dxfId="11605" priority="481" operator="lessThan">
      <formula>0.8</formula>
    </cfRule>
    <cfRule type="cellIs" dxfId="11604" priority="482" operator="greaterThan">
      <formula>1</formula>
    </cfRule>
  </conditionalFormatting>
  <conditionalFormatting sqref="R84:R91">
    <cfRule type="cellIs" dxfId="11603" priority="479" operator="greaterThan">
      <formula>1</formula>
    </cfRule>
    <cfRule type="cellIs" dxfId="11602" priority="480" operator="lessThan">
      <formula>0.8</formula>
    </cfRule>
  </conditionalFormatting>
  <conditionalFormatting sqref="P84:P91">
    <cfRule type="cellIs" dxfId="11601" priority="478" operator="greaterThan">
      <formula>0</formula>
    </cfRule>
  </conditionalFormatting>
  <conditionalFormatting sqref="Q84:Q91">
    <cfRule type="cellIs" dxfId="11600" priority="472" operator="lessThan">
      <formula>0</formula>
    </cfRule>
  </conditionalFormatting>
  <conditionalFormatting sqref="R84:R91">
    <cfRule type="cellIs" dxfId="11599" priority="476" operator="lessThan">
      <formula>0.8</formula>
    </cfRule>
    <cfRule type="cellIs" dxfId="11598" priority="477" operator="greaterThan">
      <formula>1</formula>
    </cfRule>
  </conditionalFormatting>
  <conditionalFormatting sqref="R84:R91">
    <cfRule type="cellIs" dxfId="11597" priority="474" operator="greaterThan">
      <formula>1</formula>
    </cfRule>
    <cfRule type="cellIs" dxfId="11596" priority="475" operator="lessThan">
      <formula>0.8</formula>
    </cfRule>
  </conditionalFormatting>
  <conditionalFormatting sqref="P84:P91">
    <cfRule type="cellIs" dxfId="11595" priority="473" operator="greaterThan">
      <formula>0</formula>
    </cfRule>
  </conditionalFormatting>
  <conditionalFormatting sqref="Q84:Q91">
    <cfRule type="cellIs" dxfId="11594" priority="471" operator="lessThan">
      <formula>0</formula>
    </cfRule>
  </conditionalFormatting>
  <conditionalFormatting sqref="R84:R91">
    <cfRule type="cellIs" dxfId="11593" priority="469" operator="lessThan">
      <formula>0.8</formula>
    </cfRule>
    <cfRule type="cellIs" dxfId="11592" priority="470" operator="greaterThan">
      <formula>1</formula>
    </cfRule>
  </conditionalFormatting>
  <conditionalFormatting sqref="R84:R91">
    <cfRule type="cellIs" dxfId="11591" priority="467" operator="greaterThan">
      <formula>1</formula>
    </cfRule>
    <cfRule type="cellIs" dxfId="11590" priority="468" operator="lessThan">
      <formula>0.8</formula>
    </cfRule>
  </conditionalFormatting>
  <conditionalFormatting sqref="P84:P91">
    <cfRule type="cellIs" dxfId="11589" priority="466" operator="greaterThan">
      <formula>0</formula>
    </cfRule>
  </conditionalFormatting>
  <conditionalFormatting sqref="Q84:Q91">
    <cfRule type="cellIs" dxfId="11588" priority="465" operator="lessThan">
      <formula>0</formula>
    </cfRule>
  </conditionalFormatting>
  <conditionalFormatting sqref="R84:R91">
    <cfRule type="cellIs" dxfId="11587" priority="463" operator="lessThan">
      <formula>0.8</formula>
    </cfRule>
    <cfRule type="cellIs" dxfId="11586" priority="464" operator="greaterThan">
      <formula>1</formula>
    </cfRule>
  </conditionalFormatting>
  <conditionalFormatting sqref="R84:R91">
    <cfRule type="cellIs" dxfId="11585" priority="461" operator="greaterThan">
      <formula>1</formula>
    </cfRule>
    <cfRule type="cellIs" dxfId="11584" priority="462" operator="lessThan">
      <formula>0.8</formula>
    </cfRule>
  </conditionalFormatting>
  <conditionalFormatting sqref="P84:P91">
    <cfRule type="cellIs" dxfId="11583" priority="460" operator="greaterThan">
      <formula>0</formula>
    </cfRule>
  </conditionalFormatting>
  <conditionalFormatting sqref="Q84:Q91">
    <cfRule type="cellIs" dxfId="11582" priority="459" operator="lessThan">
      <formula>0</formula>
    </cfRule>
  </conditionalFormatting>
  <conditionalFormatting sqref="R84:R91">
    <cfRule type="cellIs" dxfId="11581" priority="457" operator="lessThan">
      <formula>0.8</formula>
    </cfRule>
    <cfRule type="cellIs" dxfId="11580" priority="458" operator="greaterThan">
      <formula>1</formula>
    </cfRule>
  </conditionalFormatting>
  <conditionalFormatting sqref="R84:R91">
    <cfRule type="cellIs" dxfId="11579" priority="455" operator="greaterThan">
      <formula>1</formula>
    </cfRule>
    <cfRule type="cellIs" dxfId="11578" priority="456" operator="lessThan">
      <formula>0.8</formula>
    </cfRule>
  </conditionalFormatting>
  <conditionalFormatting sqref="P84:P91">
    <cfRule type="cellIs" dxfId="11577" priority="454" operator="greaterThan">
      <formula>0</formula>
    </cfRule>
  </conditionalFormatting>
  <conditionalFormatting sqref="Q84:Q91">
    <cfRule type="cellIs" dxfId="11576" priority="453" operator="lessThan">
      <formula>0</formula>
    </cfRule>
  </conditionalFormatting>
  <conditionalFormatting sqref="R84:R91">
    <cfRule type="cellIs" dxfId="11575" priority="451" operator="lessThan">
      <formula>0.8</formula>
    </cfRule>
    <cfRule type="cellIs" dxfId="11574" priority="452" operator="greaterThan">
      <formula>1</formula>
    </cfRule>
  </conditionalFormatting>
  <conditionalFormatting sqref="R84:R91">
    <cfRule type="cellIs" dxfId="11573" priority="449" operator="greaterThan">
      <formula>1</formula>
    </cfRule>
    <cfRule type="cellIs" dxfId="11572" priority="450" operator="lessThan">
      <formula>0.8</formula>
    </cfRule>
  </conditionalFormatting>
  <conditionalFormatting sqref="P84:P91">
    <cfRule type="cellIs" dxfId="11571" priority="448" operator="greaterThan">
      <formula>0</formula>
    </cfRule>
  </conditionalFormatting>
  <conditionalFormatting sqref="Q84:Q91">
    <cfRule type="cellIs" dxfId="11570" priority="447" operator="lessThan">
      <formula>0</formula>
    </cfRule>
  </conditionalFormatting>
  <conditionalFormatting sqref="R84:R91">
    <cfRule type="cellIs" dxfId="11569" priority="445" operator="lessThan">
      <formula>0.8</formula>
    </cfRule>
    <cfRule type="cellIs" dxfId="11568" priority="446" operator="greaterThan">
      <formula>1</formula>
    </cfRule>
  </conditionalFormatting>
  <conditionalFormatting sqref="R84:R91">
    <cfRule type="cellIs" dxfId="11567" priority="443" operator="greaterThan">
      <formula>1</formula>
    </cfRule>
    <cfRule type="cellIs" dxfId="11566" priority="444" operator="lessThan">
      <formula>0.8</formula>
    </cfRule>
  </conditionalFormatting>
  <conditionalFormatting sqref="P84:P91">
    <cfRule type="cellIs" dxfId="11565" priority="442" operator="greaterThan">
      <formula>0</formula>
    </cfRule>
  </conditionalFormatting>
  <conditionalFormatting sqref="P84:P91">
    <cfRule type="cellIs" dxfId="11564" priority="436" operator="greaterThan">
      <formula>0</formula>
    </cfRule>
  </conditionalFormatting>
  <conditionalFormatting sqref="Q84:Q91">
    <cfRule type="cellIs" dxfId="11563" priority="441" operator="lessThan">
      <formula>0</formula>
    </cfRule>
  </conditionalFormatting>
  <conditionalFormatting sqref="R84:R91">
    <cfRule type="cellIs" dxfId="11562" priority="439" operator="lessThan">
      <formula>0.8</formula>
    </cfRule>
    <cfRule type="cellIs" dxfId="11561" priority="440" operator="greaterThan">
      <formula>1</formula>
    </cfRule>
  </conditionalFormatting>
  <conditionalFormatting sqref="R84:R91">
    <cfRule type="cellIs" dxfId="11560" priority="437" operator="greaterThan">
      <formula>1</formula>
    </cfRule>
    <cfRule type="cellIs" dxfId="11559" priority="438" operator="lessThan">
      <formula>0.8</formula>
    </cfRule>
  </conditionalFormatting>
  <conditionalFormatting sqref="P84:P91">
    <cfRule type="cellIs" dxfId="11558" priority="430" operator="greaterThan">
      <formula>0</formula>
    </cfRule>
  </conditionalFormatting>
  <conditionalFormatting sqref="Q84:Q91">
    <cfRule type="cellIs" dxfId="11557" priority="435" operator="lessThan">
      <formula>0</formula>
    </cfRule>
  </conditionalFormatting>
  <conditionalFormatting sqref="R84:R91">
    <cfRule type="cellIs" dxfId="11556" priority="433" operator="lessThan">
      <formula>0.8</formula>
    </cfRule>
    <cfRule type="cellIs" dxfId="11555" priority="434" operator="greaterThan">
      <formula>1</formula>
    </cfRule>
  </conditionalFormatting>
  <conditionalFormatting sqref="R84:R91">
    <cfRule type="cellIs" dxfId="11554" priority="431" operator="greaterThan">
      <formula>1</formula>
    </cfRule>
    <cfRule type="cellIs" dxfId="11553" priority="432" operator="lessThan">
      <formula>0.8</formula>
    </cfRule>
  </conditionalFormatting>
  <conditionalFormatting sqref="R84:R91">
    <cfRule type="cellIs" dxfId="11552" priority="427" operator="lessThan">
      <formula>0.8</formula>
    </cfRule>
    <cfRule type="cellIs" dxfId="11551" priority="428" operator="greaterThan">
      <formula>1</formula>
    </cfRule>
  </conditionalFormatting>
  <conditionalFormatting sqref="R84:R91">
    <cfRule type="cellIs" dxfId="11550" priority="425" operator="greaterThan">
      <formula>1</formula>
    </cfRule>
    <cfRule type="cellIs" dxfId="11549" priority="426" operator="lessThan">
      <formula>0.8</formula>
    </cfRule>
  </conditionalFormatting>
  <conditionalFormatting sqref="P84:P91">
    <cfRule type="cellIs" dxfId="11548" priority="424" operator="greaterThan">
      <formula>0</formula>
    </cfRule>
  </conditionalFormatting>
  <conditionalFormatting sqref="Q84:Q91">
    <cfRule type="cellIs" dxfId="11547" priority="429" operator="lessThan">
      <formula>0</formula>
    </cfRule>
  </conditionalFormatting>
  <conditionalFormatting sqref="Q84:Q91">
    <cfRule type="cellIs" dxfId="11546" priority="418" operator="lessThan">
      <formula>0</formula>
    </cfRule>
  </conditionalFormatting>
  <conditionalFormatting sqref="P84:P91">
    <cfRule type="cellIs" dxfId="11545" priority="419" operator="greaterThan">
      <formula>0</formula>
    </cfRule>
  </conditionalFormatting>
  <conditionalFormatting sqref="R84:R91">
    <cfRule type="cellIs" dxfId="11544" priority="422" operator="lessThan">
      <formula>0.8</formula>
    </cfRule>
    <cfRule type="cellIs" dxfId="11543" priority="423" operator="greaterThan">
      <formula>1</formula>
    </cfRule>
  </conditionalFormatting>
  <conditionalFormatting sqref="R84:R91">
    <cfRule type="cellIs" dxfId="11542" priority="420" operator="greaterThan">
      <formula>1</formula>
    </cfRule>
    <cfRule type="cellIs" dxfId="11541" priority="421" operator="lessThan">
      <formula>0.8</formula>
    </cfRule>
  </conditionalFormatting>
  <conditionalFormatting sqref="Q84:Q91">
    <cfRule type="cellIs" dxfId="11540" priority="412" operator="lessThan">
      <formula>0</formula>
    </cfRule>
  </conditionalFormatting>
  <conditionalFormatting sqref="R84:R91">
    <cfRule type="cellIs" dxfId="11539" priority="416" operator="lessThan">
      <formula>0.8</formula>
    </cfRule>
    <cfRule type="cellIs" dxfId="11538" priority="417" operator="greaterThan">
      <formula>1</formula>
    </cfRule>
  </conditionalFormatting>
  <conditionalFormatting sqref="R84:R91">
    <cfRule type="cellIs" dxfId="11537" priority="414" operator="greaterThan">
      <formula>1</formula>
    </cfRule>
    <cfRule type="cellIs" dxfId="11536" priority="415" operator="lessThan">
      <formula>0.8</formula>
    </cfRule>
  </conditionalFormatting>
  <conditionalFormatting sqref="P84:P91">
    <cfRule type="cellIs" dxfId="11535" priority="413" operator="greaterThan">
      <formula>0</formula>
    </cfRule>
  </conditionalFormatting>
  <conditionalFormatting sqref="Q84:Q91">
    <cfRule type="cellIs" dxfId="11534" priority="411" operator="lessThan">
      <formula>0</formula>
    </cfRule>
  </conditionalFormatting>
  <conditionalFormatting sqref="R84:R91">
    <cfRule type="cellIs" dxfId="11533" priority="409" operator="lessThan">
      <formula>0.8</formula>
    </cfRule>
    <cfRule type="cellIs" dxfId="11532" priority="410" operator="greaterThan">
      <formula>1</formula>
    </cfRule>
  </conditionalFormatting>
  <conditionalFormatting sqref="R84:R91">
    <cfRule type="cellIs" dxfId="11531" priority="407" operator="greaterThan">
      <formula>1</formula>
    </cfRule>
    <cfRule type="cellIs" dxfId="11530" priority="408" operator="lessThan">
      <formula>0.8</formula>
    </cfRule>
  </conditionalFormatting>
  <conditionalFormatting sqref="P84:P91">
    <cfRule type="cellIs" dxfId="11529" priority="406" operator="greaterThan">
      <formula>0</formula>
    </cfRule>
  </conditionalFormatting>
  <conditionalFormatting sqref="Q84:Q91">
    <cfRule type="cellIs" dxfId="11528" priority="405" operator="lessThan">
      <formula>0</formula>
    </cfRule>
  </conditionalFormatting>
  <conditionalFormatting sqref="R84:R91">
    <cfRule type="cellIs" dxfId="11527" priority="403" operator="lessThan">
      <formula>0.8</formula>
    </cfRule>
    <cfRule type="cellIs" dxfId="11526" priority="404" operator="greaterThan">
      <formula>1</formula>
    </cfRule>
  </conditionalFormatting>
  <conditionalFormatting sqref="R84:R91">
    <cfRule type="cellIs" dxfId="11525" priority="401" operator="greaterThan">
      <formula>1</formula>
    </cfRule>
    <cfRule type="cellIs" dxfId="11524" priority="402" operator="lessThan">
      <formula>0.8</formula>
    </cfRule>
  </conditionalFormatting>
  <conditionalFormatting sqref="P84:P91">
    <cfRule type="cellIs" dxfId="11523" priority="400" operator="greaterThan">
      <formula>0</formula>
    </cfRule>
  </conditionalFormatting>
  <conditionalFormatting sqref="Q84:Q91">
    <cfRule type="cellIs" dxfId="11522" priority="399" operator="lessThan">
      <formula>0</formula>
    </cfRule>
  </conditionalFormatting>
  <conditionalFormatting sqref="R84:R91">
    <cfRule type="cellIs" dxfId="11521" priority="397" operator="lessThan">
      <formula>0.8</formula>
    </cfRule>
    <cfRule type="cellIs" dxfId="11520" priority="398" operator="greaterThan">
      <formula>1</formula>
    </cfRule>
  </conditionalFormatting>
  <conditionalFormatting sqref="R84:R91">
    <cfRule type="cellIs" dxfId="11519" priority="395" operator="greaterThan">
      <formula>1</formula>
    </cfRule>
    <cfRule type="cellIs" dxfId="11518" priority="396" operator="lessThan">
      <formula>0.8</formula>
    </cfRule>
  </conditionalFormatting>
  <conditionalFormatting sqref="P84:P91">
    <cfRule type="cellIs" dxfId="11517" priority="394" operator="greaterThan">
      <formula>0</formula>
    </cfRule>
  </conditionalFormatting>
  <conditionalFormatting sqref="Q84:Q91">
    <cfRule type="cellIs" dxfId="11516" priority="393" operator="lessThan">
      <formula>0</formula>
    </cfRule>
  </conditionalFormatting>
  <conditionalFormatting sqref="R84:R91">
    <cfRule type="cellIs" dxfId="11515" priority="391" operator="lessThan">
      <formula>0.8</formula>
    </cfRule>
    <cfRule type="cellIs" dxfId="11514" priority="392" operator="greaterThan">
      <formula>1</formula>
    </cfRule>
  </conditionalFormatting>
  <conditionalFormatting sqref="R84:R91">
    <cfRule type="cellIs" dxfId="11513" priority="389" operator="greaterThan">
      <formula>1</formula>
    </cfRule>
    <cfRule type="cellIs" dxfId="11512" priority="390" operator="lessThan">
      <formula>0.8</formula>
    </cfRule>
  </conditionalFormatting>
  <conditionalFormatting sqref="P84:P91">
    <cfRule type="cellIs" dxfId="11511" priority="388" operator="greaterThan">
      <formula>0</formula>
    </cfRule>
  </conditionalFormatting>
  <conditionalFormatting sqref="Q84:Q91">
    <cfRule type="cellIs" dxfId="11510" priority="387" operator="lessThan">
      <formula>0</formula>
    </cfRule>
  </conditionalFormatting>
  <conditionalFormatting sqref="R84:R91">
    <cfRule type="cellIs" dxfId="11509" priority="385" operator="lessThan">
      <formula>0.8</formula>
    </cfRule>
    <cfRule type="cellIs" dxfId="11508" priority="386" operator="greaterThan">
      <formula>1</formula>
    </cfRule>
  </conditionalFormatting>
  <conditionalFormatting sqref="R84:R91">
    <cfRule type="cellIs" dxfId="11507" priority="383" operator="greaterThan">
      <formula>1</formula>
    </cfRule>
    <cfRule type="cellIs" dxfId="11506" priority="384" operator="lessThan">
      <formula>0.8</formula>
    </cfRule>
  </conditionalFormatting>
  <conditionalFormatting sqref="P84:P91">
    <cfRule type="cellIs" dxfId="11505" priority="382" operator="greaterThan">
      <formula>0</formula>
    </cfRule>
  </conditionalFormatting>
  <conditionalFormatting sqref="Q84:Q91">
    <cfRule type="cellIs" dxfId="11504" priority="381" operator="lessThan">
      <formula>0</formula>
    </cfRule>
  </conditionalFormatting>
  <conditionalFormatting sqref="R84:R91">
    <cfRule type="cellIs" dxfId="11503" priority="379" operator="lessThan">
      <formula>0.8</formula>
    </cfRule>
    <cfRule type="cellIs" dxfId="11502" priority="380" operator="greaterThan">
      <formula>1</formula>
    </cfRule>
  </conditionalFormatting>
  <conditionalFormatting sqref="R84:R91">
    <cfRule type="cellIs" dxfId="11501" priority="377" operator="greaterThan">
      <formula>1</formula>
    </cfRule>
    <cfRule type="cellIs" dxfId="11500" priority="378" operator="lessThan">
      <formula>0.8</formula>
    </cfRule>
  </conditionalFormatting>
  <conditionalFormatting sqref="P84:P91">
    <cfRule type="cellIs" dxfId="11499" priority="376" operator="greaterThan">
      <formula>0</formula>
    </cfRule>
  </conditionalFormatting>
  <conditionalFormatting sqref="Q84:Q91">
    <cfRule type="cellIs" dxfId="11498" priority="375" operator="lessThan">
      <formula>0</formula>
    </cfRule>
  </conditionalFormatting>
  <conditionalFormatting sqref="R84:R91">
    <cfRule type="cellIs" dxfId="11497" priority="373" operator="lessThan">
      <formula>0.8</formula>
    </cfRule>
    <cfRule type="cellIs" dxfId="11496" priority="374" operator="greaterThan">
      <formula>1</formula>
    </cfRule>
  </conditionalFormatting>
  <conditionalFormatting sqref="R84:R91">
    <cfRule type="cellIs" dxfId="11495" priority="371" operator="greaterThan">
      <formula>1</formula>
    </cfRule>
    <cfRule type="cellIs" dxfId="11494" priority="372" operator="lessThan">
      <formula>0.8</formula>
    </cfRule>
  </conditionalFormatting>
  <conditionalFormatting sqref="P84:P91">
    <cfRule type="cellIs" dxfId="11493" priority="370" operator="greaterThan">
      <formula>0</formula>
    </cfRule>
  </conditionalFormatting>
  <conditionalFormatting sqref="P84:P91">
    <cfRule type="cellIs" dxfId="11492" priority="364" operator="greaterThan">
      <formula>0</formula>
    </cfRule>
  </conditionalFormatting>
  <conditionalFormatting sqref="Q84:Q91">
    <cfRule type="cellIs" dxfId="11491" priority="369" operator="lessThan">
      <formula>0</formula>
    </cfRule>
  </conditionalFormatting>
  <conditionalFormatting sqref="R84:R91">
    <cfRule type="cellIs" dxfId="11490" priority="367" operator="lessThan">
      <formula>0.8</formula>
    </cfRule>
    <cfRule type="cellIs" dxfId="11489" priority="368" operator="greaterThan">
      <formula>1</formula>
    </cfRule>
  </conditionalFormatting>
  <conditionalFormatting sqref="R84:R91">
    <cfRule type="cellIs" dxfId="11488" priority="365" operator="greaterThan">
      <formula>1</formula>
    </cfRule>
    <cfRule type="cellIs" dxfId="11487" priority="366" operator="lessThan">
      <formula>0.8</formula>
    </cfRule>
  </conditionalFormatting>
  <conditionalFormatting sqref="P84:P91">
    <cfRule type="cellIs" dxfId="11486" priority="358" operator="greaterThan">
      <formula>0</formula>
    </cfRule>
  </conditionalFormatting>
  <conditionalFormatting sqref="Q84:Q91">
    <cfRule type="cellIs" dxfId="11485" priority="363" operator="lessThan">
      <formula>0</formula>
    </cfRule>
  </conditionalFormatting>
  <conditionalFormatting sqref="R84:R91">
    <cfRule type="cellIs" dxfId="11484" priority="361" operator="lessThan">
      <formula>0.8</formula>
    </cfRule>
    <cfRule type="cellIs" dxfId="11483" priority="362" operator="greaterThan">
      <formula>1</formula>
    </cfRule>
  </conditionalFormatting>
  <conditionalFormatting sqref="R84:R91">
    <cfRule type="cellIs" dxfId="11482" priority="359" operator="greaterThan">
      <formula>1</formula>
    </cfRule>
    <cfRule type="cellIs" dxfId="11481" priority="360" operator="lessThan">
      <formula>0.8</formula>
    </cfRule>
  </conditionalFormatting>
  <conditionalFormatting sqref="R84:R91">
    <cfRule type="cellIs" dxfId="11480" priority="355" operator="lessThan">
      <formula>0.8</formula>
    </cfRule>
    <cfRule type="cellIs" dxfId="11479" priority="356" operator="greaterThan">
      <formula>1</formula>
    </cfRule>
  </conditionalFormatting>
  <conditionalFormatting sqref="R84:R91">
    <cfRule type="cellIs" dxfId="11478" priority="353" operator="greaterThan">
      <formula>1</formula>
    </cfRule>
    <cfRule type="cellIs" dxfId="11477" priority="354" operator="lessThan">
      <formula>0.8</formula>
    </cfRule>
  </conditionalFormatting>
  <conditionalFormatting sqref="P84:P91">
    <cfRule type="cellIs" dxfId="11476" priority="352" operator="greaterThan">
      <formula>0</formula>
    </cfRule>
  </conditionalFormatting>
  <conditionalFormatting sqref="Q84:Q91">
    <cfRule type="cellIs" dxfId="11475" priority="357" operator="lessThan">
      <formula>0</formula>
    </cfRule>
  </conditionalFormatting>
  <conditionalFormatting sqref="Q84:Q91">
    <cfRule type="cellIs" dxfId="11474" priority="351" operator="lessThan">
      <formula>0</formula>
    </cfRule>
  </conditionalFormatting>
  <conditionalFormatting sqref="R84:R91">
    <cfRule type="cellIs" dxfId="11473" priority="349" operator="lessThan">
      <formula>0.8</formula>
    </cfRule>
    <cfRule type="cellIs" dxfId="11472" priority="350" operator="greaterThan">
      <formula>1</formula>
    </cfRule>
  </conditionalFormatting>
  <conditionalFormatting sqref="R84:R91">
    <cfRule type="cellIs" dxfId="11471" priority="347" operator="greaterThan">
      <formula>1</formula>
    </cfRule>
    <cfRule type="cellIs" dxfId="11470" priority="348" operator="lessThan">
      <formula>0.8</formula>
    </cfRule>
  </conditionalFormatting>
  <conditionalFormatting sqref="P84:P91">
    <cfRule type="cellIs" dxfId="11469" priority="346" operator="greaterThan">
      <formula>0</formula>
    </cfRule>
  </conditionalFormatting>
  <conditionalFormatting sqref="P84:P91">
    <cfRule type="cellIs" dxfId="11468" priority="340" operator="greaterThan">
      <formula>0</formula>
    </cfRule>
  </conditionalFormatting>
  <conditionalFormatting sqref="Q84:Q91">
    <cfRule type="cellIs" dxfId="11467" priority="345" operator="lessThan">
      <formula>0</formula>
    </cfRule>
  </conditionalFormatting>
  <conditionalFormatting sqref="R84:R91">
    <cfRule type="cellIs" dxfId="11466" priority="343" operator="lessThan">
      <formula>0.8</formula>
    </cfRule>
    <cfRule type="cellIs" dxfId="11465" priority="344" operator="greaterThan">
      <formula>1</formula>
    </cfRule>
  </conditionalFormatting>
  <conditionalFormatting sqref="R84:R91">
    <cfRule type="cellIs" dxfId="11464" priority="341" operator="greaterThan">
      <formula>1</formula>
    </cfRule>
    <cfRule type="cellIs" dxfId="11463" priority="342" operator="lessThan">
      <formula>0.8</formula>
    </cfRule>
  </conditionalFormatting>
  <conditionalFormatting sqref="P84:P91">
    <cfRule type="cellIs" dxfId="11462" priority="334" operator="greaterThan">
      <formula>0</formula>
    </cfRule>
  </conditionalFormatting>
  <conditionalFormatting sqref="Q84:Q91">
    <cfRule type="cellIs" dxfId="11461" priority="339" operator="lessThan">
      <formula>0</formula>
    </cfRule>
  </conditionalFormatting>
  <conditionalFormatting sqref="R84:R91">
    <cfRule type="cellIs" dxfId="11460" priority="337" operator="lessThan">
      <formula>0.8</formula>
    </cfRule>
    <cfRule type="cellIs" dxfId="11459" priority="338" operator="greaterThan">
      <formula>1</formula>
    </cfRule>
  </conditionalFormatting>
  <conditionalFormatting sqref="R84:R91">
    <cfRule type="cellIs" dxfId="11458" priority="335" operator="greaterThan">
      <formula>1</formula>
    </cfRule>
    <cfRule type="cellIs" dxfId="11457" priority="336" operator="lessThan">
      <formula>0.8</formula>
    </cfRule>
  </conditionalFormatting>
  <conditionalFormatting sqref="R84:R91">
    <cfRule type="cellIs" dxfId="11456" priority="331" operator="lessThan">
      <formula>0.8</formula>
    </cfRule>
    <cfRule type="cellIs" dxfId="11455" priority="332" operator="greaterThan">
      <formula>1</formula>
    </cfRule>
  </conditionalFormatting>
  <conditionalFormatting sqref="R84:R91">
    <cfRule type="cellIs" dxfId="11454" priority="329" operator="greaterThan">
      <formula>1</formula>
    </cfRule>
    <cfRule type="cellIs" dxfId="11453" priority="330" operator="lessThan">
      <formula>0.8</formula>
    </cfRule>
  </conditionalFormatting>
  <conditionalFormatting sqref="P84:P91">
    <cfRule type="cellIs" dxfId="11452" priority="328" operator="greaterThan">
      <formula>0</formula>
    </cfRule>
  </conditionalFormatting>
  <conditionalFormatting sqref="Q84:Q91">
    <cfRule type="cellIs" dxfId="11451" priority="333" operator="lessThan">
      <formula>0</formula>
    </cfRule>
  </conditionalFormatting>
  <conditionalFormatting sqref="P84:P91">
    <cfRule type="cellIs" dxfId="11450" priority="322" operator="greaterThan">
      <formula>0</formula>
    </cfRule>
  </conditionalFormatting>
  <conditionalFormatting sqref="Q84:Q91">
    <cfRule type="cellIs" dxfId="11449" priority="327" operator="lessThan">
      <formula>0</formula>
    </cfRule>
  </conditionalFormatting>
  <conditionalFormatting sqref="R84:R91">
    <cfRule type="cellIs" dxfId="11448" priority="325" operator="lessThan">
      <formula>0.8</formula>
    </cfRule>
    <cfRule type="cellIs" dxfId="11447" priority="326" operator="greaterThan">
      <formula>1</formula>
    </cfRule>
  </conditionalFormatting>
  <conditionalFormatting sqref="R84:R91">
    <cfRule type="cellIs" dxfId="11446" priority="323" operator="greaterThan">
      <formula>1</formula>
    </cfRule>
    <cfRule type="cellIs" dxfId="11445" priority="324" operator="lessThan">
      <formula>0.8</formula>
    </cfRule>
  </conditionalFormatting>
  <conditionalFormatting sqref="R84:R91">
    <cfRule type="cellIs" dxfId="11444" priority="319" operator="lessThan">
      <formula>0.8</formula>
    </cfRule>
    <cfRule type="cellIs" dxfId="11443" priority="320" operator="greaterThan">
      <formula>1</formula>
    </cfRule>
  </conditionalFormatting>
  <conditionalFormatting sqref="R84:R91">
    <cfRule type="cellIs" dxfId="11442" priority="317" operator="greaterThan">
      <formula>1</formula>
    </cfRule>
    <cfRule type="cellIs" dxfId="11441" priority="318" operator="lessThan">
      <formula>0.8</formula>
    </cfRule>
  </conditionalFormatting>
  <conditionalFormatting sqref="P84:P91">
    <cfRule type="cellIs" dxfId="11440" priority="316" operator="greaterThan">
      <formula>0</formula>
    </cfRule>
  </conditionalFormatting>
  <conditionalFormatting sqref="Q84:Q91">
    <cfRule type="cellIs" dxfId="11439" priority="321" operator="lessThan">
      <formula>0</formula>
    </cfRule>
  </conditionalFormatting>
  <conditionalFormatting sqref="R84:R91">
    <cfRule type="cellIs" dxfId="11438" priority="313" operator="lessThan">
      <formula>0.8</formula>
    </cfRule>
    <cfRule type="cellIs" dxfId="11437" priority="314" operator="greaterThan">
      <formula>1</formula>
    </cfRule>
  </conditionalFormatting>
  <conditionalFormatting sqref="R84:R91">
    <cfRule type="cellIs" dxfId="11436" priority="311" operator="greaterThan">
      <formula>1</formula>
    </cfRule>
    <cfRule type="cellIs" dxfId="11435" priority="312" operator="lessThan">
      <formula>0.8</formula>
    </cfRule>
  </conditionalFormatting>
  <conditionalFormatting sqref="P84:P91">
    <cfRule type="cellIs" dxfId="11434" priority="310" operator="greaterThan">
      <formula>0</formula>
    </cfRule>
  </conditionalFormatting>
  <conditionalFormatting sqref="Q84:Q91">
    <cfRule type="cellIs" dxfId="11433" priority="315" operator="lessThan">
      <formula>0</formula>
    </cfRule>
  </conditionalFormatting>
  <conditionalFormatting sqref="Q84:Q91">
    <cfRule type="cellIs" dxfId="11432" priority="309" operator="lessThan">
      <formula>0</formula>
    </cfRule>
  </conditionalFormatting>
  <conditionalFormatting sqref="R84:R91">
    <cfRule type="cellIs" dxfId="11431" priority="307" operator="lessThan">
      <formula>0.8</formula>
    </cfRule>
    <cfRule type="cellIs" dxfId="11430" priority="308" operator="greaterThan">
      <formula>1</formula>
    </cfRule>
  </conditionalFormatting>
  <conditionalFormatting sqref="R84:R91">
    <cfRule type="cellIs" dxfId="11429" priority="305" operator="greaterThan">
      <formula>1</formula>
    </cfRule>
    <cfRule type="cellIs" dxfId="11428" priority="306" operator="lessThan">
      <formula>0.8</formula>
    </cfRule>
  </conditionalFormatting>
  <conditionalFormatting sqref="P84:P91">
    <cfRule type="cellIs" dxfId="11427" priority="304" operator="greaterThan">
      <formula>0</formula>
    </cfRule>
  </conditionalFormatting>
  <conditionalFormatting sqref="Q84:Q91">
    <cfRule type="cellIs" dxfId="11426" priority="298" operator="lessThan">
      <formula>0</formula>
    </cfRule>
  </conditionalFormatting>
  <conditionalFormatting sqref="R84:R91">
    <cfRule type="cellIs" dxfId="11425" priority="302" operator="lessThan">
      <formula>0.8</formula>
    </cfRule>
    <cfRule type="cellIs" dxfId="11424" priority="303" operator="greaterThan">
      <formula>1</formula>
    </cfRule>
  </conditionalFormatting>
  <conditionalFormatting sqref="R84:R91">
    <cfRule type="cellIs" dxfId="11423" priority="300" operator="greaterThan">
      <formula>1</formula>
    </cfRule>
    <cfRule type="cellIs" dxfId="11422" priority="301" operator="lessThan">
      <formula>0.8</formula>
    </cfRule>
  </conditionalFormatting>
  <conditionalFormatting sqref="P84:P91">
    <cfRule type="cellIs" dxfId="11421" priority="299" operator="greaterThan">
      <formula>0</formula>
    </cfRule>
  </conditionalFormatting>
  <conditionalFormatting sqref="Q84:Q91">
    <cfRule type="cellIs" dxfId="11420" priority="297" operator="lessThan">
      <formula>0</formula>
    </cfRule>
  </conditionalFormatting>
  <conditionalFormatting sqref="R84:R91">
    <cfRule type="cellIs" dxfId="11419" priority="295" operator="lessThan">
      <formula>0.8</formula>
    </cfRule>
    <cfRule type="cellIs" dxfId="11418" priority="296" operator="greaterThan">
      <formula>1</formula>
    </cfRule>
  </conditionalFormatting>
  <conditionalFormatting sqref="R84:R91">
    <cfRule type="cellIs" dxfId="11417" priority="293" operator="greaterThan">
      <formula>1</formula>
    </cfRule>
    <cfRule type="cellIs" dxfId="11416" priority="294" operator="lessThan">
      <formula>0.8</formula>
    </cfRule>
  </conditionalFormatting>
  <conditionalFormatting sqref="P84:P91">
    <cfRule type="cellIs" dxfId="11415" priority="292" operator="greaterThan">
      <formula>0</formula>
    </cfRule>
  </conditionalFormatting>
  <conditionalFormatting sqref="Q84:Q91">
    <cfRule type="cellIs" dxfId="11414" priority="291" operator="lessThan">
      <formula>0</formula>
    </cfRule>
  </conditionalFormatting>
  <conditionalFormatting sqref="R84:R91">
    <cfRule type="cellIs" dxfId="11413" priority="289" operator="lessThan">
      <formula>0.8</formula>
    </cfRule>
    <cfRule type="cellIs" dxfId="11412" priority="290" operator="greaterThan">
      <formula>1</formula>
    </cfRule>
  </conditionalFormatting>
  <conditionalFormatting sqref="R84:R91">
    <cfRule type="cellIs" dxfId="11411" priority="287" operator="greaterThan">
      <formula>1</formula>
    </cfRule>
    <cfRule type="cellIs" dxfId="11410" priority="288" operator="lessThan">
      <formula>0.8</formula>
    </cfRule>
  </conditionalFormatting>
  <conditionalFormatting sqref="P84:P91">
    <cfRule type="cellIs" dxfId="11409" priority="286" operator="greaterThan">
      <formula>0</formula>
    </cfRule>
  </conditionalFormatting>
  <conditionalFormatting sqref="Q84:Q91">
    <cfRule type="cellIs" dxfId="11408" priority="285" operator="lessThan">
      <formula>0</formula>
    </cfRule>
  </conditionalFormatting>
  <conditionalFormatting sqref="R84:R91">
    <cfRule type="cellIs" dxfId="11407" priority="283" operator="lessThan">
      <formula>0.8</formula>
    </cfRule>
    <cfRule type="cellIs" dxfId="11406" priority="284" operator="greaterThan">
      <formula>1</formula>
    </cfRule>
  </conditionalFormatting>
  <conditionalFormatting sqref="R84:R91">
    <cfRule type="cellIs" dxfId="11405" priority="281" operator="greaterThan">
      <formula>1</formula>
    </cfRule>
    <cfRule type="cellIs" dxfId="11404" priority="282" operator="lessThan">
      <formula>0.8</formula>
    </cfRule>
  </conditionalFormatting>
  <conditionalFormatting sqref="P84:P91">
    <cfRule type="cellIs" dxfId="11403" priority="280" operator="greaterThan">
      <formula>0</formula>
    </cfRule>
  </conditionalFormatting>
  <conditionalFormatting sqref="Q84:Q91">
    <cfRule type="cellIs" dxfId="11402" priority="279" operator="lessThan">
      <formula>0</formula>
    </cfRule>
  </conditionalFormatting>
  <conditionalFormatting sqref="R84:R91">
    <cfRule type="cellIs" dxfId="11401" priority="277" operator="lessThan">
      <formula>0.8</formula>
    </cfRule>
    <cfRule type="cellIs" dxfId="11400" priority="278" operator="greaterThan">
      <formula>1</formula>
    </cfRule>
  </conditionalFormatting>
  <conditionalFormatting sqref="R84:R91">
    <cfRule type="cellIs" dxfId="11399" priority="275" operator="greaterThan">
      <formula>1</formula>
    </cfRule>
    <cfRule type="cellIs" dxfId="11398" priority="276" operator="lessThan">
      <formula>0.8</formula>
    </cfRule>
  </conditionalFormatting>
  <conditionalFormatting sqref="P84:P91">
    <cfRule type="cellIs" dxfId="11397" priority="274" operator="greaterThan">
      <formula>0</formula>
    </cfRule>
  </conditionalFormatting>
  <conditionalFormatting sqref="Q84:Q91">
    <cfRule type="cellIs" dxfId="11396" priority="273" operator="lessThan">
      <formula>0</formula>
    </cfRule>
  </conditionalFormatting>
  <conditionalFormatting sqref="R84:R91">
    <cfRule type="cellIs" dxfId="11395" priority="271" operator="lessThan">
      <formula>0.8</formula>
    </cfRule>
    <cfRule type="cellIs" dxfId="11394" priority="272" operator="greaterThan">
      <formula>1</formula>
    </cfRule>
  </conditionalFormatting>
  <conditionalFormatting sqref="R84:R91">
    <cfRule type="cellIs" dxfId="11393" priority="269" operator="greaterThan">
      <formula>1</formula>
    </cfRule>
    <cfRule type="cellIs" dxfId="11392" priority="270" operator="lessThan">
      <formula>0.8</formula>
    </cfRule>
  </conditionalFormatting>
  <conditionalFormatting sqref="P84:P91">
    <cfRule type="cellIs" dxfId="11391" priority="268" operator="greaterThan">
      <formula>0</formula>
    </cfRule>
  </conditionalFormatting>
  <conditionalFormatting sqref="P84:P91">
    <cfRule type="cellIs" dxfId="11390" priority="262" operator="greaterThan">
      <formula>0</formula>
    </cfRule>
  </conditionalFormatting>
  <conditionalFormatting sqref="Q84:Q91">
    <cfRule type="cellIs" dxfId="11389" priority="267" operator="lessThan">
      <formula>0</formula>
    </cfRule>
  </conditionalFormatting>
  <conditionalFormatting sqref="R84:R91">
    <cfRule type="cellIs" dxfId="11388" priority="265" operator="lessThan">
      <formula>0.8</formula>
    </cfRule>
    <cfRule type="cellIs" dxfId="11387" priority="266" operator="greaterThan">
      <formula>1</formula>
    </cfRule>
  </conditionalFormatting>
  <conditionalFormatting sqref="R84:R91">
    <cfRule type="cellIs" dxfId="11386" priority="263" operator="greaterThan">
      <formula>1</formula>
    </cfRule>
    <cfRule type="cellIs" dxfId="11385" priority="264" operator="lessThan">
      <formula>0.8</formula>
    </cfRule>
  </conditionalFormatting>
  <conditionalFormatting sqref="P84:P91">
    <cfRule type="cellIs" dxfId="11384" priority="256" operator="greaterThan">
      <formula>0</formula>
    </cfRule>
  </conditionalFormatting>
  <conditionalFormatting sqref="Q84:Q91">
    <cfRule type="cellIs" dxfId="11383" priority="261" operator="lessThan">
      <formula>0</formula>
    </cfRule>
  </conditionalFormatting>
  <conditionalFormatting sqref="R84:R91">
    <cfRule type="cellIs" dxfId="11382" priority="259" operator="lessThan">
      <formula>0.8</formula>
    </cfRule>
    <cfRule type="cellIs" dxfId="11381" priority="260" operator="greaterThan">
      <formula>1</formula>
    </cfRule>
  </conditionalFormatting>
  <conditionalFormatting sqref="R84:R91">
    <cfRule type="cellIs" dxfId="11380" priority="257" operator="greaterThan">
      <formula>1</formula>
    </cfRule>
    <cfRule type="cellIs" dxfId="11379" priority="258" operator="lessThan">
      <formula>0.8</formula>
    </cfRule>
  </conditionalFormatting>
  <conditionalFormatting sqref="R84:R91">
    <cfRule type="cellIs" dxfId="11378" priority="253" operator="lessThan">
      <formula>0.8</formula>
    </cfRule>
    <cfRule type="cellIs" dxfId="11377" priority="254" operator="greaterThan">
      <formula>1</formula>
    </cfRule>
  </conditionalFormatting>
  <conditionalFormatting sqref="R84:R91">
    <cfRule type="cellIs" dxfId="11376" priority="251" operator="greaterThan">
      <formula>1</formula>
    </cfRule>
    <cfRule type="cellIs" dxfId="11375" priority="252" operator="lessThan">
      <formula>0.8</formula>
    </cfRule>
  </conditionalFormatting>
  <conditionalFormatting sqref="P84:P91">
    <cfRule type="cellIs" dxfId="11374" priority="250" operator="greaterThan">
      <formula>0</formula>
    </cfRule>
  </conditionalFormatting>
  <conditionalFormatting sqref="Q84:Q91">
    <cfRule type="cellIs" dxfId="11373" priority="255" operator="lessThan">
      <formula>0</formula>
    </cfRule>
  </conditionalFormatting>
  <conditionalFormatting sqref="Q84:Q91">
    <cfRule type="cellIs" dxfId="11372" priority="249" operator="lessThan">
      <formula>0</formula>
    </cfRule>
  </conditionalFormatting>
  <conditionalFormatting sqref="R84:R91">
    <cfRule type="cellIs" dxfId="11371" priority="247" operator="lessThan">
      <formula>0.8</formula>
    </cfRule>
    <cfRule type="cellIs" dxfId="11370" priority="248" operator="greaterThan">
      <formula>1</formula>
    </cfRule>
  </conditionalFormatting>
  <conditionalFormatting sqref="R84:R91">
    <cfRule type="cellIs" dxfId="11369" priority="245" operator="greaterThan">
      <formula>1</formula>
    </cfRule>
    <cfRule type="cellIs" dxfId="11368" priority="246" operator="lessThan">
      <formula>0.8</formula>
    </cfRule>
  </conditionalFormatting>
  <conditionalFormatting sqref="P84:P91">
    <cfRule type="cellIs" dxfId="11367" priority="244" operator="greaterThan">
      <formula>0</formula>
    </cfRule>
  </conditionalFormatting>
  <conditionalFormatting sqref="Q84:Q91">
    <cfRule type="cellIs" dxfId="11366" priority="243" operator="lessThan">
      <formula>0</formula>
    </cfRule>
  </conditionalFormatting>
  <conditionalFormatting sqref="R84:R91">
    <cfRule type="cellIs" dxfId="11365" priority="241" operator="lessThan">
      <formula>0.8</formula>
    </cfRule>
    <cfRule type="cellIs" dxfId="11364" priority="242" operator="greaterThan">
      <formula>1</formula>
    </cfRule>
  </conditionalFormatting>
  <conditionalFormatting sqref="R84:R91">
    <cfRule type="cellIs" dxfId="11363" priority="239" operator="greaterThan">
      <formula>1</formula>
    </cfRule>
    <cfRule type="cellIs" dxfId="11362" priority="240" operator="lessThan">
      <formula>0.8</formula>
    </cfRule>
  </conditionalFormatting>
  <conditionalFormatting sqref="P84:P91">
    <cfRule type="cellIs" dxfId="11361" priority="238" operator="greaterThan">
      <formula>0</formula>
    </cfRule>
  </conditionalFormatting>
  <conditionalFormatting sqref="Q84:Q91">
    <cfRule type="cellIs" dxfId="11360" priority="237" operator="lessThan">
      <formula>0</formula>
    </cfRule>
  </conditionalFormatting>
  <conditionalFormatting sqref="R84:R91">
    <cfRule type="cellIs" dxfId="11359" priority="235" operator="lessThan">
      <formula>0.8</formula>
    </cfRule>
    <cfRule type="cellIs" dxfId="11358" priority="236" operator="greaterThan">
      <formula>1</formula>
    </cfRule>
  </conditionalFormatting>
  <conditionalFormatting sqref="R84:R91">
    <cfRule type="cellIs" dxfId="11357" priority="233" operator="greaterThan">
      <formula>1</formula>
    </cfRule>
    <cfRule type="cellIs" dxfId="11356" priority="234" operator="lessThan">
      <formula>0.8</formula>
    </cfRule>
  </conditionalFormatting>
  <conditionalFormatting sqref="P84:P91">
    <cfRule type="cellIs" dxfId="11355" priority="232" operator="greaterThan">
      <formula>0</formula>
    </cfRule>
  </conditionalFormatting>
  <conditionalFormatting sqref="Q84:Q91">
    <cfRule type="cellIs" dxfId="11354" priority="231" operator="lessThan">
      <formula>0</formula>
    </cfRule>
  </conditionalFormatting>
  <conditionalFormatting sqref="R84:R91">
    <cfRule type="cellIs" dxfId="11353" priority="229" operator="lessThan">
      <formula>0.8</formula>
    </cfRule>
    <cfRule type="cellIs" dxfId="11352" priority="230" operator="greaterThan">
      <formula>1</formula>
    </cfRule>
  </conditionalFormatting>
  <conditionalFormatting sqref="R84:R91">
    <cfRule type="cellIs" dxfId="11351" priority="227" operator="greaterThan">
      <formula>1</formula>
    </cfRule>
    <cfRule type="cellIs" dxfId="11350" priority="228" operator="lessThan">
      <formula>0.8</formula>
    </cfRule>
  </conditionalFormatting>
  <conditionalFormatting sqref="P84:P91">
    <cfRule type="cellIs" dxfId="11349" priority="226" operator="greaterThan">
      <formula>0</formula>
    </cfRule>
  </conditionalFormatting>
  <conditionalFormatting sqref="P84:P91">
    <cfRule type="cellIs" dxfId="11348" priority="220" operator="greaterThan">
      <formula>0</formula>
    </cfRule>
  </conditionalFormatting>
  <conditionalFormatting sqref="Q84:Q91">
    <cfRule type="cellIs" dxfId="11347" priority="225" operator="lessThan">
      <formula>0</formula>
    </cfRule>
  </conditionalFormatting>
  <conditionalFormatting sqref="R84:R91">
    <cfRule type="cellIs" dxfId="11346" priority="223" operator="lessThan">
      <formula>0.8</formula>
    </cfRule>
    <cfRule type="cellIs" dxfId="11345" priority="224" operator="greaterThan">
      <formula>1</formula>
    </cfRule>
  </conditionalFormatting>
  <conditionalFormatting sqref="R84:R91">
    <cfRule type="cellIs" dxfId="11344" priority="221" operator="greaterThan">
      <formula>1</formula>
    </cfRule>
    <cfRule type="cellIs" dxfId="11343" priority="222" operator="lessThan">
      <formula>0.8</formula>
    </cfRule>
  </conditionalFormatting>
  <conditionalFormatting sqref="P84:P91">
    <cfRule type="cellIs" dxfId="11342" priority="214" operator="greaterThan">
      <formula>0</formula>
    </cfRule>
  </conditionalFormatting>
  <conditionalFormatting sqref="Q84:Q91">
    <cfRule type="cellIs" dxfId="11341" priority="219" operator="lessThan">
      <formula>0</formula>
    </cfRule>
  </conditionalFormatting>
  <conditionalFormatting sqref="R84:R91">
    <cfRule type="cellIs" dxfId="11340" priority="217" operator="lessThan">
      <formula>0.8</formula>
    </cfRule>
    <cfRule type="cellIs" dxfId="11339" priority="218" operator="greaterThan">
      <formula>1</formula>
    </cfRule>
  </conditionalFormatting>
  <conditionalFormatting sqref="R84:R91">
    <cfRule type="cellIs" dxfId="11338" priority="215" operator="greaterThan">
      <formula>1</formula>
    </cfRule>
    <cfRule type="cellIs" dxfId="11337" priority="216" operator="lessThan">
      <formula>0.8</formula>
    </cfRule>
  </conditionalFormatting>
  <conditionalFormatting sqref="R84:R91">
    <cfRule type="cellIs" dxfId="11336" priority="211" operator="lessThan">
      <formula>0.8</formula>
    </cfRule>
    <cfRule type="cellIs" dxfId="11335" priority="212" operator="greaterThan">
      <formula>1</formula>
    </cfRule>
  </conditionalFormatting>
  <conditionalFormatting sqref="R84:R91">
    <cfRule type="cellIs" dxfId="11334" priority="209" operator="greaterThan">
      <formula>1</formula>
    </cfRule>
    <cfRule type="cellIs" dxfId="11333" priority="210" operator="lessThan">
      <formula>0.8</formula>
    </cfRule>
  </conditionalFormatting>
  <conditionalFormatting sqref="P84:P91">
    <cfRule type="cellIs" dxfId="11332" priority="208" operator="greaterThan">
      <formula>0</formula>
    </cfRule>
  </conditionalFormatting>
  <conditionalFormatting sqref="Q84:Q91">
    <cfRule type="cellIs" dxfId="11331" priority="213" operator="lessThan">
      <formula>0</formula>
    </cfRule>
  </conditionalFormatting>
  <conditionalFormatting sqref="Q84:Q91">
    <cfRule type="cellIs" dxfId="11330" priority="207" operator="lessThan">
      <formula>0</formula>
    </cfRule>
  </conditionalFormatting>
  <conditionalFormatting sqref="R84:R91">
    <cfRule type="cellIs" dxfId="11329" priority="205" operator="lessThan">
      <formula>0.8</formula>
    </cfRule>
    <cfRule type="cellIs" dxfId="11328" priority="206" operator="greaterThan">
      <formula>1</formula>
    </cfRule>
  </conditionalFormatting>
  <conditionalFormatting sqref="R84:R91">
    <cfRule type="cellIs" dxfId="11327" priority="203" operator="greaterThan">
      <formula>1</formula>
    </cfRule>
    <cfRule type="cellIs" dxfId="11326" priority="204" operator="lessThan">
      <formula>0.8</formula>
    </cfRule>
  </conditionalFormatting>
  <conditionalFormatting sqref="P84:P91">
    <cfRule type="cellIs" dxfId="11325" priority="202" operator="greaterThan">
      <formula>0</formula>
    </cfRule>
  </conditionalFormatting>
  <conditionalFormatting sqref="P84:P91">
    <cfRule type="cellIs" dxfId="11324" priority="196" operator="greaterThan">
      <formula>0</formula>
    </cfRule>
  </conditionalFormatting>
  <conditionalFormatting sqref="Q84:Q91">
    <cfRule type="cellIs" dxfId="11323" priority="201" operator="lessThan">
      <formula>0</formula>
    </cfRule>
  </conditionalFormatting>
  <conditionalFormatting sqref="R84:R91">
    <cfRule type="cellIs" dxfId="11322" priority="199" operator="lessThan">
      <formula>0.8</formula>
    </cfRule>
    <cfRule type="cellIs" dxfId="11321" priority="200" operator="greaterThan">
      <formula>1</formula>
    </cfRule>
  </conditionalFormatting>
  <conditionalFormatting sqref="R84:R91">
    <cfRule type="cellIs" dxfId="11320" priority="197" operator="greaterThan">
      <formula>1</formula>
    </cfRule>
    <cfRule type="cellIs" dxfId="11319" priority="198" operator="lessThan">
      <formula>0.8</formula>
    </cfRule>
  </conditionalFormatting>
  <conditionalFormatting sqref="P84:P91">
    <cfRule type="cellIs" dxfId="11318" priority="190" operator="greaterThan">
      <formula>0</formula>
    </cfRule>
  </conditionalFormatting>
  <conditionalFormatting sqref="Q84:Q91">
    <cfRule type="cellIs" dxfId="11317" priority="195" operator="lessThan">
      <formula>0</formula>
    </cfRule>
  </conditionalFormatting>
  <conditionalFormatting sqref="R84:R91">
    <cfRule type="cellIs" dxfId="11316" priority="193" operator="lessThan">
      <formula>0.8</formula>
    </cfRule>
    <cfRule type="cellIs" dxfId="11315" priority="194" operator="greaterThan">
      <formula>1</formula>
    </cfRule>
  </conditionalFormatting>
  <conditionalFormatting sqref="R84:R91">
    <cfRule type="cellIs" dxfId="11314" priority="191" operator="greaterThan">
      <formula>1</formula>
    </cfRule>
    <cfRule type="cellIs" dxfId="11313" priority="192" operator="lessThan">
      <formula>0.8</formula>
    </cfRule>
  </conditionalFormatting>
  <conditionalFormatting sqref="R84:R91">
    <cfRule type="cellIs" dxfId="11312" priority="187" operator="lessThan">
      <formula>0.8</formula>
    </cfRule>
    <cfRule type="cellIs" dxfId="11311" priority="188" operator="greaterThan">
      <formula>1</formula>
    </cfRule>
  </conditionalFormatting>
  <conditionalFormatting sqref="R84:R91">
    <cfRule type="cellIs" dxfId="11310" priority="185" operator="greaterThan">
      <formula>1</formula>
    </cfRule>
    <cfRule type="cellIs" dxfId="11309" priority="186" operator="lessThan">
      <formula>0.8</formula>
    </cfRule>
  </conditionalFormatting>
  <conditionalFormatting sqref="P84:P91">
    <cfRule type="cellIs" dxfId="11308" priority="184" operator="greaterThan">
      <formula>0</formula>
    </cfRule>
  </conditionalFormatting>
  <conditionalFormatting sqref="Q84:Q91">
    <cfRule type="cellIs" dxfId="11307" priority="189" operator="lessThan">
      <formula>0</formula>
    </cfRule>
  </conditionalFormatting>
  <conditionalFormatting sqref="P84:P91">
    <cfRule type="cellIs" dxfId="11306" priority="178" operator="greaterThan">
      <formula>0</formula>
    </cfRule>
  </conditionalFormatting>
  <conditionalFormatting sqref="Q84:Q91">
    <cfRule type="cellIs" dxfId="11305" priority="183" operator="lessThan">
      <formula>0</formula>
    </cfRule>
  </conditionalFormatting>
  <conditionalFormatting sqref="R84:R91">
    <cfRule type="cellIs" dxfId="11304" priority="181" operator="lessThan">
      <formula>0.8</formula>
    </cfRule>
    <cfRule type="cellIs" dxfId="11303" priority="182" operator="greaterThan">
      <formula>1</formula>
    </cfRule>
  </conditionalFormatting>
  <conditionalFormatting sqref="R84:R91">
    <cfRule type="cellIs" dxfId="11302" priority="179" operator="greaterThan">
      <formula>1</formula>
    </cfRule>
    <cfRule type="cellIs" dxfId="11301" priority="180" operator="lessThan">
      <formula>0.8</formula>
    </cfRule>
  </conditionalFormatting>
  <conditionalFormatting sqref="R84:R91">
    <cfRule type="cellIs" dxfId="11300" priority="175" operator="lessThan">
      <formula>0.8</formula>
    </cfRule>
    <cfRule type="cellIs" dxfId="11299" priority="176" operator="greaterThan">
      <formula>1</formula>
    </cfRule>
  </conditionalFormatting>
  <conditionalFormatting sqref="R84:R91">
    <cfRule type="cellIs" dxfId="11298" priority="173" operator="greaterThan">
      <formula>1</formula>
    </cfRule>
    <cfRule type="cellIs" dxfId="11297" priority="174" operator="lessThan">
      <formula>0.8</formula>
    </cfRule>
  </conditionalFormatting>
  <conditionalFormatting sqref="P84:P91">
    <cfRule type="cellIs" dxfId="11296" priority="172" operator="greaterThan">
      <formula>0</formula>
    </cfRule>
  </conditionalFormatting>
  <conditionalFormatting sqref="Q84:Q91">
    <cfRule type="cellIs" dxfId="11295" priority="177" operator="lessThan">
      <formula>0</formula>
    </cfRule>
  </conditionalFormatting>
  <conditionalFormatting sqref="R84:R91">
    <cfRule type="cellIs" dxfId="11294" priority="169" operator="lessThan">
      <formula>0.8</formula>
    </cfRule>
    <cfRule type="cellIs" dxfId="11293" priority="170" operator="greaterThan">
      <formula>1</formula>
    </cfRule>
  </conditionalFormatting>
  <conditionalFormatting sqref="R84:R91">
    <cfRule type="cellIs" dxfId="11292" priority="167" operator="greaterThan">
      <formula>1</formula>
    </cfRule>
    <cfRule type="cellIs" dxfId="11291" priority="168" operator="lessThan">
      <formula>0.8</formula>
    </cfRule>
  </conditionalFormatting>
  <conditionalFormatting sqref="P84:P91">
    <cfRule type="cellIs" dxfId="11290" priority="166" operator="greaterThan">
      <formula>0</formula>
    </cfRule>
  </conditionalFormatting>
  <conditionalFormatting sqref="Q84:Q91">
    <cfRule type="cellIs" dxfId="11289" priority="171" operator="lessThan">
      <formula>0</formula>
    </cfRule>
  </conditionalFormatting>
  <conditionalFormatting sqref="Q84:Q91">
    <cfRule type="cellIs" dxfId="11288" priority="165" operator="lessThan">
      <formula>0</formula>
    </cfRule>
  </conditionalFormatting>
  <conditionalFormatting sqref="R84:R91">
    <cfRule type="cellIs" dxfId="11287" priority="163" operator="lessThan">
      <formula>0.8</formula>
    </cfRule>
    <cfRule type="cellIs" dxfId="11286" priority="164" operator="greaterThan">
      <formula>1</formula>
    </cfRule>
  </conditionalFormatting>
  <conditionalFormatting sqref="R84:R91">
    <cfRule type="cellIs" dxfId="11285" priority="161" operator="greaterThan">
      <formula>1</formula>
    </cfRule>
    <cfRule type="cellIs" dxfId="11284" priority="162" operator="lessThan">
      <formula>0.8</formula>
    </cfRule>
  </conditionalFormatting>
  <conditionalFormatting sqref="P84:P91">
    <cfRule type="cellIs" dxfId="11283" priority="160" operator="greaterThan">
      <formula>0</formula>
    </cfRule>
  </conditionalFormatting>
  <conditionalFormatting sqref="Q84:Q91">
    <cfRule type="cellIs" dxfId="11282" priority="154" operator="lessThan">
      <formula>0</formula>
    </cfRule>
  </conditionalFormatting>
  <conditionalFormatting sqref="R84:R91">
    <cfRule type="cellIs" dxfId="11281" priority="158" operator="lessThan">
      <formula>0.8</formula>
    </cfRule>
    <cfRule type="cellIs" dxfId="11280" priority="159" operator="greaterThan">
      <formula>1</formula>
    </cfRule>
  </conditionalFormatting>
  <conditionalFormatting sqref="R84:R91">
    <cfRule type="cellIs" dxfId="11279" priority="156" operator="greaterThan">
      <formula>1</formula>
    </cfRule>
    <cfRule type="cellIs" dxfId="11278" priority="157" operator="lessThan">
      <formula>0.8</formula>
    </cfRule>
  </conditionalFormatting>
  <conditionalFormatting sqref="P84:P91">
    <cfRule type="cellIs" dxfId="11277" priority="155" operator="greaterThan">
      <formula>0</formula>
    </cfRule>
  </conditionalFormatting>
  <conditionalFormatting sqref="Q84:Q91">
    <cfRule type="cellIs" dxfId="11276" priority="153" operator="lessThan">
      <formula>0</formula>
    </cfRule>
  </conditionalFormatting>
  <conditionalFormatting sqref="R84:R91">
    <cfRule type="cellIs" dxfId="11275" priority="151" operator="lessThan">
      <formula>0.8</formula>
    </cfRule>
    <cfRule type="cellIs" dxfId="11274" priority="152" operator="greaterThan">
      <formula>1</formula>
    </cfRule>
  </conditionalFormatting>
  <conditionalFormatting sqref="R84:R91">
    <cfRule type="cellIs" dxfId="11273" priority="149" operator="greaterThan">
      <formula>1</formula>
    </cfRule>
    <cfRule type="cellIs" dxfId="11272" priority="150" operator="lessThan">
      <formula>0.8</formula>
    </cfRule>
  </conditionalFormatting>
  <conditionalFormatting sqref="P84:P91">
    <cfRule type="cellIs" dxfId="11271" priority="148" operator="greaterThan">
      <formula>0</formula>
    </cfRule>
  </conditionalFormatting>
  <conditionalFormatting sqref="Q84:Q91">
    <cfRule type="cellIs" dxfId="11270" priority="147" operator="lessThan">
      <formula>0</formula>
    </cfRule>
  </conditionalFormatting>
  <conditionalFormatting sqref="R84:R91">
    <cfRule type="cellIs" dxfId="11269" priority="145" operator="lessThan">
      <formula>0.8</formula>
    </cfRule>
    <cfRule type="cellIs" dxfId="11268" priority="146" operator="greaterThan">
      <formula>1</formula>
    </cfRule>
  </conditionalFormatting>
  <conditionalFormatting sqref="R84:R91">
    <cfRule type="cellIs" dxfId="11267" priority="143" operator="greaterThan">
      <formula>1</formula>
    </cfRule>
    <cfRule type="cellIs" dxfId="11266" priority="144" operator="lessThan">
      <formula>0.8</formula>
    </cfRule>
  </conditionalFormatting>
  <conditionalFormatting sqref="P84:P91">
    <cfRule type="cellIs" dxfId="11265" priority="142" operator="greaterThan">
      <formula>0</formula>
    </cfRule>
  </conditionalFormatting>
  <conditionalFormatting sqref="Q84:Q91">
    <cfRule type="cellIs" dxfId="11264" priority="141" operator="lessThan">
      <formula>0</formula>
    </cfRule>
  </conditionalFormatting>
  <conditionalFormatting sqref="R84:R91">
    <cfRule type="cellIs" dxfId="11263" priority="139" operator="lessThan">
      <formula>0.8</formula>
    </cfRule>
    <cfRule type="cellIs" dxfId="11262" priority="140" operator="greaterThan">
      <formula>1</formula>
    </cfRule>
  </conditionalFormatting>
  <conditionalFormatting sqref="R84:R91">
    <cfRule type="cellIs" dxfId="11261" priority="137" operator="greaterThan">
      <formula>1</formula>
    </cfRule>
    <cfRule type="cellIs" dxfId="11260" priority="138" operator="lessThan">
      <formula>0.8</formula>
    </cfRule>
  </conditionalFormatting>
  <conditionalFormatting sqref="P84:P91">
    <cfRule type="cellIs" dxfId="11259" priority="136" operator="greaterThan">
      <formula>0</formula>
    </cfRule>
  </conditionalFormatting>
  <conditionalFormatting sqref="Q84:Q91">
    <cfRule type="cellIs" dxfId="11258" priority="135" operator="lessThan">
      <formula>0</formula>
    </cfRule>
  </conditionalFormatting>
  <conditionalFormatting sqref="R84:R91">
    <cfRule type="cellIs" dxfId="11257" priority="133" operator="lessThan">
      <formula>0.8</formula>
    </cfRule>
    <cfRule type="cellIs" dxfId="11256" priority="134" operator="greaterThan">
      <formula>1</formula>
    </cfRule>
  </conditionalFormatting>
  <conditionalFormatting sqref="R84:R91">
    <cfRule type="cellIs" dxfId="11255" priority="131" operator="greaterThan">
      <formula>1</formula>
    </cfRule>
    <cfRule type="cellIs" dxfId="11254" priority="132" operator="lessThan">
      <formula>0.8</formula>
    </cfRule>
  </conditionalFormatting>
  <conditionalFormatting sqref="P84:P91">
    <cfRule type="cellIs" dxfId="11253" priority="130" operator="greaterThan">
      <formula>0</formula>
    </cfRule>
  </conditionalFormatting>
  <conditionalFormatting sqref="Q84:Q91">
    <cfRule type="cellIs" dxfId="11252" priority="129" operator="lessThan">
      <formula>0</formula>
    </cfRule>
  </conditionalFormatting>
  <conditionalFormatting sqref="R84:R91">
    <cfRule type="cellIs" dxfId="11251" priority="127" operator="lessThan">
      <formula>0.8</formula>
    </cfRule>
    <cfRule type="cellIs" dxfId="11250" priority="128" operator="greaterThan">
      <formula>1</formula>
    </cfRule>
  </conditionalFormatting>
  <conditionalFormatting sqref="R84:R91">
    <cfRule type="cellIs" dxfId="11249" priority="125" operator="greaterThan">
      <formula>1</formula>
    </cfRule>
    <cfRule type="cellIs" dxfId="11248" priority="126" operator="lessThan">
      <formula>0.8</formula>
    </cfRule>
  </conditionalFormatting>
  <conditionalFormatting sqref="P84:P91">
    <cfRule type="cellIs" dxfId="11247" priority="124" operator="greaterThan">
      <formula>0</formula>
    </cfRule>
  </conditionalFormatting>
  <conditionalFormatting sqref="P84:P91">
    <cfRule type="cellIs" dxfId="11246" priority="118" operator="greaterThan">
      <formula>0</formula>
    </cfRule>
  </conditionalFormatting>
  <conditionalFormatting sqref="Q84:Q91">
    <cfRule type="cellIs" dxfId="11245" priority="123" operator="lessThan">
      <formula>0</formula>
    </cfRule>
  </conditionalFormatting>
  <conditionalFormatting sqref="R84:R91">
    <cfRule type="cellIs" dxfId="11244" priority="121" operator="lessThan">
      <formula>0.8</formula>
    </cfRule>
    <cfRule type="cellIs" dxfId="11243" priority="122" operator="greaterThan">
      <formula>1</formula>
    </cfRule>
  </conditionalFormatting>
  <conditionalFormatting sqref="R84:R91">
    <cfRule type="cellIs" dxfId="11242" priority="119" operator="greaterThan">
      <formula>1</formula>
    </cfRule>
    <cfRule type="cellIs" dxfId="11241" priority="120" operator="lessThan">
      <formula>0.8</formula>
    </cfRule>
  </conditionalFormatting>
  <conditionalFormatting sqref="P84:P91">
    <cfRule type="cellIs" dxfId="11240" priority="112" operator="greaterThan">
      <formula>0</formula>
    </cfRule>
  </conditionalFormatting>
  <conditionalFormatting sqref="Q84:Q91">
    <cfRule type="cellIs" dxfId="11239" priority="117" operator="lessThan">
      <formula>0</formula>
    </cfRule>
  </conditionalFormatting>
  <conditionalFormatting sqref="R84:R91">
    <cfRule type="cellIs" dxfId="11238" priority="115" operator="lessThan">
      <formula>0.8</formula>
    </cfRule>
    <cfRule type="cellIs" dxfId="11237" priority="116" operator="greaterThan">
      <formula>1</formula>
    </cfRule>
  </conditionalFormatting>
  <conditionalFormatting sqref="R84:R91">
    <cfRule type="cellIs" dxfId="11236" priority="113" operator="greaterThan">
      <formula>1</formula>
    </cfRule>
    <cfRule type="cellIs" dxfId="11235" priority="114" operator="lessThan">
      <formula>0.8</formula>
    </cfRule>
  </conditionalFormatting>
  <conditionalFormatting sqref="R84:R91">
    <cfRule type="cellIs" dxfId="11234" priority="109" operator="lessThan">
      <formula>0.8</formula>
    </cfRule>
    <cfRule type="cellIs" dxfId="11233" priority="110" operator="greaterThan">
      <formula>1</formula>
    </cfRule>
  </conditionalFormatting>
  <conditionalFormatting sqref="R84:R91">
    <cfRule type="cellIs" dxfId="11232" priority="107" operator="greaterThan">
      <formula>1</formula>
    </cfRule>
    <cfRule type="cellIs" dxfId="11231" priority="108" operator="lessThan">
      <formula>0.8</formula>
    </cfRule>
  </conditionalFormatting>
  <conditionalFormatting sqref="P84:P91">
    <cfRule type="cellIs" dxfId="11230" priority="106" operator="greaterThan">
      <formula>0</formula>
    </cfRule>
  </conditionalFormatting>
  <conditionalFormatting sqref="Q84:Q91">
    <cfRule type="cellIs" dxfId="11229" priority="111" operator="lessThan">
      <formula>0</formula>
    </cfRule>
  </conditionalFormatting>
  <conditionalFormatting sqref="Q84:Q91">
    <cfRule type="cellIs" dxfId="11228" priority="100" operator="lessThan">
      <formula>0</formula>
    </cfRule>
  </conditionalFormatting>
  <conditionalFormatting sqref="P84:P91">
    <cfRule type="cellIs" dxfId="11227" priority="101" operator="greaterThan">
      <formula>0</formula>
    </cfRule>
  </conditionalFormatting>
  <conditionalFormatting sqref="R84:R91">
    <cfRule type="cellIs" dxfId="11226" priority="104" operator="lessThan">
      <formula>0.8</formula>
    </cfRule>
    <cfRule type="cellIs" dxfId="11225" priority="105" operator="greaterThan">
      <formula>1</formula>
    </cfRule>
  </conditionalFormatting>
  <conditionalFormatting sqref="R84:R91">
    <cfRule type="cellIs" dxfId="11224" priority="102" operator="greaterThan">
      <formula>1</formula>
    </cfRule>
    <cfRule type="cellIs" dxfId="11223" priority="103" operator="lessThan">
      <formula>0.8</formula>
    </cfRule>
  </conditionalFormatting>
  <conditionalFormatting sqref="Q84:Q91">
    <cfRule type="cellIs" dxfId="11222" priority="94" operator="lessThan">
      <formula>0</formula>
    </cfRule>
  </conditionalFormatting>
  <conditionalFormatting sqref="R84:R91">
    <cfRule type="cellIs" dxfId="11221" priority="98" operator="lessThan">
      <formula>0.8</formula>
    </cfRule>
    <cfRule type="cellIs" dxfId="11220" priority="99" operator="greaterThan">
      <formula>1</formula>
    </cfRule>
  </conditionalFormatting>
  <conditionalFormatting sqref="R84:R91">
    <cfRule type="cellIs" dxfId="11219" priority="96" operator="greaterThan">
      <formula>1</formula>
    </cfRule>
    <cfRule type="cellIs" dxfId="11218" priority="97" operator="lessThan">
      <formula>0.8</formula>
    </cfRule>
  </conditionalFormatting>
  <conditionalFormatting sqref="P84:P91">
    <cfRule type="cellIs" dxfId="11217" priority="95" operator="greaterThan">
      <formula>0</formula>
    </cfRule>
  </conditionalFormatting>
  <conditionalFormatting sqref="Q84:Q91">
    <cfRule type="cellIs" dxfId="11216" priority="93" operator="lessThan">
      <formula>0</formula>
    </cfRule>
  </conditionalFormatting>
  <conditionalFormatting sqref="R84:R91">
    <cfRule type="cellIs" dxfId="11215" priority="91" operator="lessThan">
      <formula>0.8</formula>
    </cfRule>
    <cfRule type="cellIs" dxfId="11214" priority="92" operator="greaterThan">
      <formula>1</formula>
    </cfRule>
  </conditionalFormatting>
  <conditionalFormatting sqref="R84:R91">
    <cfRule type="cellIs" dxfId="11213" priority="89" operator="greaterThan">
      <formula>1</formula>
    </cfRule>
    <cfRule type="cellIs" dxfId="11212" priority="90" operator="lessThan">
      <formula>0.8</formula>
    </cfRule>
  </conditionalFormatting>
  <conditionalFormatting sqref="P84:P91">
    <cfRule type="cellIs" dxfId="11211" priority="88" operator="greaterThan">
      <formula>0</formula>
    </cfRule>
  </conditionalFormatting>
  <conditionalFormatting sqref="Q84:Q91">
    <cfRule type="cellIs" dxfId="11210" priority="87" operator="lessThan">
      <formula>0</formula>
    </cfRule>
  </conditionalFormatting>
  <conditionalFormatting sqref="R84:R91">
    <cfRule type="cellIs" dxfId="11209" priority="85" operator="lessThan">
      <formula>0.8</formula>
    </cfRule>
    <cfRule type="cellIs" dxfId="11208" priority="86" operator="greaterThan">
      <formula>1</formula>
    </cfRule>
  </conditionalFormatting>
  <conditionalFormatting sqref="R84:R91">
    <cfRule type="cellIs" dxfId="11207" priority="83" operator="greaterThan">
      <formula>1</formula>
    </cfRule>
    <cfRule type="cellIs" dxfId="11206" priority="84" operator="lessThan">
      <formula>0.8</formula>
    </cfRule>
  </conditionalFormatting>
  <conditionalFormatting sqref="P84:P91">
    <cfRule type="cellIs" dxfId="11205" priority="82" operator="greaterThan">
      <formula>0</formula>
    </cfRule>
  </conditionalFormatting>
  <conditionalFormatting sqref="Q84:Q91">
    <cfRule type="cellIs" dxfId="11204" priority="81" operator="lessThan">
      <formula>0</formula>
    </cfRule>
  </conditionalFormatting>
  <conditionalFormatting sqref="R84:R91">
    <cfRule type="cellIs" dxfId="11203" priority="79" operator="lessThan">
      <formula>0.8</formula>
    </cfRule>
    <cfRule type="cellIs" dxfId="11202" priority="80" operator="greaterThan">
      <formula>1</formula>
    </cfRule>
  </conditionalFormatting>
  <conditionalFormatting sqref="R84:R91">
    <cfRule type="cellIs" dxfId="11201" priority="77" operator="greaterThan">
      <formula>1</formula>
    </cfRule>
    <cfRule type="cellIs" dxfId="11200" priority="78" operator="lessThan">
      <formula>0.8</formula>
    </cfRule>
  </conditionalFormatting>
  <conditionalFormatting sqref="P84:P91">
    <cfRule type="cellIs" dxfId="11199" priority="76" operator="greaterThan">
      <formula>0</formula>
    </cfRule>
  </conditionalFormatting>
  <conditionalFormatting sqref="Q162:Q166">
    <cfRule type="cellIs" dxfId="11198" priority="75" operator="lessThan">
      <formula>0</formula>
    </cfRule>
  </conditionalFormatting>
  <conditionalFormatting sqref="R162:R166">
    <cfRule type="cellIs" dxfId="11197" priority="73" operator="lessThan">
      <formula>0.8</formula>
    </cfRule>
    <cfRule type="cellIs" dxfId="11196" priority="74" operator="greaterThan">
      <formula>1</formula>
    </cfRule>
  </conditionalFormatting>
  <conditionalFormatting sqref="R162:R166">
    <cfRule type="cellIs" dxfId="11195" priority="71" operator="greaterThan">
      <formula>1</formula>
    </cfRule>
    <cfRule type="cellIs" dxfId="11194" priority="72" operator="lessThan">
      <formula>0.8</formula>
    </cfRule>
  </conditionalFormatting>
  <conditionalFormatting sqref="P162:P166">
    <cfRule type="cellIs" dxfId="11193" priority="70" operator="greaterThan">
      <formula>0</formula>
    </cfRule>
  </conditionalFormatting>
  <conditionalFormatting sqref="P167:P168">
    <cfRule type="cellIs" dxfId="11192" priority="64" operator="greaterThan">
      <formula>0</formula>
    </cfRule>
  </conditionalFormatting>
  <conditionalFormatting sqref="R167:R168">
    <cfRule type="cellIs" dxfId="11191" priority="67" operator="lessThan">
      <formula>0.8</formula>
    </cfRule>
    <cfRule type="cellIs" dxfId="11190" priority="68" operator="greaterThan">
      <formula>1</formula>
    </cfRule>
  </conditionalFormatting>
  <conditionalFormatting sqref="R167:R168">
    <cfRule type="cellIs" dxfId="11189" priority="65" operator="greaterThan">
      <formula>1</formula>
    </cfRule>
    <cfRule type="cellIs" dxfId="11188" priority="66" operator="lessThan">
      <formula>0.8</formula>
    </cfRule>
  </conditionalFormatting>
  <conditionalFormatting sqref="Q167:Q168">
    <cfRule type="cellIs" dxfId="11187" priority="69" operator="lessThan">
      <formula>0</formula>
    </cfRule>
  </conditionalFormatting>
  <conditionalFormatting sqref="Q161">
    <cfRule type="cellIs" dxfId="11186" priority="63" operator="lessThan">
      <formula>0</formula>
    </cfRule>
  </conditionalFormatting>
  <conditionalFormatting sqref="R161">
    <cfRule type="cellIs" dxfId="11185" priority="61" operator="lessThan">
      <formula>0.8</formula>
    </cfRule>
    <cfRule type="cellIs" dxfId="11184" priority="62" operator="greaterThan">
      <formula>1</formula>
    </cfRule>
  </conditionalFormatting>
  <conditionalFormatting sqref="R161">
    <cfRule type="cellIs" dxfId="11183" priority="59" operator="greaterThan">
      <formula>1</formula>
    </cfRule>
    <cfRule type="cellIs" dxfId="11182" priority="60" operator="lessThan">
      <formula>0.8</formula>
    </cfRule>
  </conditionalFormatting>
  <conditionalFormatting sqref="P161">
    <cfRule type="cellIs" dxfId="11181" priority="58" operator="greaterThan">
      <formula>0</formula>
    </cfRule>
  </conditionalFormatting>
  <conditionalFormatting sqref="Q162:Q166">
    <cfRule type="cellIs" dxfId="11180" priority="57" operator="lessThan">
      <formula>0</formula>
    </cfRule>
  </conditionalFormatting>
  <conditionalFormatting sqref="R162:R166">
    <cfRule type="cellIs" dxfId="11179" priority="55" operator="lessThan">
      <formula>0.8</formula>
    </cfRule>
    <cfRule type="cellIs" dxfId="11178" priority="56" operator="greaterThan">
      <formula>1</formula>
    </cfRule>
  </conditionalFormatting>
  <conditionalFormatting sqref="R162:R166">
    <cfRule type="cellIs" dxfId="11177" priority="53" operator="greaterThan">
      <formula>1</formula>
    </cfRule>
    <cfRule type="cellIs" dxfId="11176" priority="54" operator="lessThan">
      <formula>0.8</formula>
    </cfRule>
  </conditionalFormatting>
  <conditionalFormatting sqref="P162:P166">
    <cfRule type="cellIs" dxfId="11175" priority="52" operator="greaterThan">
      <formula>0</formula>
    </cfRule>
  </conditionalFormatting>
  <conditionalFormatting sqref="Q162:Q166">
    <cfRule type="cellIs" dxfId="11174" priority="51" operator="lessThan">
      <formula>0</formula>
    </cfRule>
  </conditionalFormatting>
  <conditionalFormatting sqref="R162:R166">
    <cfRule type="cellIs" dxfId="11173" priority="49" operator="lessThan">
      <formula>0.8</formula>
    </cfRule>
    <cfRule type="cellIs" dxfId="11172" priority="50" operator="greaterThan">
      <formula>1</formula>
    </cfRule>
  </conditionalFormatting>
  <conditionalFormatting sqref="R162:R166">
    <cfRule type="cellIs" dxfId="11171" priority="47" operator="greaterThan">
      <formula>1</formula>
    </cfRule>
    <cfRule type="cellIs" dxfId="11170" priority="48" operator="lessThan">
      <formula>0.8</formula>
    </cfRule>
  </conditionalFormatting>
  <conditionalFormatting sqref="P162:P166">
    <cfRule type="cellIs" dxfId="11169" priority="46" operator="greaterThan">
      <formula>0</formula>
    </cfRule>
  </conditionalFormatting>
  <conditionalFormatting sqref="Q167:Q168">
    <cfRule type="cellIs" dxfId="11168" priority="45" operator="lessThan">
      <formula>0</formula>
    </cfRule>
  </conditionalFormatting>
  <conditionalFormatting sqref="R167:R168">
    <cfRule type="cellIs" dxfId="11167" priority="43" operator="lessThan">
      <formula>0.8</formula>
    </cfRule>
    <cfRule type="cellIs" dxfId="11166" priority="44" operator="greaterThan">
      <formula>1</formula>
    </cfRule>
  </conditionalFormatting>
  <conditionalFormatting sqref="R167:R168">
    <cfRule type="cellIs" dxfId="11165" priority="41" operator="greaterThan">
      <formula>1</formula>
    </cfRule>
    <cfRule type="cellIs" dxfId="11164" priority="42" operator="lessThan">
      <formula>0.8</formula>
    </cfRule>
  </conditionalFormatting>
  <conditionalFormatting sqref="P167:P168">
    <cfRule type="cellIs" dxfId="11163" priority="40" operator="greaterThan">
      <formula>0</formula>
    </cfRule>
  </conditionalFormatting>
  <conditionalFormatting sqref="Q161">
    <cfRule type="cellIs" dxfId="11162" priority="39" operator="lessThan">
      <formula>0</formula>
    </cfRule>
  </conditionalFormatting>
  <conditionalFormatting sqref="R161">
    <cfRule type="cellIs" dxfId="11161" priority="37" operator="lessThan">
      <formula>0.8</formula>
    </cfRule>
    <cfRule type="cellIs" dxfId="11160" priority="38" operator="greaterThan">
      <formula>1</formula>
    </cfRule>
  </conditionalFormatting>
  <conditionalFormatting sqref="R161">
    <cfRule type="cellIs" dxfId="11159" priority="35" operator="greaterThan">
      <formula>1</formula>
    </cfRule>
    <cfRule type="cellIs" dxfId="11158" priority="36" operator="lessThan">
      <formula>0.8</formula>
    </cfRule>
  </conditionalFormatting>
  <conditionalFormatting sqref="P161">
    <cfRule type="cellIs" dxfId="11157" priority="34" operator="greaterThan">
      <formula>0</formula>
    </cfRule>
  </conditionalFormatting>
  <conditionalFormatting sqref="Q162:Q166">
    <cfRule type="cellIs" dxfId="11156" priority="33" operator="lessThan">
      <formula>0</formula>
    </cfRule>
  </conditionalFormatting>
  <conditionalFormatting sqref="R162:R166">
    <cfRule type="cellIs" dxfId="11155" priority="31" operator="lessThan">
      <formula>0.8</formula>
    </cfRule>
    <cfRule type="cellIs" dxfId="11154" priority="32" operator="greaterThan">
      <formula>1</formula>
    </cfRule>
  </conditionalFormatting>
  <conditionalFormatting sqref="R162:R166">
    <cfRule type="cellIs" dxfId="11153" priority="29" operator="greaterThan">
      <formula>1</formula>
    </cfRule>
    <cfRule type="cellIs" dxfId="11152" priority="30" operator="lessThan">
      <formula>0.8</formula>
    </cfRule>
  </conditionalFormatting>
  <conditionalFormatting sqref="P162:P166">
    <cfRule type="cellIs" dxfId="11151" priority="28" operator="greaterThan">
      <formula>0</formula>
    </cfRule>
  </conditionalFormatting>
  <conditionalFormatting sqref="Q161">
    <cfRule type="cellIs" dxfId="11150" priority="27" operator="lessThan">
      <formula>0</formula>
    </cfRule>
  </conditionalFormatting>
  <conditionalFormatting sqref="R161">
    <cfRule type="cellIs" dxfId="11149" priority="25" operator="lessThan">
      <formula>0.8</formula>
    </cfRule>
    <cfRule type="cellIs" dxfId="11148" priority="26" operator="greaterThan">
      <formula>1</formula>
    </cfRule>
  </conditionalFormatting>
  <conditionalFormatting sqref="R161">
    <cfRule type="cellIs" dxfId="11147" priority="23" operator="greaterThan">
      <formula>1</formula>
    </cfRule>
    <cfRule type="cellIs" dxfId="11146" priority="24" operator="lessThan">
      <formula>0.8</formula>
    </cfRule>
  </conditionalFormatting>
  <conditionalFormatting sqref="P161">
    <cfRule type="cellIs" dxfId="11145" priority="22" operator="greaterThan">
      <formula>0</formula>
    </cfRule>
  </conditionalFormatting>
  <conditionalFormatting sqref="Q162:Q166">
    <cfRule type="cellIs" dxfId="11144" priority="21" operator="lessThan">
      <formula>0</formula>
    </cfRule>
  </conditionalFormatting>
  <conditionalFormatting sqref="R162:R166">
    <cfRule type="cellIs" dxfId="11143" priority="19" operator="lessThan">
      <formula>0.8</formula>
    </cfRule>
    <cfRule type="cellIs" dxfId="11142" priority="20" operator="greaterThan">
      <formula>1</formula>
    </cfRule>
  </conditionalFormatting>
  <conditionalFormatting sqref="R162:R166">
    <cfRule type="cellIs" dxfId="11141" priority="17" operator="greaterThan">
      <formula>1</formula>
    </cfRule>
    <cfRule type="cellIs" dxfId="11140" priority="18" operator="lessThan">
      <formula>0.8</formula>
    </cfRule>
  </conditionalFormatting>
  <conditionalFormatting sqref="P162:P166">
    <cfRule type="cellIs" dxfId="11139" priority="16" operator="greaterThan">
      <formula>0</formula>
    </cfRule>
  </conditionalFormatting>
  <conditionalFormatting sqref="Q161">
    <cfRule type="cellIs" dxfId="11138" priority="15" operator="lessThan">
      <formula>0</formula>
    </cfRule>
  </conditionalFormatting>
  <conditionalFormatting sqref="R161">
    <cfRule type="cellIs" dxfId="11137" priority="13" operator="lessThan">
      <formula>0.8</formula>
    </cfRule>
    <cfRule type="cellIs" dxfId="11136" priority="14" operator="greaterThan">
      <formula>1</formula>
    </cfRule>
  </conditionalFormatting>
  <conditionalFormatting sqref="R161">
    <cfRule type="cellIs" dxfId="11135" priority="11" operator="greaterThan">
      <formula>1</formula>
    </cfRule>
    <cfRule type="cellIs" dxfId="11134" priority="12" operator="lessThan">
      <formula>0.8</formula>
    </cfRule>
  </conditionalFormatting>
  <conditionalFormatting sqref="P161">
    <cfRule type="cellIs" dxfId="11133" priority="10" operator="greaterThan">
      <formula>0</formula>
    </cfRule>
  </conditionalFormatting>
  <conditionalFormatting sqref="P167:P168">
    <cfRule type="cellIs" dxfId="11132" priority="4" operator="greaterThan">
      <formula>0</formula>
    </cfRule>
  </conditionalFormatting>
  <conditionalFormatting sqref="R167:R168">
    <cfRule type="cellIs" dxfId="11131" priority="7" operator="lessThan">
      <formula>0.8</formula>
    </cfRule>
    <cfRule type="cellIs" dxfId="11130" priority="8" operator="greaterThan">
      <formula>1</formula>
    </cfRule>
  </conditionalFormatting>
  <conditionalFormatting sqref="R167:R168">
    <cfRule type="cellIs" dxfId="11129" priority="5" operator="greaterThan">
      <formula>1</formula>
    </cfRule>
    <cfRule type="cellIs" dxfId="11128" priority="6" operator="lessThan">
      <formula>0.8</formula>
    </cfRule>
  </conditionalFormatting>
  <conditionalFormatting sqref="Q167:Q168">
    <cfRule type="cellIs" dxfId="11127" priority="9" operator="lessThan">
      <formula>0</formula>
    </cfRule>
  </conditionalFormatting>
  <conditionalFormatting sqref="AF30">
    <cfRule type="cellIs" dxfId="11126" priority="3" operator="lessThan">
      <formula>0</formula>
    </cfRule>
  </conditionalFormatting>
  <conditionalFormatting sqref="AG30">
    <cfRule type="cellIs" dxfId="11125" priority="1" operator="greaterThan">
      <formula>1</formula>
    </cfRule>
    <cfRule type="cellIs" dxfId="11124" priority="2" operator="lessThan">
      <formula>0.8</formula>
    </cfRule>
  </conditionalFormatting>
  <dataValidations count="4">
    <dataValidation type="list" allowBlank="1" showInputMessage="1" showErrorMessage="1" sqref="AB11:AC11">
      <formula1>$AJ$174:$AJ$185</formula1>
    </dataValidation>
    <dataValidation type="list" allowBlank="1" showInputMessage="1" showErrorMessage="1" sqref="AB150:AC150">
      <formula1>$AJ$165:$AJ$177</formula1>
    </dataValidation>
    <dataValidation type="list" allowBlank="1" showInputMessage="1" showErrorMessage="1" sqref="AB121:AC149 AC12 AB5:AC10 AB160:AC173 AC17:AC112 AB12:AB112">
      <formula1>$AJ$174:$AJ$186</formula1>
    </dataValidation>
    <dataValidation type="list" allowBlank="1" showInputMessage="1" showErrorMessage="1" sqref="AB151:AC159 AB113:AC120">
      <formula1>$AJ$177:$AJ$189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P33" sqref="P33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31" customWidth="1"/>
    <col min="4" max="17" width="14.1796875" style="2" customWidth="1"/>
    <col min="18" max="21" width="9.6328125" style="2" customWidth="1"/>
    <col min="22" max="22" width="11.1796875" style="2" customWidth="1"/>
    <col min="23" max="23" width="11.453125" style="2" customWidth="1"/>
    <col min="24" max="16384" width="8.08984375" style="2"/>
  </cols>
  <sheetData>
    <row r="1" spans="2:17" ht="27.75" customHeight="1">
      <c r="B1" s="556" t="s">
        <v>68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  <c r="N1" s="1"/>
      <c r="O1" s="1"/>
    </row>
    <row r="2" spans="2:17" ht="27.75" customHeight="1"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8"/>
      <c r="N2" s="1"/>
      <c r="O2" s="1"/>
    </row>
    <row r="3" spans="2:17" ht="46.5" customHeight="1">
      <c r="B3" s="548" t="s">
        <v>0</v>
      </c>
      <c r="C3" s="549"/>
      <c r="D3" s="559" t="s">
        <v>79</v>
      </c>
      <c r="E3" s="560"/>
      <c r="F3" s="548" t="s">
        <v>1</v>
      </c>
      <c r="G3" s="549"/>
      <c r="H3" s="561">
        <v>197656.8</v>
      </c>
      <c r="I3" s="562"/>
      <c r="J3" s="548" t="s">
        <v>2</v>
      </c>
      <c r="K3" s="549"/>
      <c r="L3" s="563">
        <v>6490035.7334518051</v>
      </c>
      <c r="M3" s="564"/>
      <c r="N3" s="3"/>
    </row>
    <row r="4" spans="2:17" ht="24" customHeight="1">
      <c r="B4" s="548" t="s">
        <v>69</v>
      </c>
      <c r="C4" s="549"/>
      <c r="D4" s="540" t="s">
        <v>70</v>
      </c>
      <c r="E4" s="541"/>
      <c r="F4" s="554" t="s">
        <v>71</v>
      </c>
      <c r="G4" s="555"/>
      <c r="H4" s="554" t="s">
        <v>72</v>
      </c>
      <c r="I4" s="555"/>
      <c r="J4" s="554" t="s">
        <v>73</v>
      </c>
      <c r="K4" s="555"/>
      <c r="L4" s="554" t="s">
        <v>74</v>
      </c>
      <c r="M4" s="555"/>
      <c r="N4" s="487" t="s">
        <v>54</v>
      </c>
      <c r="O4" s="488"/>
      <c r="P4" s="488" t="s">
        <v>55</v>
      </c>
      <c r="Q4" s="488"/>
    </row>
    <row r="5" spans="2:17" ht="24" customHeight="1">
      <c r="B5" s="534" t="s">
        <v>75</v>
      </c>
      <c r="C5" s="535"/>
      <c r="D5" s="540" t="s">
        <v>76</v>
      </c>
      <c r="E5" s="541"/>
      <c r="F5" s="540" t="s">
        <v>3</v>
      </c>
      <c r="G5" s="541"/>
      <c r="H5" s="542" t="s">
        <v>4</v>
      </c>
      <c r="I5" s="543"/>
      <c r="J5" s="544" t="s">
        <v>5</v>
      </c>
      <c r="K5" s="545"/>
      <c r="L5" s="546" t="s">
        <v>6</v>
      </c>
      <c r="M5" s="547"/>
      <c r="N5" s="4" t="s">
        <v>56</v>
      </c>
      <c r="O5" s="5" t="s">
        <v>57</v>
      </c>
      <c r="P5" s="4" t="s">
        <v>56</v>
      </c>
      <c r="Q5" s="5" t="s">
        <v>58</v>
      </c>
    </row>
    <row r="6" spans="2:17" ht="39.65" customHeight="1">
      <c r="B6" s="536"/>
      <c r="C6" s="537"/>
      <c r="D6" s="548" t="s">
        <v>7</v>
      </c>
      <c r="E6" s="549"/>
      <c r="F6" s="550">
        <f>AVERAGE(D13:O13,P13:Q13,D30:F30,H30,J30:L30)</f>
        <v>366.79933041358709</v>
      </c>
      <c r="G6" s="551"/>
      <c r="H6" s="552">
        <f>AVERAGE(D13:P13,Q13)</f>
        <v>138.05613847752349</v>
      </c>
      <c r="I6" s="553"/>
      <c r="J6" s="552">
        <f>AVERAGE(D30:F30,H30)</f>
        <v>786.25</v>
      </c>
      <c r="K6" s="553"/>
      <c r="L6" s="526">
        <f>AVERAGE(J30:L30)</f>
        <v>875</v>
      </c>
      <c r="M6" s="527"/>
      <c r="N6" s="489">
        <v>0</v>
      </c>
      <c r="O6" s="490">
        <v>0</v>
      </c>
      <c r="P6" s="491">
        <v>0</v>
      </c>
      <c r="Q6" s="490">
        <v>3</v>
      </c>
    </row>
    <row r="7" spans="2:17" s="6" customFormat="1" ht="39.65" customHeight="1">
      <c r="B7" s="536"/>
      <c r="C7" s="537"/>
      <c r="D7" s="518" t="s">
        <v>8</v>
      </c>
      <c r="E7" s="519"/>
      <c r="F7" s="528">
        <f>AVERAGE(D14:O14,P14:Q14,D31:F31,J31:L31,H31)</f>
        <v>329.77604844947047</v>
      </c>
      <c r="G7" s="529"/>
      <c r="H7" s="530">
        <f>AVERAGE(D14:P14,Q14)</f>
        <v>121.12367053463684</v>
      </c>
      <c r="I7" s="531"/>
      <c r="J7" s="530">
        <f>AVERAGE(D31:F31,H31)</f>
        <v>719.78518454360687</v>
      </c>
      <c r="K7" s="531"/>
      <c r="L7" s="532">
        <f>AVERAGE(J31:L31)</f>
        <v>783.47496392651192</v>
      </c>
      <c r="M7" s="533"/>
      <c r="N7" s="489"/>
      <c r="O7" s="490"/>
      <c r="P7" s="491"/>
      <c r="Q7" s="490"/>
    </row>
    <row r="8" spans="2:17" s="6" customFormat="1" ht="39.65" customHeight="1">
      <c r="B8" s="538"/>
      <c r="C8" s="539"/>
      <c r="D8" s="518" t="s">
        <v>9</v>
      </c>
      <c r="E8" s="519"/>
      <c r="F8" s="520">
        <f>AVERAGE(D15:O15,P15:Q15,D32:F32,H32,J32:K32,L32)</f>
        <v>0.88103132546530238</v>
      </c>
      <c r="G8" s="521"/>
      <c r="H8" s="520">
        <f>AVERAGE(D15:O15,P15:Q15)</f>
        <v>0.86849933820443759</v>
      </c>
      <c r="I8" s="521"/>
      <c r="J8" s="520">
        <f>AVERAGE(D32:F32,H32)</f>
        <v>0.91335257562317973</v>
      </c>
      <c r="K8" s="521"/>
      <c r="L8" s="520">
        <f>AVERAGE(J32:L32)</f>
        <v>0.89641893247216764</v>
      </c>
      <c r="M8" s="521"/>
      <c r="N8" s="489"/>
      <c r="O8" s="490"/>
      <c r="P8" s="491"/>
      <c r="Q8" s="490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2" t="s">
        <v>10</v>
      </c>
      <c r="C10" s="522"/>
      <c r="D10" s="523" t="s">
        <v>11</v>
      </c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5"/>
    </row>
    <row r="11" spans="2:17" ht="17.25" customHeight="1">
      <c r="B11" s="510" t="s">
        <v>12</v>
      </c>
      <c r="C11" s="51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2"/>
      <c r="C12" s="513"/>
      <c r="D12" s="12" t="s">
        <v>13</v>
      </c>
      <c r="E12" s="12" t="s">
        <v>14</v>
      </c>
      <c r="F12" s="12" t="s">
        <v>15</v>
      </c>
      <c r="G12" s="12" t="s">
        <v>16</v>
      </c>
      <c r="H12" s="12" t="s">
        <v>17</v>
      </c>
      <c r="I12" s="12" t="s">
        <v>18</v>
      </c>
      <c r="J12" s="12" t="s">
        <v>19</v>
      </c>
      <c r="K12" s="12" t="s">
        <v>20</v>
      </c>
      <c r="L12" s="12" t="s">
        <v>21</v>
      </c>
      <c r="M12" s="12" t="s">
        <v>22</v>
      </c>
      <c r="N12" s="12" t="s">
        <v>23</v>
      </c>
      <c r="O12" s="12" t="s">
        <v>24</v>
      </c>
      <c r="P12" s="12" t="s">
        <v>25</v>
      </c>
      <c r="Q12" s="13" t="s">
        <v>26</v>
      </c>
    </row>
    <row r="13" spans="2:17" ht="39.9" customHeight="1">
      <c r="B13" s="492" t="s">
        <v>27</v>
      </c>
      <c r="C13" s="14" t="s">
        <v>28</v>
      </c>
      <c r="D13" s="15">
        <v>137.69244539921229</v>
      </c>
      <c r="E13" s="15">
        <v>93.532679738562095</v>
      </c>
      <c r="F13" s="15">
        <v>117.26815039596995</v>
      </c>
      <c r="G13" s="15">
        <v>369.04761904761898</v>
      </c>
      <c r="H13" s="15">
        <v>250</v>
      </c>
      <c r="I13" s="15">
        <v>83.901758071649709</v>
      </c>
      <c r="J13" s="15">
        <v>74.285714285714278</v>
      </c>
      <c r="K13" s="15">
        <v>84.76272789817682</v>
      </c>
      <c r="L13" s="15">
        <v>81.321661998132598</v>
      </c>
      <c r="M13" s="15">
        <v>83.377389552312152</v>
      </c>
      <c r="N13" s="15">
        <v>89.509446486928098</v>
      </c>
      <c r="O13" s="15">
        <v>83.137254901960773</v>
      </c>
      <c r="P13" s="15">
        <v>234.9490909090909</v>
      </c>
      <c r="Q13" s="16">
        <v>150</v>
      </c>
    </row>
    <row r="14" spans="2:17" ht="39.9" customHeight="1">
      <c r="B14" s="493"/>
      <c r="C14" s="14" t="s">
        <v>29</v>
      </c>
      <c r="D14" s="15">
        <v>114.38235912203243</v>
      </c>
      <c r="E14" s="15">
        <v>81.161292964648538</v>
      </c>
      <c r="F14" s="15">
        <v>104.41787471900649</v>
      </c>
      <c r="G14" s="15">
        <v>311.79547557693712</v>
      </c>
      <c r="H14" s="15">
        <v>234.29676014186839</v>
      </c>
      <c r="I14" s="15">
        <v>71.368300088585045</v>
      </c>
      <c r="J14" s="15">
        <v>58.812026747648282</v>
      </c>
      <c r="K14" s="15">
        <v>71.410029223036474</v>
      </c>
      <c r="L14" s="15">
        <v>68.335260145107384</v>
      </c>
      <c r="M14" s="15">
        <v>69.462109578840071</v>
      </c>
      <c r="N14" s="15">
        <v>74.491147143490835</v>
      </c>
      <c r="O14" s="15">
        <v>78.776146443425816</v>
      </c>
      <c r="P14" s="15">
        <v>219.89155929740045</v>
      </c>
      <c r="Q14" s="16">
        <v>137.13104629288847</v>
      </c>
    </row>
    <row r="15" spans="2:17" ht="39.9" customHeight="1">
      <c r="B15" s="494"/>
      <c r="C15" s="10" t="s">
        <v>30</v>
      </c>
      <c r="D15" s="17">
        <f t="shared" ref="D15:P15" si="0">D14/D13</f>
        <v>0.83070903992156697</v>
      </c>
      <c r="E15" s="17">
        <f t="shared" si="0"/>
        <v>0.86773193274806792</v>
      </c>
      <c r="F15" s="17">
        <f t="shared" si="0"/>
        <v>0.89041972919694756</v>
      </c>
      <c r="G15" s="17">
        <f t="shared" si="0"/>
        <v>0.84486515962782982</v>
      </c>
      <c r="H15" s="17">
        <f t="shared" si="0"/>
        <v>0.93718704056747359</v>
      </c>
      <c r="I15" s="17">
        <f t="shared" si="0"/>
        <v>0.85061745699820202</v>
      </c>
      <c r="J15" s="17">
        <f t="shared" si="0"/>
        <v>0.79170036006449618</v>
      </c>
      <c r="K15" s="17">
        <f t="shared" si="0"/>
        <v>0.84246969149953999</v>
      </c>
      <c r="L15" s="17">
        <f t="shared" si="0"/>
        <v>0.84030820898220915</v>
      </c>
      <c r="M15" s="17">
        <f t="shared" si="0"/>
        <v>0.83310487353719032</v>
      </c>
      <c r="N15" s="17">
        <f t="shared" si="0"/>
        <v>0.83221548190859918</v>
      </c>
      <c r="O15" s="17">
        <f t="shared" si="0"/>
        <v>0.94754327089969748</v>
      </c>
      <c r="P15" s="17">
        <f t="shared" si="0"/>
        <v>0.93591151362438485</v>
      </c>
      <c r="Q15" s="18">
        <f>Q14/Q13</f>
        <v>0.9142069752859231</v>
      </c>
    </row>
    <row r="16" spans="2:17" ht="22.75" customHeight="1">
      <c r="B16" s="495" t="s">
        <v>31</v>
      </c>
      <c r="C16" s="10" t="s">
        <v>32</v>
      </c>
      <c r="D16" s="36">
        <v>0.29166666666666669</v>
      </c>
      <c r="E16" s="36">
        <v>0.16666666666666666</v>
      </c>
      <c r="F16" s="36">
        <v>0.16666666666666666</v>
      </c>
      <c r="G16" s="36">
        <v>0.16666666666666666</v>
      </c>
      <c r="H16" s="36">
        <v>0.16666666666666666</v>
      </c>
      <c r="I16" s="36">
        <v>0.29166666666666669</v>
      </c>
      <c r="J16" s="36">
        <v>0.375</v>
      </c>
      <c r="K16" s="36">
        <v>0.375</v>
      </c>
      <c r="L16" s="36">
        <v>0.5</v>
      </c>
      <c r="M16" s="36">
        <v>0.5</v>
      </c>
      <c r="N16" s="36">
        <v>0.5</v>
      </c>
      <c r="O16" s="36">
        <v>0.70833333333333337</v>
      </c>
      <c r="P16" s="36">
        <v>0.16666666666666666</v>
      </c>
      <c r="Q16" s="37">
        <v>0.17361111111111113</v>
      </c>
    </row>
    <row r="17" spans="2:17" ht="22.75" customHeight="1">
      <c r="B17" s="496"/>
      <c r="C17" s="10" t="s">
        <v>33</v>
      </c>
      <c r="D17" s="36">
        <v>0.60138888888888886</v>
      </c>
      <c r="E17" s="36">
        <v>0.51180555555555551</v>
      </c>
      <c r="F17" s="36">
        <v>0.52916666666666656</v>
      </c>
      <c r="G17" s="36">
        <v>0.61666666666666647</v>
      </c>
      <c r="H17" s="36">
        <v>0.64722222222222214</v>
      </c>
      <c r="I17" s="36">
        <v>0.76388888888888895</v>
      </c>
      <c r="J17" s="36">
        <v>0.81111111111111123</v>
      </c>
      <c r="K17" s="36">
        <v>0.79861111111111116</v>
      </c>
      <c r="L17" s="36">
        <v>0.81736111111111109</v>
      </c>
      <c r="M17" s="36">
        <v>0.87847222222222221</v>
      </c>
      <c r="N17" s="36">
        <v>0.94166666666666665</v>
      </c>
      <c r="O17" s="36">
        <v>0.87638888888888899</v>
      </c>
      <c r="P17" s="36">
        <v>0.58333333333333326</v>
      </c>
      <c r="Q17" s="37">
        <v>0.48958333333333331</v>
      </c>
    </row>
    <row r="18" spans="2:17" ht="22.75" customHeight="1">
      <c r="B18" s="514" t="s">
        <v>66</v>
      </c>
      <c r="C18" s="515"/>
      <c r="D18" s="58" t="s">
        <v>59</v>
      </c>
      <c r="E18" s="58" t="s">
        <v>59</v>
      </c>
      <c r="F18" s="58" t="s">
        <v>59</v>
      </c>
      <c r="G18" s="58" t="s">
        <v>59</v>
      </c>
      <c r="H18" s="58" t="s">
        <v>59</v>
      </c>
      <c r="I18" s="58" t="s">
        <v>59</v>
      </c>
      <c r="J18" s="58" t="s">
        <v>59</v>
      </c>
      <c r="K18" s="58" t="s">
        <v>59</v>
      </c>
      <c r="L18" s="58" t="s">
        <v>59</v>
      </c>
      <c r="M18" s="58" t="s">
        <v>59</v>
      </c>
      <c r="N18" s="58" t="s">
        <v>59</v>
      </c>
      <c r="O18" s="58" t="s">
        <v>59</v>
      </c>
      <c r="P18" s="58" t="s">
        <v>59</v>
      </c>
      <c r="Q18" s="59"/>
    </row>
    <row r="19" spans="2:17" ht="22.75" customHeight="1">
      <c r="B19" s="516"/>
      <c r="C19" s="517"/>
      <c r="D19" s="58" t="s">
        <v>59</v>
      </c>
      <c r="E19" s="58" t="s">
        <v>59</v>
      </c>
      <c r="F19" s="58" t="s">
        <v>59</v>
      </c>
      <c r="G19" s="58" t="s">
        <v>59</v>
      </c>
      <c r="H19" s="58" t="s">
        <v>59</v>
      </c>
      <c r="I19" s="58" t="s">
        <v>59</v>
      </c>
      <c r="J19" s="58" t="s">
        <v>59</v>
      </c>
      <c r="K19" s="58" t="s">
        <v>59</v>
      </c>
      <c r="L19" s="58" t="s">
        <v>59</v>
      </c>
      <c r="M19" s="58" t="s">
        <v>59</v>
      </c>
      <c r="N19" s="58" t="s">
        <v>59</v>
      </c>
      <c r="O19" s="58" t="s">
        <v>59</v>
      </c>
      <c r="P19" s="58" t="s">
        <v>59</v>
      </c>
      <c r="Q19" s="59"/>
    </row>
    <row r="20" spans="2:17" ht="22.75" customHeight="1">
      <c r="B20" s="514" t="s">
        <v>67</v>
      </c>
      <c r="C20" s="515"/>
      <c r="D20" s="58" t="s">
        <v>59</v>
      </c>
      <c r="E20" s="58" t="s">
        <v>59</v>
      </c>
      <c r="F20" s="58" t="s">
        <v>59</v>
      </c>
      <c r="G20" s="58" t="s">
        <v>59</v>
      </c>
      <c r="H20" s="58" t="s">
        <v>59</v>
      </c>
      <c r="I20" s="58" t="s">
        <v>59</v>
      </c>
      <c r="J20" s="58" t="s">
        <v>59</v>
      </c>
      <c r="K20" s="58" t="s">
        <v>59</v>
      </c>
      <c r="L20" s="58" t="s">
        <v>59</v>
      </c>
      <c r="M20" s="58" t="s">
        <v>59</v>
      </c>
      <c r="N20" s="58" t="s">
        <v>59</v>
      </c>
      <c r="O20" s="58" t="s">
        <v>59</v>
      </c>
      <c r="P20" s="58" t="s">
        <v>59</v>
      </c>
      <c r="Q20" s="59"/>
    </row>
    <row r="21" spans="2:17" ht="22.75" customHeight="1">
      <c r="B21" s="516"/>
      <c r="C21" s="517"/>
      <c r="D21" s="58" t="s">
        <v>59</v>
      </c>
      <c r="E21" s="58" t="s">
        <v>59</v>
      </c>
      <c r="F21" s="58" t="s">
        <v>59</v>
      </c>
      <c r="G21" s="58">
        <v>2</v>
      </c>
      <c r="H21" s="58" t="s">
        <v>59</v>
      </c>
      <c r="I21" s="58" t="s">
        <v>59</v>
      </c>
      <c r="J21" s="58" t="s">
        <v>59</v>
      </c>
      <c r="K21" s="58" t="s">
        <v>59</v>
      </c>
      <c r="L21" s="58">
        <v>1</v>
      </c>
      <c r="M21" s="58" t="s">
        <v>59</v>
      </c>
      <c r="N21" s="58" t="s">
        <v>59</v>
      </c>
      <c r="O21" s="58" t="s">
        <v>59</v>
      </c>
      <c r="P21" s="58" t="s">
        <v>59</v>
      </c>
      <c r="Q21" s="59"/>
    </row>
    <row r="22" spans="2:17" ht="22.75" customHeight="1">
      <c r="B22" s="497" t="s">
        <v>34</v>
      </c>
      <c r="C22" s="498"/>
      <c r="D22" s="60">
        <v>19</v>
      </c>
      <c r="E22" s="60">
        <v>18</v>
      </c>
      <c r="F22" s="60">
        <v>15.714285714285714</v>
      </c>
      <c r="G22" s="60">
        <v>5.7142857142857144</v>
      </c>
      <c r="H22" s="60">
        <v>6</v>
      </c>
      <c r="I22" s="60">
        <v>17.375</v>
      </c>
      <c r="J22" s="60">
        <v>18.777777777777779</v>
      </c>
      <c r="K22" s="60">
        <v>17.333333333333332</v>
      </c>
      <c r="L22" s="60">
        <v>18</v>
      </c>
      <c r="M22" s="60">
        <v>17.857142857142858</v>
      </c>
      <c r="N22" s="60">
        <v>16.875</v>
      </c>
      <c r="O22" s="60">
        <v>17</v>
      </c>
      <c r="P22" s="60">
        <v>10.199999999999999</v>
      </c>
      <c r="Q22" s="61">
        <v>10.888888888888889</v>
      </c>
    </row>
    <row r="23" spans="2:17" ht="22.75" customHeight="1">
      <c r="B23" s="497" t="s">
        <v>35</v>
      </c>
      <c r="C23" s="498"/>
      <c r="D23" s="32" t="s">
        <v>36</v>
      </c>
      <c r="E23" s="32" t="s">
        <v>36</v>
      </c>
      <c r="F23" s="32" t="s">
        <v>36</v>
      </c>
      <c r="G23" s="32" t="s">
        <v>37</v>
      </c>
      <c r="H23" s="32" t="s">
        <v>38</v>
      </c>
      <c r="I23" s="32" t="s">
        <v>39</v>
      </c>
      <c r="J23" s="32" t="s">
        <v>39</v>
      </c>
      <c r="K23" s="32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40</v>
      </c>
      <c r="Q23" s="40" t="s">
        <v>40</v>
      </c>
    </row>
    <row r="24" spans="2:17" ht="22.75" customHeight="1">
      <c r="B24" s="497" t="s">
        <v>41</v>
      </c>
      <c r="C24" s="49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0"/>
    </row>
    <row r="25" spans="2:17" ht="22.75" customHeight="1" thickBot="1">
      <c r="B25" s="499" t="s">
        <v>42</v>
      </c>
      <c r="C25" s="500"/>
      <c r="D25" s="43"/>
      <c r="E25" s="44" t="s">
        <v>43</v>
      </c>
      <c r="F25" s="44"/>
      <c r="G25" s="44" t="s">
        <v>44</v>
      </c>
      <c r="H25" s="44"/>
      <c r="I25" s="44"/>
      <c r="J25" s="44"/>
      <c r="K25" s="44" t="s">
        <v>45</v>
      </c>
      <c r="L25" s="44"/>
      <c r="M25" s="44"/>
      <c r="N25" s="44"/>
      <c r="O25" s="44"/>
      <c r="P25" s="44" t="s">
        <v>46</v>
      </c>
      <c r="Q25" s="45"/>
    </row>
    <row r="26" spans="2:17" ht="16" thickBot="1">
      <c r="B26" s="501"/>
      <c r="C26" s="501"/>
    </row>
    <row r="27" spans="2:17" ht="30" customHeight="1" thickBot="1">
      <c r="B27" s="502" t="s">
        <v>10</v>
      </c>
      <c r="C27" s="503"/>
      <c r="D27" s="504" t="s">
        <v>47</v>
      </c>
      <c r="E27" s="505"/>
      <c r="F27" s="505"/>
      <c r="G27" s="505"/>
      <c r="H27" s="506"/>
      <c r="I27" s="507" t="s">
        <v>48</v>
      </c>
      <c r="J27" s="508"/>
      <c r="K27" s="508"/>
      <c r="L27" s="508"/>
      <c r="M27" s="509"/>
    </row>
    <row r="28" spans="2:17" ht="17.25" customHeight="1">
      <c r="B28" s="510" t="s">
        <v>12</v>
      </c>
      <c r="C28" s="511"/>
      <c r="D28" s="19">
        <v>1</v>
      </c>
      <c r="E28" s="19">
        <v>2</v>
      </c>
      <c r="F28" s="19">
        <v>3</v>
      </c>
      <c r="G28" s="19">
        <v>4</v>
      </c>
      <c r="H28" s="20">
        <v>5</v>
      </c>
      <c r="I28" s="21">
        <v>1</v>
      </c>
      <c r="J28" s="19">
        <v>2</v>
      </c>
      <c r="K28" s="19">
        <v>3</v>
      </c>
      <c r="L28" s="19">
        <v>4</v>
      </c>
      <c r="M28" s="22">
        <v>5</v>
      </c>
    </row>
    <row r="29" spans="2:17" ht="37.5" customHeight="1">
      <c r="B29" s="512"/>
      <c r="C29" s="513"/>
      <c r="D29" s="14" t="s">
        <v>49</v>
      </c>
      <c r="E29" s="14" t="s">
        <v>50</v>
      </c>
      <c r="F29" s="14" t="s">
        <v>51</v>
      </c>
      <c r="G29" s="14" t="s">
        <v>60</v>
      </c>
      <c r="H29" s="23" t="s">
        <v>61</v>
      </c>
      <c r="I29" s="24" t="s">
        <v>62</v>
      </c>
      <c r="J29" s="14" t="s">
        <v>50</v>
      </c>
      <c r="K29" s="14" t="s">
        <v>51</v>
      </c>
      <c r="L29" s="14" t="s">
        <v>60</v>
      </c>
      <c r="M29" s="25" t="s">
        <v>61</v>
      </c>
    </row>
    <row r="30" spans="2:17" ht="39.9" customHeight="1">
      <c r="B30" s="492" t="s">
        <v>27</v>
      </c>
      <c r="C30" s="23" t="s">
        <v>28</v>
      </c>
      <c r="D30" s="34">
        <v>320</v>
      </c>
      <c r="E30" s="34">
        <v>1100</v>
      </c>
      <c r="F30" s="34">
        <v>825</v>
      </c>
      <c r="G30" s="34">
        <v>900</v>
      </c>
      <c r="H30" s="47">
        <v>900</v>
      </c>
      <c r="I30" s="33">
        <v>680</v>
      </c>
      <c r="J30" s="34">
        <v>825</v>
      </c>
      <c r="K30" s="34">
        <v>900</v>
      </c>
      <c r="L30" s="34">
        <v>900</v>
      </c>
      <c r="M30" s="35">
        <v>900</v>
      </c>
    </row>
    <row r="31" spans="2:17" ht="39.9" customHeight="1">
      <c r="B31" s="493"/>
      <c r="C31" s="23" t="s">
        <v>29</v>
      </c>
      <c r="D31" s="15">
        <v>286.40000000000038</v>
      </c>
      <c r="E31" s="15">
        <v>964.12515406162402</v>
      </c>
      <c r="F31" s="15">
        <v>716.36418288245511</v>
      </c>
      <c r="G31" s="15">
        <v>0</v>
      </c>
      <c r="H31" s="48">
        <v>912.25140123034805</v>
      </c>
      <c r="I31" s="49">
        <v>0</v>
      </c>
      <c r="J31" s="15">
        <v>768.96848484848488</v>
      </c>
      <c r="K31" s="15">
        <v>776.70454545454561</v>
      </c>
      <c r="L31" s="15">
        <v>804.75186147650516</v>
      </c>
      <c r="M31" s="16">
        <v>0</v>
      </c>
    </row>
    <row r="32" spans="2:17" ht="39.9" customHeight="1">
      <c r="B32" s="494"/>
      <c r="C32" s="26" t="s">
        <v>30</v>
      </c>
      <c r="D32" s="17">
        <f t="shared" ref="D32:M32" si="1">D31/D30</f>
        <v>0.89500000000000113</v>
      </c>
      <c r="E32" s="17">
        <f t="shared" si="1"/>
        <v>0.87647741278329461</v>
      </c>
      <c r="F32" s="17">
        <f t="shared" si="1"/>
        <v>0.86832022167570322</v>
      </c>
      <c r="G32" s="17">
        <f t="shared" si="1"/>
        <v>0</v>
      </c>
      <c r="H32" s="50">
        <f t="shared" si="1"/>
        <v>1.0136126680337201</v>
      </c>
      <c r="I32" s="51">
        <f t="shared" si="1"/>
        <v>0</v>
      </c>
      <c r="J32" s="17">
        <f t="shared" si="1"/>
        <v>0.93208301193755738</v>
      </c>
      <c r="K32" s="17">
        <f t="shared" si="1"/>
        <v>0.86300505050505072</v>
      </c>
      <c r="L32" s="17">
        <f t="shared" si="1"/>
        <v>0.8941687349738946</v>
      </c>
      <c r="M32" s="18">
        <f t="shared" si="1"/>
        <v>0</v>
      </c>
    </row>
    <row r="33" spans="2:13" ht="25.75" customHeight="1">
      <c r="B33" s="495" t="s">
        <v>31</v>
      </c>
      <c r="C33" s="26" t="s">
        <v>32</v>
      </c>
      <c r="D33" s="36">
        <v>0.18055555555555555</v>
      </c>
      <c r="E33" s="36">
        <v>0.17361111111111113</v>
      </c>
      <c r="F33" s="36">
        <v>0.18055555555555555</v>
      </c>
      <c r="G33" s="36">
        <v>0</v>
      </c>
      <c r="H33" s="42">
        <v>0.18055555555555555</v>
      </c>
      <c r="I33" s="38">
        <v>0</v>
      </c>
      <c r="J33" s="36">
        <v>0.72222222222222221</v>
      </c>
      <c r="K33" s="36">
        <v>0.72222222222222221</v>
      </c>
      <c r="L33" s="36">
        <v>0.72222222222222221</v>
      </c>
      <c r="M33" s="37">
        <v>0</v>
      </c>
    </row>
    <row r="34" spans="2:13" ht="25.75" customHeight="1">
      <c r="B34" s="496"/>
      <c r="C34" s="26" t="s">
        <v>33</v>
      </c>
      <c r="D34" s="36">
        <v>0.21875</v>
      </c>
      <c r="E34" s="36">
        <v>0.37708333333333338</v>
      </c>
      <c r="F34" s="36">
        <v>0.35347222222222219</v>
      </c>
      <c r="G34" s="36">
        <v>0</v>
      </c>
      <c r="H34" s="42">
        <v>0.39930555555555558</v>
      </c>
      <c r="I34" s="38">
        <v>0.39930555555555558</v>
      </c>
      <c r="J34" s="36">
        <v>0.98611111111111116</v>
      </c>
      <c r="K34" s="36">
        <v>0.90625</v>
      </c>
      <c r="L34" s="36">
        <v>46026.055555555555</v>
      </c>
      <c r="M34" s="37">
        <v>0</v>
      </c>
    </row>
    <row r="35" spans="2:13" ht="25.75" customHeight="1">
      <c r="B35" s="497" t="s">
        <v>34</v>
      </c>
      <c r="C35" s="498"/>
      <c r="D35" s="52">
        <v>5.5</v>
      </c>
      <c r="E35" s="52">
        <v>3</v>
      </c>
      <c r="F35" s="52">
        <v>4</v>
      </c>
      <c r="G35" s="52">
        <v>0</v>
      </c>
      <c r="H35" s="53">
        <v>3.6666666666666665</v>
      </c>
      <c r="I35" s="54">
        <v>0</v>
      </c>
      <c r="J35" s="52">
        <v>3.6</v>
      </c>
      <c r="K35" s="52">
        <v>3.25</v>
      </c>
      <c r="L35" s="52">
        <v>3.6</v>
      </c>
      <c r="M35" s="55">
        <v>0</v>
      </c>
    </row>
    <row r="36" spans="2:13" ht="25.75" customHeight="1">
      <c r="B36" s="497" t="s">
        <v>35</v>
      </c>
      <c r="C36" s="498"/>
      <c r="D36" s="27" t="s">
        <v>49</v>
      </c>
      <c r="E36" s="27" t="s">
        <v>53</v>
      </c>
      <c r="F36" s="27" t="s">
        <v>53</v>
      </c>
      <c r="G36" s="27" t="s">
        <v>52</v>
      </c>
      <c r="H36" s="28" t="s">
        <v>52</v>
      </c>
      <c r="I36" s="29" t="s">
        <v>63</v>
      </c>
      <c r="J36" s="27" t="s">
        <v>53</v>
      </c>
      <c r="K36" s="27" t="s">
        <v>53</v>
      </c>
      <c r="L36" s="27" t="s">
        <v>52</v>
      </c>
      <c r="M36" s="30" t="s">
        <v>52</v>
      </c>
    </row>
    <row r="37" spans="2:13" ht="25.75" customHeight="1">
      <c r="B37" s="497" t="s">
        <v>41</v>
      </c>
      <c r="C37" s="498"/>
      <c r="D37" s="39"/>
      <c r="E37" s="39"/>
      <c r="F37" s="39"/>
      <c r="G37" s="39"/>
      <c r="H37" s="56"/>
      <c r="I37" s="41"/>
      <c r="J37" s="39"/>
      <c r="K37" s="39"/>
      <c r="L37" s="39"/>
      <c r="M37" s="40"/>
    </row>
    <row r="38" spans="2:13" ht="25.75" customHeight="1" thickBot="1">
      <c r="B38" s="499" t="s">
        <v>42</v>
      </c>
      <c r="C38" s="500"/>
      <c r="D38" s="43"/>
      <c r="E38" s="43"/>
      <c r="F38" s="44"/>
      <c r="G38" s="43"/>
      <c r="H38" s="57"/>
      <c r="I38" s="46"/>
      <c r="J38" s="43"/>
      <c r="K38" s="43"/>
      <c r="L38" s="43"/>
      <c r="M38" s="4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1" type="noConversion"/>
  <conditionalFormatting sqref="D32 F32:J32 L32">
    <cfRule type="cellIs" dxfId="11123" priority="6" operator="lessThan">
      <formula>0.8</formula>
    </cfRule>
  </conditionalFormatting>
  <conditionalFormatting sqref="M32">
    <cfRule type="cellIs" dxfId="11122" priority="5" operator="lessThan">
      <formula>0.8</formula>
    </cfRule>
  </conditionalFormatting>
  <conditionalFormatting sqref="K32">
    <cfRule type="cellIs" dxfId="11121" priority="4" operator="lessThan">
      <formula>0.8</formula>
    </cfRule>
  </conditionalFormatting>
  <conditionalFormatting sqref="E32">
    <cfRule type="cellIs" dxfId="11120" priority="3" operator="lessThan">
      <formula>0.8</formula>
    </cfRule>
  </conditionalFormatting>
  <conditionalFormatting sqref="D15:P15">
    <cfRule type="cellIs" dxfId="11119" priority="2" operator="lessThan">
      <formula>0.8</formula>
    </cfRule>
  </conditionalFormatting>
  <conditionalFormatting sqref="Q15">
    <cfRule type="cellIs" dxfId="11118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85" zoomScaleNormal="85" workbookViewId="0">
      <selection activeCell="A5" sqref="A5:A16"/>
    </sheetView>
  </sheetViews>
  <sheetFormatPr defaultColWidth="7.90625" defaultRowHeight="15.5"/>
  <cols>
    <col min="1" max="1" width="13.6328125" style="362" customWidth="1"/>
    <col min="2" max="2" width="12.81640625" style="362" customWidth="1"/>
    <col min="3" max="3" width="12.81640625" style="362" hidden="1" customWidth="1"/>
    <col min="4" max="5" width="18.36328125" style="362" customWidth="1"/>
    <col min="6" max="6" width="9.81640625" style="473" customWidth="1"/>
    <col min="7" max="7" width="21.08984375" style="362" bestFit="1" customWidth="1"/>
    <col min="8" max="8" width="15.6328125" style="362" customWidth="1"/>
    <col min="9" max="9" width="12.1796875" style="362" bestFit="1" customWidth="1"/>
    <col min="10" max="15" width="9.81640625" style="362" customWidth="1"/>
    <col min="16" max="16" width="9.81640625" style="474" customWidth="1"/>
    <col min="17" max="18" width="9.81640625" style="362" customWidth="1"/>
    <col min="19" max="16384" width="7.90625" style="362"/>
  </cols>
  <sheetData>
    <row r="1" spans="1:18" ht="26.25" customHeight="1">
      <c r="A1" s="354" t="s">
        <v>287</v>
      </c>
      <c r="B1" s="355"/>
      <c r="C1" s="355"/>
      <c r="D1" s="356" t="s">
        <v>82</v>
      </c>
      <c r="E1" s="357">
        <f>SUM(G5:G124)</f>
        <v>67240</v>
      </c>
      <c r="F1" s="358" t="s">
        <v>2</v>
      </c>
      <c r="G1" s="359">
        <f>SUM(H5:H124)</f>
        <v>1273118.0499685677</v>
      </c>
      <c r="H1" s="360" t="s">
        <v>288</v>
      </c>
      <c r="I1" s="361">
        <f>+J16+J64+J24+J38+J51+J81+J100+J91+J57+J124+J111</f>
        <v>34.616666666666667</v>
      </c>
      <c r="J1" s="613" t="s">
        <v>289</v>
      </c>
      <c r="K1" s="614"/>
      <c r="L1" s="615"/>
      <c r="M1" s="613" t="s">
        <v>86</v>
      </c>
      <c r="N1" s="614"/>
      <c r="O1" s="614"/>
      <c r="P1" s="614"/>
      <c r="Q1" s="614"/>
      <c r="R1" s="615"/>
    </row>
    <row r="2" spans="1:18" ht="26.25" customHeight="1" thickBot="1">
      <c r="A2" s="619" t="s">
        <v>324</v>
      </c>
      <c r="B2" s="620"/>
      <c r="C2" s="363"/>
      <c r="D2" s="364" t="s">
        <v>87</v>
      </c>
      <c r="E2" s="365">
        <f>AVERAGE(L16,L24,L38,L51,L100,L111,L91)</f>
        <v>634.3674522505604</v>
      </c>
      <c r="F2" s="366" t="s">
        <v>88</v>
      </c>
      <c r="G2" s="367">
        <f>G1/E1</f>
        <v>18.933938875201779</v>
      </c>
      <c r="H2" s="368" t="s">
        <v>290</v>
      </c>
      <c r="I2" s="369">
        <f>COUNT(I5:I124)</f>
        <v>0</v>
      </c>
      <c r="J2" s="616"/>
      <c r="K2" s="617"/>
      <c r="L2" s="618"/>
      <c r="M2" s="616"/>
      <c r="N2" s="617"/>
      <c r="O2" s="617"/>
      <c r="P2" s="617"/>
      <c r="Q2" s="617"/>
      <c r="R2" s="618"/>
    </row>
    <row r="3" spans="1:18" ht="23.25" customHeight="1">
      <c r="A3" s="621" t="s">
        <v>90</v>
      </c>
      <c r="B3" s="623" t="s">
        <v>291</v>
      </c>
      <c r="C3" s="370"/>
      <c r="D3" s="623" t="s">
        <v>92</v>
      </c>
      <c r="E3" s="623"/>
      <c r="F3" s="624" t="s">
        <v>93</v>
      </c>
      <c r="G3" s="625" t="s">
        <v>292</v>
      </c>
      <c r="H3" s="626" t="s">
        <v>293</v>
      </c>
      <c r="I3" s="627" t="s">
        <v>96</v>
      </c>
      <c r="J3" s="596" t="s">
        <v>100</v>
      </c>
      <c r="K3" s="606" t="s">
        <v>99</v>
      </c>
      <c r="L3" s="608" t="s">
        <v>87</v>
      </c>
      <c r="M3" s="610" t="s">
        <v>101</v>
      </c>
      <c r="N3" s="610"/>
      <c r="O3" s="596" t="s">
        <v>254</v>
      </c>
      <c r="P3" s="611" t="s">
        <v>103</v>
      </c>
      <c r="Q3" s="596" t="s">
        <v>104</v>
      </c>
      <c r="R3" s="596"/>
    </row>
    <row r="4" spans="1:18" ht="15.75" customHeight="1">
      <c r="A4" s="622"/>
      <c r="B4" s="623"/>
      <c r="C4" s="370"/>
      <c r="D4" s="623"/>
      <c r="E4" s="623"/>
      <c r="F4" s="624"/>
      <c r="G4" s="625"/>
      <c r="H4" s="626"/>
      <c r="I4" s="628"/>
      <c r="J4" s="605"/>
      <c r="K4" s="607"/>
      <c r="L4" s="609"/>
      <c r="M4" s="371" t="s">
        <v>105</v>
      </c>
      <c r="N4" s="371" t="s">
        <v>106</v>
      </c>
      <c r="O4" s="605"/>
      <c r="P4" s="612"/>
      <c r="Q4" s="372" t="s">
        <v>107</v>
      </c>
      <c r="R4" s="372" t="s">
        <v>294</v>
      </c>
    </row>
    <row r="5" spans="1:18">
      <c r="A5" s="597" t="s">
        <v>295</v>
      </c>
      <c r="B5" s="373" t="s">
        <v>250</v>
      </c>
      <c r="C5" s="374"/>
      <c r="D5" s="375" t="s">
        <v>296</v>
      </c>
      <c r="E5" s="376"/>
      <c r="F5" s="377">
        <v>29.965493443754308</v>
      </c>
      <c r="G5" s="370">
        <v>1743</v>
      </c>
      <c r="H5" s="378">
        <f>F5*G5</f>
        <v>52229.855072463761</v>
      </c>
      <c r="I5" s="379"/>
      <c r="J5" s="380">
        <v>14</v>
      </c>
      <c r="K5" s="381">
        <f t="shared" ref="K5:K12" si="0">G5/P5*60</f>
        <v>1230.3529411764714</v>
      </c>
      <c r="L5" s="382">
        <f t="shared" ref="L5:L12" si="1">K5/J5</f>
        <v>87.882352941176535</v>
      </c>
      <c r="M5" s="383">
        <v>0.17361111111111113</v>
      </c>
      <c r="N5" s="383">
        <v>0.23263888888888887</v>
      </c>
      <c r="O5" s="372">
        <v>10</v>
      </c>
      <c r="P5" s="384">
        <f t="shared" ref="P5:P80" si="2">(N5-M5)*24*60</f>
        <v>84.999999999999943</v>
      </c>
      <c r="Q5" s="385"/>
      <c r="R5" s="385"/>
    </row>
    <row r="6" spans="1:18">
      <c r="A6" s="597"/>
      <c r="B6" s="373">
        <v>0</v>
      </c>
      <c r="C6" s="374"/>
      <c r="D6" s="375" t="s">
        <v>297</v>
      </c>
      <c r="E6" s="376"/>
      <c r="F6" s="377" t="s">
        <v>253</v>
      </c>
      <c r="G6" s="370">
        <v>958</v>
      </c>
      <c r="H6" s="378">
        <f t="shared" ref="H6:H113" si="3">F6*G6</f>
        <v>0</v>
      </c>
      <c r="I6" s="379"/>
      <c r="J6" s="380">
        <v>9</v>
      </c>
      <c r="K6" s="381">
        <f t="shared" si="0"/>
        <v>1437.0000000000009</v>
      </c>
      <c r="L6" s="382">
        <f t="shared" si="1"/>
        <v>159.66666666666677</v>
      </c>
      <c r="M6" s="383">
        <v>0.23611111111111113</v>
      </c>
      <c r="N6" s="383">
        <v>0.2638888888888889</v>
      </c>
      <c r="O6" s="372">
        <v>5</v>
      </c>
      <c r="P6" s="384">
        <f t="shared" si="2"/>
        <v>39.999999999999979</v>
      </c>
      <c r="Q6" s="372"/>
      <c r="R6" s="372"/>
    </row>
    <row r="7" spans="1:18">
      <c r="A7" s="597"/>
      <c r="B7" s="373">
        <v>0</v>
      </c>
      <c r="C7" s="374"/>
      <c r="D7" s="375" t="s">
        <v>298</v>
      </c>
      <c r="E7" s="376"/>
      <c r="F7" s="377" t="s">
        <v>253</v>
      </c>
      <c r="G7" s="370">
        <v>943</v>
      </c>
      <c r="H7" s="378">
        <f t="shared" si="3"/>
        <v>0</v>
      </c>
      <c r="I7" s="379"/>
      <c r="J7" s="380">
        <v>9</v>
      </c>
      <c r="K7" s="381">
        <f t="shared" si="0"/>
        <v>1414.4999999999995</v>
      </c>
      <c r="L7" s="382">
        <f t="shared" si="1"/>
        <v>157.16666666666663</v>
      </c>
      <c r="M7" s="383">
        <v>0.2673611111111111</v>
      </c>
      <c r="N7" s="383">
        <v>0.2951388888888889</v>
      </c>
      <c r="O7" s="372">
        <v>5</v>
      </c>
      <c r="P7" s="384">
        <f t="shared" si="2"/>
        <v>40.000000000000014</v>
      </c>
      <c r="Q7" s="385"/>
      <c r="R7" s="385"/>
    </row>
    <row r="8" spans="1:18">
      <c r="A8" s="597"/>
      <c r="B8" s="373" t="s">
        <v>250</v>
      </c>
      <c r="C8" s="374"/>
      <c r="D8" s="375" t="s">
        <v>299</v>
      </c>
      <c r="E8" s="376"/>
      <c r="F8" s="377">
        <v>19.7</v>
      </c>
      <c r="G8" s="370">
        <v>170</v>
      </c>
      <c r="H8" s="378">
        <f t="shared" si="3"/>
        <v>3349</v>
      </c>
      <c r="I8" s="379"/>
      <c r="J8" s="380">
        <v>12</v>
      </c>
      <c r="K8" s="381">
        <f t="shared" si="0"/>
        <v>1020.0000000000036</v>
      </c>
      <c r="L8" s="382">
        <f t="shared" si="1"/>
        <v>85.000000000000298</v>
      </c>
      <c r="M8" s="383">
        <v>0.2986111111111111</v>
      </c>
      <c r="N8" s="383">
        <v>0.30555555555555552</v>
      </c>
      <c r="O8" s="372">
        <v>5</v>
      </c>
      <c r="P8" s="384">
        <f t="shared" si="2"/>
        <v>9.9999999999999645</v>
      </c>
      <c r="Q8" s="385">
        <v>0.30555555555555552</v>
      </c>
      <c r="R8" s="385">
        <v>0.34722222222222227</v>
      </c>
    </row>
    <row r="9" spans="1:18">
      <c r="A9" s="597"/>
      <c r="B9" s="373" t="s">
        <v>249</v>
      </c>
      <c r="C9" s="374"/>
      <c r="D9" s="375" t="s">
        <v>300</v>
      </c>
      <c r="E9" s="376"/>
      <c r="F9" s="377">
        <v>25.64</v>
      </c>
      <c r="G9" s="386">
        <v>406</v>
      </c>
      <c r="H9" s="378">
        <f t="shared" si="3"/>
        <v>10409.84</v>
      </c>
      <c r="I9" s="379"/>
      <c r="J9" s="380">
        <v>10</v>
      </c>
      <c r="K9" s="381">
        <f t="shared" si="0"/>
        <v>1218.0000000000043</v>
      </c>
      <c r="L9" s="382">
        <f t="shared" si="1"/>
        <v>121.80000000000044</v>
      </c>
      <c r="M9" s="383">
        <v>0.34722222222222227</v>
      </c>
      <c r="N9" s="383">
        <v>0.3611111111111111</v>
      </c>
      <c r="O9" s="372">
        <v>5</v>
      </c>
      <c r="P9" s="384">
        <f t="shared" si="2"/>
        <v>19.999999999999929</v>
      </c>
      <c r="Q9" s="385"/>
      <c r="R9" s="385"/>
    </row>
    <row r="10" spans="1:18">
      <c r="A10" s="597"/>
      <c r="B10" s="373" t="s">
        <v>249</v>
      </c>
      <c r="C10" s="374"/>
      <c r="D10" s="375" t="s">
        <v>301</v>
      </c>
      <c r="E10" s="376"/>
      <c r="F10" s="377">
        <v>30.95</v>
      </c>
      <c r="G10" s="386">
        <v>857</v>
      </c>
      <c r="H10" s="378">
        <f t="shared" si="3"/>
        <v>26524.149999999998</v>
      </c>
      <c r="I10" s="379"/>
      <c r="J10" s="380">
        <v>15</v>
      </c>
      <c r="K10" s="381">
        <f t="shared" si="0"/>
        <v>1142.6666666666667</v>
      </c>
      <c r="L10" s="382">
        <f t="shared" si="1"/>
        <v>76.177777777777777</v>
      </c>
      <c r="M10" s="383">
        <v>0.36458333333333331</v>
      </c>
      <c r="N10" s="383">
        <v>0.39583333333333331</v>
      </c>
      <c r="O10" s="372">
        <v>5</v>
      </c>
      <c r="P10" s="384">
        <f t="shared" si="2"/>
        <v>45</v>
      </c>
      <c r="Q10" s="385"/>
      <c r="R10" s="385"/>
    </row>
    <row r="11" spans="1:18">
      <c r="A11" s="597"/>
      <c r="B11" s="373" t="s">
        <v>249</v>
      </c>
      <c r="C11" s="374"/>
      <c r="D11" s="375" t="s">
        <v>302</v>
      </c>
      <c r="E11" s="376"/>
      <c r="F11" s="377">
        <v>29.52</v>
      </c>
      <c r="G11" s="386">
        <v>958</v>
      </c>
      <c r="H11" s="378">
        <f t="shared" si="3"/>
        <v>28280.16</v>
      </c>
      <c r="I11" s="379"/>
      <c r="J11" s="380">
        <v>14</v>
      </c>
      <c r="K11" s="381">
        <f t="shared" si="0"/>
        <v>1642.2857142857163</v>
      </c>
      <c r="L11" s="382">
        <f t="shared" si="1"/>
        <v>117.30612244897974</v>
      </c>
      <c r="M11" s="383">
        <v>0.39930555555555558</v>
      </c>
      <c r="N11" s="383">
        <v>0.4236111111111111</v>
      </c>
      <c r="O11" s="372">
        <v>5</v>
      </c>
      <c r="P11" s="384">
        <f t="shared" si="2"/>
        <v>34.999999999999957</v>
      </c>
      <c r="Q11" s="385"/>
      <c r="R11" s="385"/>
    </row>
    <row r="12" spans="1:18">
      <c r="A12" s="598"/>
      <c r="B12" s="373" t="s">
        <v>249</v>
      </c>
      <c r="C12" s="374"/>
      <c r="D12" s="375" t="s">
        <v>255</v>
      </c>
      <c r="E12" s="376"/>
      <c r="F12" s="377">
        <v>29.856999999999999</v>
      </c>
      <c r="G12" s="386">
        <v>943</v>
      </c>
      <c r="H12" s="378">
        <f t="shared" si="3"/>
        <v>28155.150999999998</v>
      </c>
      <c r="I12" s="379"/>
      <c r="J12" s="380">
        <v>14</v>
      </c>
      <c r="K12" s="381">
        <f t="shared" si="0"/>
        <v>1616.5714285714268</v>
      </c>
      <c r="L12" s="382">
        <f t="shared" si="1"/>
        <v>115.46938775510192</v>
      </c>
      <c r="M12" s="383">
        <v>0.42708333333333331</v>
      </c>
      <c r="N12" s="383">
        <v>0.4513888888888889</v>
      </c>
      <c r="O12" s="372">
        <v>5</v>
      </c>
      <c r="P12" s="384">
        <f t="shared" si="2"/>
        <v>35.000000000000036</v>
      </c>
      <c r="Q12" s="385"/>
      <c r="R12" s="385"/>
    </row>
    <row r="13" spans="1:18">
      <c r="A13" s="598"/>
      <c r="B13" s="373" t="s">
        <v>250</v>
      </c>
      <c r="C13" s="401"/>
      <c r="D13" s="591" t="s">
        <v>256</v>
      </c>
      <c r="E13" s="592"/>
      <c r="F13" s="377">
        <v>28.57</v>
      </c>
      <c r="G13" s="388">
        <v>1536</v>
      </c>
      <c r="H13" s="378">
        <f t="shared" si="3"/>
        <v>43883.520000000004</v>
      </c>
      <c r="I13" s="379"/>
      <c r="J13" s="380">
        <v>8</v>
      </c>
      <c r="K13" s="381">
        <f>G13/P13*60</f>
        <v>1510.8196721311479</v>
      </c>
      <c r="L13" s="382">
        <f>K13/J13</f>
        <v>188.85245901639348</v>
      </c>
      <c r="M13" s="383">
        <v>0.23263888888888887</v>
      </c>
      <c r="N13" s="383">
        <v>0.27499999999999997</v>
      </c>
      <c r="O13" s="372">
        <v>20</v>
      </c>
      <c r="P13" s="384">
        <f t="shared" si="2"/>
        <v>60.999999999999986</v>
      </c>
      <c r="Q13" s="372"/>
      <c r="R13" s="372"/>
    </row>
    <row r="14" spans="1:18">
      <c r="A14" s="598"/>
      <c r="B14" s="373">
        <v>0</v>
      </c>
      <c r="C14" s="387"/>
      <c r="D14" s="375"/>
      <c r="E14" s="376"/>
      <c r="F14" s="377" t="s">
        <v>253</v>
      </c>
      <c r="G14" s="386"/>
      <c r="H14" s="378">
        <f t="shared" si="3"/>
        <v>0</v>
      </c>
      <c r="I14" s="379"/>
      <c r="J14" s="380"/>
      <c r="K14" s="381"/>
      <c r="L14" s="382"/>
      <c r="M14" s="383"/>
      <c r="N14" s="383"/>
      <c r="O14" s="372"/>
      <c r="P14" s="384">
        <f t="shared" si="2"/>
        <v>0</v>
      </c>
      <c r="Q14" s="372"/>
      <c r="R14" s="372"/>
    </row>
    <row r="15" spans="1:18">
      <c r="A15" s="598"/>
      <c r="B15" s="373">
        <v>0</v>
      </c>
      <c r="C15" s="389"/>
      <c r="D15" s="390"/>
      <c r="E15" s="390"/>
      <c r="F15" s="377" t="s">
        <v>253</v>
      </c>
      <c r="G15" s="386"/>
      <c r="H15" s="378">
        <f t="shared" si="3"/>
        <v>0</v>
      </c>
      <c r="I15" s="379"/>
      <c r="J15" s="380"/>
      <c r="K15" s="381"/>
      <c r="L15" s="382"/>
      <c r="M15" s="383"/>
      <c r="N15" s="383"/>
      <c r="O15" s="372"/>
      <c r="P15" s="384">
        <f t="shared" si="2"/>
        <v>0</v>
      </c>
      <c r="Q15" s="372"/>
      <c r="R15" s="372"/>
    </row>
    <row r="16" spans="1:18" ht="15.75" customHeight="1">
      <c r="A16" s="599"/>
      <c r="B16" s="373">
        <v>0</v>
      </c>
      <c r="C16" s="391" t="s">
        <v>257</v>
      </c>
      <c r="D16" s="583" t="s">
        <v>114</v>
      </c>
      <c r="E16" s="583"/>
      <c r="F16" s="392"/>
      <c r="G16" s="393"/>
      <c r="H16" s="394"/>
      <c r="I16" s="395"/>
      <c r="J16" s="396">
        <f>AVERAGE(J5:J15)</f>
        <v>11.666666666666666</v>
      </c>
      <c r="K16" s="396">
        <f>AVERAGE(K5:K15)</f>
        <v>1359.1329358701598</v>
      </c>
      <c r="L16" s="397">
        <f>AVERAGE(L5:L15)</f>
        <v>123.25793703030708</v>
      </c>
      <c r="M16" s="383"/>
      <c r="N16" s="383"/>
      <c r="O16" s="381"/>
      <c r="P16" s="381"/>
      <c r="Q16" s="382"/>
      <c r="R16" s="382"/>
    </row>
    <row r="17" spans="1:18" ht="15.75" customHeight="1">
      <c r="A17" s="600" t="s">
        <v>258</v>
      </c>
      <c r="B17" s="373" t="s">
        <v>250</v>
      </c>
      <c r="C17" s="398"/>
      <c r="D17" s="603" t="s">
        <v>259</v>
      </c>
      <c r="E17" s="604"/>
      <c r="F17" s="377">
        <v>14.03</v>
      </c>
      <c r="G17" s="370">
        <v>393</v>
      </c>
      <c r="H17" s="399">
        <f t="shared" ref="H17:H23" si="4">F17*G17</f>
        <v>5513.79</v>
      </c>
      <c r="I17" s="400"/>
      <c r="J17" s="380">
        <v>6</v>
      </c>
      <c r="K17" s="381">
        <f>G17/P17*60</f>
        <v>1572.0000000000014</v>
      </c>
      <c r="L17" s="382">
        <f>K17/J17</f>
        <v>262.00000000000023</v>
      </c>
      <c r="M17" s="383">
        <v>0.18055555555555555</v>
      </c>
      <c r="N17" s="383">
        <v>0.19097222222222221</v>
      </c>
      <c r="O17" s="372">
        <v>20</v>
      </c>
      <c r="P17" s="384">
        <f>(N17-M17)*24*60</f>
        <v>14.999999999999986</v>
      </c>
      <c r="Q17" s="372"/>
      <c r="R17" s="372"/>
    </row>
    <row r="18" spans="1:18" ht="15.75" customHeight="1">
      <c r="A18" s="600"/>
      <c r="B18" s="373" t="s">
        <v>250</v>
      </c>
      <c r="C18" s="401"/>
      <c r="D18" s="591" t="s">
        <v>260</v>
      </c>
      <c r="E18" s="592"/>
      <c r="F18" s="377">
        <v>14.49</v>
      </c>
      <c r="G18" s="388">
        <v>518</v>
      </c>
      <c r="H18" s="378">
        <f t="shared" si="4"/>
        <v>7505.82</v>
      </c>
      <c r="I18" s="379"/>
      <c r="J18" s="380">
        <v>5</v>
      </c>
      <c r="K18" s="381">
        <f>G18/P18*60</f>
        <v>1554.0000000000025</v>
      </c>
      <c r="L18" s="382">
        <f>K18/J18</f>
        <v>310.80000000000052</v>
      </c>
      <c r="M18" s="383">
        <v>0.20486111111111113</v>
      </c>
      <c r="N18" s="383">
        <v>0.21875</v>
      </c>
      <c r="O18" s="372">
        <v>20</v>
      </c>
      <c r="P18" s="384">
        <f t="shared" ref="P18:P23" si="5">(N18-M18)*24*60</f>
        <v>19.999999999999968</v>
      </c>
      <c r="Q18" s="385"/>
      <c r="R18" s="385"/>
    </row>
    <row r="19" spans="1:18" ht="15.75" customHeight="1">
      <c r="A19" s="600"/>
      <c r="B19" s="373"/>
      <c r="C19" s="401"/>
      <c r="D19" s="591"/>
      <c r="E19" s="592"/>
      <c r="F19" s="377"/>
      <c r="G19" s="388"/>
      <c r="H19" s="378"/>
      <c r="I19" s="379"/>
      <c r="J19" s="380"/>
      <c r="K19" s="381"/>
      <c r="L19" s="382"/>
      <c r="M19" s="383"/>
      <c r="N19" s="383"/>
      <c r="O19" s="372"/>
      <c r="P19" s="384"/>
      <c r="Q19" s="385"/>
      <c r="R19" s="385"/>
    </row>
    <row r="20" spans="1:18" ht="15.75" customHeight="1">
      <c r="A20" s="601"/>
      <c r="B20" s="373">
        <v>0</v>
      </c>
      <c r="C20" s="402"/>
      <c r="D20" s="403"/>
      <c r="E20" s="404"/>
      <c r="F20" s="377" t="s">
        <v>253</v>
      </c>
      <c r="G20" s="388"/>
      <c r="H20" s="378">
        <f t="shared" si="4"/>
        <v>0</v>
      </c>
      <c r="I20" s="379"/>
      <c r="J20" s="380"/>
      <c r="K20" s="381"/>
      <c r="L20" s="382"/>
      <c r="M20" s="383"/>
      <c r="N20" s="383"/>
      <c r="O20" s="372"/>
      <c r="P20" s="384">
        <f t="shared" si="5"/>
        <v>0</v>
      </c>
      <c r="Q20" s="372"/>
      <c r="R20" s="372"/>
    </row>
    <row r="21" spans="1:18" ht="15.75" customHeight="1">
      <c r="A21" s="601"/>
      <c r="B21" s="373">
        <v>0</v>
      </c>
      <c r="C21" s="402"/>
      <c r="D21" s="403"/>
      <c r="E21" s="404"/>
      <c r="F21" s="377" t="s">
        <v>253</v>
      </c>
      <c r="G21" s="388"/>
      <c r="H21" s="378">
        <f t="shared" si="4"/>
        <v>0</v>
      </c>
      <c r="I21" s="379"/>
      <c r="J21" s="380"/>
      <c r="K21" s="381"/>
      <c r="L21" s="382"/>
      <c r="M21" s="383"/>
      <c r="N21" s="383"/>
      <c r="O21" s="372"/>
      <c r="P21" s="384">
        <f t="shared" si="5"/>
        <v>0</v>
      </c>
      <c r="Q21" s="372"/>
      <c r="R21" s="372"/>
    </row>
    <row r="22" spans="1:18" ht="15.75" customHeight="1">
      <c r="A22" s="601"/>
      <c r="B22" s="373">
        <v>0</v>
      </c>
      <c r="C22" s="402"/>
      <c r="D22" s="403"/>
      <c r="E22" s="404"/>
      <c r="F22" s="377" t="s">
        <v>253</v>
      </c>
      <c r="G22" s="388"/>
      <c r="H22" s="378">
        <f t="shared" si="4"/>
        <v>0</v>
      </c>
      <c r="I22" s="379"/>
      <c r="J22" s="380"/>
      <c r="K22" s="381"/>
      <c r="L22" s="382"/>
      <c r="M22" s="383"/>
      <c r="N22" s="383"/>
      <c r="O22" s="372"/>
      <c r="P22" s="384">
        <f t="shared" si="5"/>
        <v>0</v>
      </c>
      <c r="Q22" s="372"/>
      <c r="R22" s="372"/>
    </row>
    <row r="23" spans="1:18" ht="15.75" customHeight="1">
      <c r="A23" s="601"/>
      <c r="B23" s="373">
        <v>0</v>
      </c>
      <c r="C23" s="402"/>
      <c r="D23" s="403"/>
      <c r="E23" s="404"/>
      <c r="F23" s="377" t="s">
        <v>253</v>
      </c>
      <c r="G23" s="388"/>
      <c r="H23" s="378">
        <f t="shared" si="4"/>
        <v>0</v>
      </c>
      <c r="I23" s="379"/>
      <c r="J23" s="380"/>
      <c r="K23" s="381"/>
      <c r="L23" s="382"/>
      <c r="M23" s="383"/>
      <c r="N23" s="383"/>
      <c r="O23" s="372"/>
      <c r="P23" s="384">
        <f t="shared" si="5"/>
        <v>0</v>
      </c>
      <c r="Q23" s="372"/>
      <c r="R23" s="372"/>
    </row>
    <row r="24" spans="1:18" ht="17.399999999999999" customHeight="1">
      <c r="A24" s="602"/>
      <c r="B24" s="373">
        <v>0</v>
      </c>
      <c r="C24" s="12" t="s">
        <v>261</v>
      </c>
      <c r="D24" s="583" t="s">
        <v>114</v>
      </c>
      <c r="E24" s="583"/>
      <c r="F24" s="392"/>
      <c r="G24" s="405"/>
      <c r="H24" s="394"/>
      <c r="I24" s="395"/>
      <c r="J24" s="396">
        <f>AVERAGE(J17:J23)</f>
        <v>5.5</v>
      </c>
      <c r="K24" s="396">
        <f>AVERAGE(K17:K23)</f>
        <v>1563.0000000000018</v>
      </c>
      <c r="L24" s="397">
        <f>AVERAGE(L17:L23)</f>
        <v>286.40000000000038</v>
      </c>
      <c r="M24" s="383"/>
      <c r="N24" s="383"/>
      <c r="O24" s="372"/>
      <c r="P24" s="372"/>
      <c r="Q24" s="372"/>
      <c r="R24" s="372"/>
    </row>
    <row r="25" spans="1:18">
      <c r="A25" s="585" t="s">
        <v>262</v>
      </c>
      <c r="B25" s="373" t="s">
        <v>250</v>
      </c>
      <c r="C25" s="406"/>
      <c r="D25" s="407" t="s">
        <v>303</v>
      </c>
      <c r="E25" s="408"/>
      <c r="F25" s="377">
        <v>18.18</v>
      </c>
      <c r="G25" s="370">
        <v>679</v>
      </c>
      <c r="H25" s="378">
        <f t="shared" ref="H25:H37" si="6">F25*G25</f>
        <v>12344.22</v>
      </c>
      <c r="I25" s="379"/>
      <c r="J25" s="380">
        <v>3</v>
      </c>
      <c r="K25" s="381">
        <f t="shared" ref="K25:K29" si="7">G25/P25*60</f>
        <v>2910.0000000000023</v>
      </c>
      <c r="L25" s="382">
        <f t="shared" ref="L25:L29" si="8">K25/J25</f>
        <v>970.0000000000008</v>
      </c>
      <c r="M25" s="383">
        <v>0.17361111111111113</v>
      </c>
      <c r="N25" s="383">
        <v>0.18333333333333335</v>
      </c>
      <c r="O25" s="372">
        <v>10</v>
      </c>
      <c r="P25" s="384">
        <f t="shared" ref="P25:P37" si="9">(N25-M25)*24*60</f>
        <v>13.999999999999989</v>
      </c>
      <c r="Q25" s="385"/>
      <c r="R25" s="385"/>
    </row>
    <row r="26" spans="1:18">
      <c r="A26" s="585"/>
      <c r="B26" s="373" t="s">
        <v>250</v>
      </c>
      <c r="C26" s="409"/>
      <c r="D26" s="410" t="s">
        <v>304</v>
      </c>
      <c r="E26" s="411"/>
      <c r="F26" s="377">
        <v>18.18</v>
      </c>
      <c r="G26" s="370">
        <v>1189</v>
      </c>
      <c r="H26" s="378">
        <f t="shared" si="6"/>
        <v>21616.02</v>
      </c>
      <c r="I26" s="379"/>
      <c r="J26" s="380">
        <v>3</v>
      </c>
      <c r="K26" s="381">
        <f t="shared" si="7"/>
        <v>2853.5999999999963</v>
      </c>
      <c r="L26" s="382">
        <f t="shared" si="8"/>
        <v>951.19999999999879</v>
      </c>
      <c r="M26" s="383">
        <v>0.19722222222222222</v>
      </c>
      <c r="N26" s="383">
        <v>0.21458333333333335</v>
      </c>
      <c r="O26" s="372">
        <v>20</v>
      </c>
      <c r="P26" s="384">
        <f t="shared" si="9"/>
        <v>25.000000000000032</v>
      </c>
      <c r="Q26" s="385"/>
      <c r="R26" s="385"/>
    </row>
    <row r="27" spans="1:18">
      <c r="A27" s="585"/>
      <c r="B27" s="373" t="s">
        <v>250</v>
      </c>
      <c r="C27" s="409"/>
      <c r="D27" s="410" t="s">
        <v>305</v>
      </c>
      <c r="E27" s="411"/>
      <c r="F27" s="377">
        <v>17.890909090909091</v>
      </c>
      <c r="G27" s="370">
        <v>1362</v>
      </c>
      <c r="H27" s="378">
        <f t="shared" si="6"/>
        <v>24367.418181818182</v>
      </c>
      <c r="I27" s="379"/>
      <c r="J27" s="380">
        <v>3</v>
      </c>
      <c r="K27" s="381">
        <f t="shared" si="7"/>
        <v>2918.5714285714262</v>
      </c>
      <c r="L27" s="382">
        <f t="shared" si="8"/>
        <v>972.85714285714209</v>
      </c>
      <c r="M27" s="383">
        <v>0.22847222222222222</v>
      </c>
      <c r="N27" s="383">
        <v>0.24791666666666667</v>
      </c>
      <c r="O27" s="372">
        <v>20</v>
      </c>
      <c r="P27" s="384">
        <f t="shared" si="9"/>
        <v>28.000000000000021</v>
      </c>
      <c r="Q27" s="385">
        <v>0.24791666666666667</v>
      </c>
      <c r="R27" s="385">
        <v>0.28958333333333336</v>
      </c>
    </row>
    <row r="28" spans="1:18">
      <c r="A28" s="585"/>
      <c r="B28" s="373" t="s">
        <v>250</v>
      </c>
      <c r="C28" s="412"/>
      <c r="D28" s="410" t="s">
        <v>306</v>
      </c>
      <c r="E28" s="413"/>
      <c r="F28" s="377">
        <v>21.45</v>
      </c>
      <c r="G28" s="370">
        <v>876</v>
      </c>
      <c r="H28" s="378">
        <f t="shared" si="6"/>
        <v>18790.2</v>
      </c>
      <c r="I28" s="379"/>
      <c r="J28" s="380">
        <v>3</v>
      </c>
      <c r="K28" s="381">
        <f t="shared" si="7"/>
        <v>2919.9999999999977</v>
      </c>
      <c r="L28" s="382">
        <f t="shared" si="8"/>
        <v>973.33333333333258</v>
      </c>
      <c r="M28" s="383">
        <v>0.3034722222222222</v>
      </c>
      <c r="N28" s="383">
        <v>0.31597222222222221</v>
      </c>
      <c r="O28" s="372">
        <v>20</v>
      </c>
      <c r="P28" s="384">
        <f t="shared" si="9"/>
        <v>18.000000000000014</v>
      </c>
      <c r="Q28" s="385"/>
      <c r="R28" s="385"/>
    </row>
    <row r="29" spans="1:18">
      <c r="A29" s="585"/>
      <c r="B29" s="373" t="s">
        <v>249</v>
      </c>
      <c r="C29" s="414"/>
      <c r="D29" s="410" t="s">
        <v>263</v>
      </c>
      <c r="E29" s="413"/>
      <c r="F29" s="377">
        <v>18.53</v>
      </c>
      <c r="G29" s="370">
        <v>3241</v>
      </c>
      <c r="H29" s="378">
        <f t="shared" si="6"/>
        <v>60055.73</v>
      </c>
      <c r="I29" s="379"/>
      <c r="J29" s="380">
        <v>3</v>
      </c>
      <c r="K29" s="381">
        <f t="shared" si="7"/>
        <v>2859.7058823529374</v>
      </c>
      <c r="L29" s="382">
        <f t="shared" si="8"/>
        <v>953.23529411764582</v>
      </c>
      <c r="M29" s="383">
        <v>0.3298611111111111</v>
      </c>
      <c r="N29" s="383">
        <v>0.37708333333333338</v>
      </c>
      <c r="O29" s="372">
        <v>20</v>
      </c>
      <c r="P29" s="384">
        <f t="shared" si="9"/>
        <v>68.000000000000085</v>
      </c>
      <c r="Q29" s="385"/>
      <c r="R29" s="385"/>
    </row>
    <row r="30" spans="1:18">
      <c r="A30" s="585"/>
      <c r="B30" s="373"/>
      <c r="C30" s="414"/>
      <c r="D30" s="410"/>
      <c r="E30" s="413"/>
      <c r="F30" s="377"/>
      <c r="G30" s="370"/>
      <c r="H30" s="378">
        <f t="shared" si="6"/>
        <v>0</v>
      </c>
      <c r="I30" s="379"/>
      <c r="J30" s="380"/>
      <c r="K30" s="381"/>
      <c r="L30" s="382"/>
      <c r="M30" s="383"/>
      <c r="N30" s="383"/>
      <c r="O30" s="372"/>
      <c r="P30" s="384">
        <f t="shared" si="9"/>
        <v>0</v>
      </c>
      <c r="Q30" s="385"/>
      <c r="R30" s="385"/>
    </row>
    <row r="31" spans="1:18" ht="15.75" customHeight="1">
      <c r="A31" s="585"/>
      <c r="B31" s="373">
        <v>0</v>
      </c>
      <c r="C31" s="415"/>
      <c r="D31" s="407"/>
      <c r="E31" s="413"/>
      <c r="F31" s="377" t="s">
        <v>253</v>
      </c>
      <c r="G31" s="370"/>
      <c r="H31" s="378">
        <f t="shared" si="6"/>
        <v>0</v>
      </c>
      <c r="I31" s="379"/>
      <c r="J31" s="380"/>
      <c r="K31" s="381"/>
      <c r="L31" s="382"/>
      <c r="M31" s="383"/>
      <c r="N31" s="383"/>
      <c r="O31" s="372"/>
      <c r="P31" s="384">
        <f t="shared" si="9"/>
        <v>0</v>
      </c>
      <c r="Q31" s="385"/>
      <c r="R31" s="385"/>
    </row>
    <row r="32" spans="1:18">
      <c r="A32" s="585"/>
      <c r="B32" s="373">
        <v>0</v>
      </c>
      <c r="C32" s="401"/>
      <c r="D32" s="410"/>
      <c r="E32" s="404"/>
      <c r="F32" s="377" t="s">
        <v>253</v>
      </c>
      <c r="G32" s="370"/>
      <c r="H32" s="378">
        <f t="shared" si="6"/>
        <v>0</v>
      </c>
      <c r="I32" s="379"/>
      <c r="J32" s="380"/>
      <c r="K32" s="381"/>
      <c r="L32" s="382"/>
      <c r="M32" s="383"/>
      <c r="N32" s="383"/>
      <c r="O32" s="372"/>
      <c r="P32" s="384">
        <f t="shared" si="9"/>
        <v>0</v>
      </c>
      <c r="Q32" s="385"/>
      <c r="R32" s="385"/>
    </row>
    <row r="33" spans="1:18">
      <c r="A33" s="585"/>
      <c r="B33" s="373">
        <v>0</v>
      </c>
      <c r="C33" s="414"/>
      <c r="D33" s="410"/>
      <c r="E33" s="413"/>
      <c r="F33" s="377" t="s">
        <v>253</v>
      </c>
      <c r="G33" s="370"/>
      <c r="H33" s="378">
        <f t="shared" si="6"/>
        <v>0</v>
      </c>
      <c r="I33" s="379"/>
      <c r="J33" s="380"/>
      <c r="K33" s="381"/>
      <c r="L33" s="382"/>
      <c r="M33" s="383"/>
      <c r="N33" s="383"/>
      <c r="O33" s="372"/>
      <c r="P33" s="384">
        <f t="shared" si="9"/>
        <v>0</v>
      </c>
      <c r="Q33" s="385"/>
      <c r="R33" s="385"/>
    </row>
    <row r="34" spans="1:18">
      <c r="A34" s="585"/>
      <c r="B34" s="373">
        <v>0</v>
      </c>
      <c r="C34" s="416"/>
      <c r="D34" s="410"/>
      <c r="E34" s="413"/>
      <c r="F34" s="377" t="s">
        <v>253</v>
      </c>
      <c r="G34" s="417"/>
      <c r="H34" s="378">
        <f t="shared" si="6"/>
        <v>0</v>
      </c>
      <c r="I34" s="379"/>
      <c r="J34" s="380"/>
      <c r="K34" s="381"/>
      <c r="L34" s="382"/>
      <c r="M34" s="383"/>
      <c r="N34" s="383"/>
      <c r="O34" s="372"/>
      <c r="P34" s="384">
        <f t="shared" si="9"/>
        <v>0</v>
      </c>
      <c r="Q34" s="385"/>
      <c r="R34" s="385"/>
    </row>
    <row r="35" spans="1:18">
      <c r="A35" s="585"/>
      <c r="B35" s="373">
        <v>0</v>
      </c>
      <c r="C35" s="418"/>
      <c r="D35" s="410"/>
      <c r="E35" s="413"/>
      <c r="F35" s="377" t="s">
        <v>253</v>
      </c>
      <c r="G35" s="417"/>
      <c r="H35" s="378">
        <f t="shared" si="6"/>
        <v>0</v>
      </c>
      <c r="I35" s="379"/>
      <c r="J35" s="380"/>
      <c r="K35" s="381"/>
      <c r="L35" s="382"/>
      <c r="M35" s="383"/>
      <c r="N35" s="383"/>
      <c r="O35" s="372"/>
      <c r="P35" s="384">
        <f t="shared" si="9"/>
        <v>0</v>
      </c>
      <c r="Q35" s="385"/>
      <c r="R35" s="385"/>
    </row>
    <row r="36" spans="1:18">
      <c r="A36" s="585"/>
      <c r="B36" s="373">
        <v>0</v>
      </c>
      <c r="C36" s="418"/>
      <c r="D36" s="419"/>
      <c r="E36" s="419"/>
      <c r="F36" s="377" t="s">
        <v>253</v>
      </c>
      <c r="G36" s="417"/>
      <c r="H36" s="378">
        <f t="shared" si="6"/>
        <v>0</v>
      </c>
      <c r="I36" s="379"/>
      <c r="J36" s="380"/>
      <c r="K36" s="381"/>
      <c r="L36" s="382"/>
      <c r="M36" s="383"/>
      <c r="N36" s="383"/>
      <c r="O36" s="372"/>
      <c r="P36" s="384">
        <f t="shared" si="9"/>
        <v>0</v>
      </c>
      <c r="Q36" s="385"/>
      <c r="R36" s="385"/>
    </row>
    <row r="37" spans="1:18">
      <c r="A37" s="585"/>
      <c r="B37" s="373">
        <v>0</v>
      </c>
      <c r="C37" s="418"/>
      <c r="D37" s="411"/>
      <c r="E37" s="411"/>
      <c r="F37" s="377" t="s">
        <v>253</v>
      </c>
      <c r="G37" s="417"/>
      <c r="H37" s="378">
        <f t="shared" si="6"/>
        <v>0</v>
      </c>
      <c r="I37" s="379"/>
      <c r="J37" s="380"/>
      <c r="K37" s="381"/>
      <c r="L37" s="382"/>
      <c r="M37" s="383"/>
      <c r="N37" s="383"/>
      <c r="O37" s="372"/>
      <c r="P37" s="384">
        <f t="shared" si="9"/>
        <v>0</v>
      </c>
      <c r="Q37" s="385"/>
      <c r="R37" s="385"/>
    </row>
    <row r="38" spans="1:18" ht="17.399999999999999" customHeight="1">
      <c r="A38" s="586"/>
      <c r="B38" s="373">
        <v>0</v>
      </c>
      <c r="C38" s="12" t="s">
        <v>50</v>
      </c>
      <c r="D38" s="578" t="s">
        <v>264</v>
      </c>
      <c r="E38" s="578"/>
      <c r="F38" s="392"/>
      <c r="G38" s="420"/>
      <c r="H38" s="394"/>
      <c r="I38" s="395"/>
      <c r="J38" s="396">
        <f>AVERAGE(J25:J37)</f>
        <v>3</v>
      </c>
      <c r="K38" s="396">
        <f>AVERAGE(K25:K37)</f>
        <v>2892.375462184872</v>
      </c>
      <c r="L38" s="397">
        <f>AVERAGE(L25:L37)</f>
        <v>964.12515406162402</v>
      </c>
      <c r="M38" s="383"/>
      <c r="N38" s="383"/>
      <c r="O38" s="381"/>
      <c r="P38" s="381"/>
      <c r="Q38" s="382"/>
      <c r="R38" s="382"/>
    </row>
    <row r="39" spans="1:18" ht="16.25" customHeight="1">
      <c r="A39" s="587" t="s">
        <v>265</v>
      </c>
      <c r="B39" s="373" t="s">
        <v>250</v>
      </c>
      <c r="C39" s="401"/>
      <c r="D39" s="425" t="s">
        <v>266</v>
      </c>
      <c r="E39" s="404"/>
      <c r="F39" s="377">
        <v>22.281818181818181</v>
      </c>
      <c r="G39" s="370">
        <v>448</v>
      </c>
      <c r="H39" s="378">
        <f t="shared" ref="H39:H42" si="10">F39*G39</f>
        <v>9982.2545454545452</v>
      </c>
      <c r="I39" s="379"/>
      <c r="J39" s="380">
        <v>4</v>
      </c>
      <c r="K39" s="381">
        <f>G39/P39*60</f>
        <v>2687.9999999999991</v>
      </c>
      <c r="L39" s="382">
        <f>K39/J39</f>
        <v>671.99999999999977</v>
      </c>
      <c r="M39" s="383">
        <v>0.18055555555555555</v>
      </c>
      <c r="N39" s="383">
        <v>0.1875</v>
      </c>
      <c r="O39" s="372">
        <v>20</v>
      </c>
      <c r="P39" s="423">
        <f t="shared" ref="P39:P42" si="11">(N39-M39)*24*60</f>
        <v>10.000000000000004</v>
      </c>
      <c r="Q39" s="385"/>
      <c r="R39" s="385"/>
    </row>
    <row r="40" spans="1:18">
      <c r="A40" s="588"/>
      <c r="B40" s="373" t="s">
        <v>250</v>
      </c>
      <c r="C40" s="401"/>
      <c r="D40" s="425" t="s">
        <v>267</v>
      </c>
      <c r="E40" s="404"/>
      <c r="F40" s="377">
        <v>16.66</v>
      </c>
      <c r="G40" s="370">
        <v>2043</v>
      </c>
      <c r="H40" s="378">
        <f t="shared" si="10"/>
        <v>34036.379999999997</v>
      </c>
      <c r="I40" s="379"/>
      <c r="J40" s="380">
        <v>4</v>
      </c>
      <c r="K40" s="381">
        <f>G40/P40*60</f>
        <v>2850.697674418604</v>
      </c>
      <c r="L40" s="382">
        <f>K40/J40</f>
        <v>712.67441860465101</v>
      </c>
      <c r="M40" s="383">
        <v>0.20138888888888887</v>
      </c>
      <c r="N40" s="383">
        <v>0.23124999999999998</v>
      </c>
      <c r="O40" s="372">
        <v>20</v>
      </c>
      <c r="P40" s="423">
        <f t="shared" si="11"/>
        <v>43.000000000000007</v>
      </c>
      <c r="Q40" s="385">
        <v>0.23124999999999998</v>
      </c>
      <c r="R40" s="385">
        <v>0.27291666666666664</v>
      </c>
    </row>
    <row r="41" spans="1:18">
      <c r="A41" s="588"/>
      <c r="B41" s="373" t="s">
        <v>250</v>
      </c>
      <c r="C41" s="401"/>
      <c r="D41" s="425" t="s">
        <v>268</v>
      </c>
      <c r="E41" s="404"/>
      <c r="F41" s="377">
        <v>18.18</v>
      </c>
      <c r="G41" s="370">
        <v>2311</v>
      </c>
      <c r="H41" s="378">
        <f t="shared" si="10"/>
        <v>42013.979999999996</v>
      </c>
      <c r="I41" s="379"/>
      <c r="J41" s="380">
        <v>4</v>
      </c>
      <c r="K41" s="381">
        <f t="shared" ref="K41:K42" si="12">G41/P41*60</f>
        <v>2829.7959183673433</v>
      </c>
      <c r="L41" s="382">
        <f t="shared" ref="L41:L42" si="13">K41/J41</f>
        <v>707.44897959183584</v>
      </c>
      <c r="M41" s="383">
        <v>0.28680555555555554</v>
      </c>
      <c r="N41" s="383">
        <v>0.32083333333333336</v>
      </c>
      <c r="O41" s="372">
        <v>20</v>
      </c>
      <c r="P41" s="423">
        <f t="shared" si="11"/>
        <v>49.000000000000064</v>
      </c>
      <c r="Q41" s="385"/>
      <c r="R41" s="385"/>
    </row>
    <row r="42" spans="1:18">
      <c r="A42" s="588"/>
      <c r="B42" s="373" t="s">
        <v>250</v>
      </c>
      <c r="C42" s="401"/>
      <c r="D42" s="425" t="s">
        <v>307</v>
      </c>
      <c r="E42" s="404"/>
      <c r="F42" s="377">
        <v>15.15</v>
      </c>
      <c r="G42" s="370">
        <v>1392</v>
      </c>
      <c r="H42" s="378">
        <f t="shared" si="10"/>
        <v>21088.799999999999</v>
      </c>
      <c r="I42" s="379"/>
      <c r="J42" s="380">
        <v>4</v>
      </c>
      <c r="K42" s="381">
        <f t="shared" si="12"/>
        <v>3093.3333333333353</v>
      </c>
      <c r="L42" s="382">
        <f t="shared" si="13"/>
        <v>773.33333333333383</v>
      </c>
      <c r="M42" s="383">
        <v>0.3347222222222222</v>
      </c>
      <c r="N42" s="383">
        <v>0.35347222222222219</v>
      </c>
      <c r="O42" s="372">
        <v>20</v>
      </c>
      <c r="P42" s="423">
        <f t="shared" si="11"/>
        <v>26.999999999999986</v>
      </c>
      <c r="Q42" s="385"/>
      <c r="R42" s="385"/>
    </row>
    <row r="43" spans="1:18" ht="15.75" customHeight="1">
      <c r="A43" s="588"/>
      <c r="B43" s="373"/>
      <c r="C43" s="401"/>
      <c r="D43" s="425"/>
      <c r="E43" s="404"/>
      <c r="F43" s="377"/>
      <c r="G43" s="370"/>
      <c r="H43" s="378"/>
      <c r="I43" s="379"/>
      <c r="J43" s="380"/>
      <c r="K43" s="381"/>
      <c r="L43" s="382"/>
      <c r="M43" s="383"/>
      <c r="N43" s="383"/>
      <c r="O43" s="372"/>
      <c r="P43" s="423"/>
      <c r="Q43" s="385"/>
      <c r="R43" s="385"/>
    </row>
    <row r="44" spans="1:18">
      <c r="A44" s="588"/>
      <c r="B44" s="373"/>
      <c r="C44" s="401"/>
      <c r="D44" s="425"/>
      <c r="E44" s="404"/>
      <c r="F44" s="377"/>
      <c r="G44" s="370"/>
      <c r="H44" s="378"/>
      <c r="I44" s="379"/>
      <c r="J44" s="380"/>
      <c r="K44" s="381"/>
      <c r="L44" s="382"/>
      <c r="M44" s="383"/>
      <c r="N44" s="383"/>
      <c r="O44" s="372"/>
      <c r="P44" s="423"/>
      <c r="Q44" s="385"/>
      <c r="R44" s="385"/>
    </row>
    <row r="45" spans="1:18">
      <c r="A45" s="588"/>
      <c r="B45" s="373">
        <v>0</v>
      </c>
      <c r="C45" s="401"/>
      <c r="D45" s="426"/>
      <c r="E45" s="404"/>
      <c r="F45" s="377" t="s">
        <v>253</v>
      </c>
      <c r="G45" s="370"/>
      <c r="H45" s="378">
        <f t="shared" ref="H45:H47" si="14">F45*G45</f>
        <v>0</v>
      </c>
      <c r="I45" s="379"/>
      <c r="J45" s="380"/>
      <c r="K45" s="381"/>
      <c r="L45" s="382"/>
      <c r="M45" s="383"/>
      <c r="N45" s="383"/>
      <c r="O45" s="372"/>
      <c r="P45" s="384">
        <f t="shared" ref="P45:P50" si="15">(N45-M45)*24*60</f>
        <v>0</v>
      </c>
      <c r="Q45" s="385"/>
      <c r="R45" s="385"/>
    </row>
    <row r="46" spans="1:18">
      <c r="A46" s="588"/>
      <c r="B46" s="373">
        <v>0</v>
      </c>
      <c r="C46" s="401"/>
      <c r="D46" s="426"/>
      <c r="E46" s="427"/>
      <c r="F46" s="377" t="s">
        <v>253</v>
      </c>
      <c r="G46" s="428"/>
      <c r="H46" s="429">
        <f t="shared" si="14"/>
        <v>0</v>
      </c>
      <c r="I46" s="430"/>
      <c r="J46" s="380"/>
      <c r="K46" s="381"/>
      <c r="L46" s="382"/>
      <c r="M46" s="383"/>
      <c r="N46" s="383"/>
      <c r="O46" s="372"/>
      <c r="P46" s="384">
        <f t="shared" si="15"/>
        <v>0</v>
      </c>
      <c r="Q46" s="385"/>
      <c r="R46" s="385"/>
    </row>
    <row r="47" spans="1:18">
      <c r="A47" s="588"/>
      <c r="B47" s="373">
        <v>0</v>
      </c>
      <c r="C47" s="401"/>
      <c r="D47" s="410"/>
      <c r="E47" s="413"/>
      <c r="F47" s="377" t="s">
        <v>253</v>
      </c>
      <c r="G47" s="370"/>
      <c r="H47" s="378">
        <f t="shared" si="14"/>
        <v>0</v>
      </c>
      <c r="I47" s="379"/>
      <c r="J47" s="380"/>
      <c r="K47" s="381"/>
      <c r="L47" s="382"/>
      <c r="M47" s="383"/>
      <c r="N47" s="383"/>
      <c r="O47" s="372"/>
      <c r="P47" s="384">
        <f t="shared" si="15"/>
        <v>0</v>
      </c>
      <c r="Q47" s="385"/>
      <c r="R47" s="385"/>
    </row>
    <row r="48" spans="1:18">
      <c r="A48" s="589"/>
      <c r="B48" s="373">
        <v>0</v>
      </c>
      <c r="C48" s="431"/>
      <c r="D48" s="591"/>
      <c r="E48" s="592"/>
      <c r="F48" s="377" t="s">
        <v>253</v>
      </c>
      <c r="G48" s="370"/>
      <c r="H48" s="378"/>
      <c r="I48" s="379"/>
      <c r="J48" s="380"/>
      <c r="K48" s="381"/>
      <c r="L48" s="382"/>
      <c r="M48" s="383"/>
      <c r="N48" s="383"/>
      <c r="O48" s="372"/>
      <c r="P48" s="384">
        <f t="shared" si="15"/>
        <v>0</v>
      </c>
      <c r="Q48" s="385"/>
      <c r="R48" s="385"/>
    </row>
    <row r="49" spans="1:18">
      <c r="A49" s="589"/>
      <c r="B49" s="373">
        <v>0</v>
      </c>
      <c r="C49" s="432"/>
      <c r="D49" s="433"/>
      <c r="E49" s="434"/>
      <c r="F49" s="377" t="s">
        <v>253</v>
      </c>
      <c r="G49" s="372"/>
      <c r="H49" s="429">
        <f>F49*G49</f>
        <v>0</v>
      </c>
      <c r="I49" s="384"/>
      <c r="J49" s="380"/>
      <c r="K49" s="381"/>
      <c r="L49" s="382"/>
      <c r="M49" s="383"/>
      <c r="N49" s="383"/>
      <c r="O49" s="372"/>
      <c r="P49" s="384">
        <f t="shared" si="15"/>
        <v>0</v>
      </c>
      <c r="Q49" s="385"/>
      <c r="R49" s="385"/>
    </row>
    <row r="50" spans="1:18">
      <c r="A50" s="589"/>
      <c r="B50" s="373">
        <v>0</v>
      </c>
      <c r="C50" s="432"/>
      <c r="D50" s="433"/>
      <c r="E50" s="434"/>
      <c r="F50" s="377" t="s">
        <v>253</v>
      </c>
      <c r="G50" s="372"/>
      <c r="H50" s="429">
        <f>F50*G50</f>
        <v>0</v>
      </c>
      <c r="I50" s="384"/>
      <c r="J50" s="380"/>
      <c r="K50" s="381"/>
      <c r="L50" s="382"/>
      <c r="M50" s="383"/>
      <c r="N50" s="383"/>
      <c r="O50" s="372"/>
      <c r="P50" s="384">
        <f t="shared" si="15"/>
        <v>0</v>
      </c>
      <c r="Q50" s="385"/>
      <c r="R50" s="385"/>
    </row>
    <row r="51" spans="1:18" ht="15.75" customHeight="1">
      <c r="A51" s="590"/>
      <c r="B51" s="373">
        <v>0</v>
      </c>
      <c r="C51" s="435" t="s">
        <v>51</v>
      </c>
      <c r="D51" s="583" t="s">
        <v>114</v>
      </c>
      <c r="E51" s="583"/>
      <c r="F51" s="392"/>
      <c r="G51" s="397"/>
      <c r="H51" s="436"/>
      <c r="I51" s="437"/>
      <c r="J51" s="396">
        <f>AVERAGE(J39:J50)</f>
        <v>4</v>
      </c>
      <c r="K51" s="396">
        <f>AVERAGE(K39:K50)</f>
        <v>2865.4567315298204</v>
      </c>
      <c r="L51" s="397">
        <f>AVERAGE(L39:L50)</f>
        <v>716.36418288245511</v>
      </c>
      <c r="M51" s="438"/>
      <c r="N51" s="383"/>
      <c r="O51" s="381"/>
      <c r="P51" s="381"/>
      <c r="Q51" s="382"/>
      <c r="R51" s="382"/>
    </row>
    <row r="52" spans="1:18" ht="15.65" customHeight="1">
      <c r="A52" s="593" t="s">
        <v>269</v>
      </c>
      <c r="B52" s="373">
        <v>0</v>
      </c>
      <c r="C52" s="398"/>
      <c r="D52" s="407"/>
      <c r="E52" s="439"/>
      <c r="F52" s="377" t="s">
        <v>253</v>
      </c>
      <c r="G52" s="370"/>
      <c r="H52" s="378">
        <f>F52*G52</f>
        <v>0</v>
      </c>
      <c r="I52" s="379"/>
      <c r="J52" s="380">
        <v>0</v>
      </c>
      <c r="K52" s="381">
        <v>0</v>
      </c>
      <c r="L52" s="382">
        <v>0</v>
      </c>
      <c r="M52" s="383"/>
      <c r="N52" s="383"/>
      <c r="O52" s="381"/>
      <c r="P52" s="384">
        <f>(N52-M52)*24*60</f>
        <v>0</v>
      </c>
      <c r="Q52" s="385"/>
      <c r="R52" s="385"/>
    </row>
    <row r="53" spans="1:18" ht="15.65" customHeight="1">
      <c r="A53" s="594"/>
      <c r="B53" s="373">
        <v>0</v>
      </c>
      <c r="C53" s="402"/>
      <c r="D53" s="440"/>
      <c r="E53" s="441"/>
      <c r="F53" s="377" t="s">
        <v>253</v>
      </c>
      <c r="G53" s="386"/>
      <c r="H53" s="378">
        <f t="shared" ref="H53:H62" si="16">F53*G53</f>
        <v>0</v>
      </c>
      <c r="I53" s="379"/>
      <c r="J53" s="380"/>
      <c r="K53" s="381"/>
      <c r="L53" s="382"/>
      <c r="M53" s="383"/>
      <c r="N53" s="383"/>
      <c r="O53" s="381"/>
      <c r="P53" s="384">
        <f t="shared" ref="P53:P63" si="17">(N53-M53)*24*60</f>
        <v>0</v>
      </c>
      <c r="Q53" s="385"/>
      <c r="R53" s="385"/>
    </row>
    <row r="54" spans="1:18" ht="15.65" customHeight="1">
      <c r="A54" s="594"/>
      <c r="B54" s="373">
        <v>0</v>
      </c>
      <c r="C54" s="402"/>
      <c r="D54" s="440"/>
      <c r="E54" s="404"/>
      <c r="F54" s="377" t="s">
        <v>253</v>
      </c>
      <c r="G54" s="386"/>
      <c r="H54" s="378">
        <f t="shared" si="16"/>
        <v>0</v>
      </c>
      <c r="I54" s="379"/>
      <c r="J54" s="380"/>
      <c r="K54" s="381"/>
      <c r="L54" s="382"/>
      <c r="M54" s="383"/>
      <c r="N54" s="383"/>
      <c r="O54" s="381"/>
      <c r="P54" s="384">
        <f t="shared" si="17"/>
        <v>0</v>
      </c>
      <c r="Q54" s="385"/>
      <c r="R54" s="385"/>
    </row>
    <row r="55" spans="1:18" ht="15.65" customHeight="1">
      <c r="A55" s="594"/>
      <c r="B55" s="373">
        <v>0</v>
      </c>
      <c r="C55" s="402"/>
      <c r="D55" s="407"/>
      <c r="E55" s="413"/>
      <c r="F55" s="377" t="s">
        <v>253</v>
      </c>
      <c r="G55" s="386"/>
      <c r="H55" s="378">
        <f t="shared" si="16"/>
        <v>0</v>
      </c>
      <c r="I55" s="379"/>
      <c r="J55" s="380"/>
      <c r="K55" s="381"/>
      <c r="L55" s="382"/>
      <c r="M55" s="383"/>
      <c r="N55" s="383"/>
      <c r="O55" s="381"/>
      <c r="P55" s="384">
        <f t="shared" si="17"/>
        <v>0</v>
      </c>
      <c r="Q55" s="385"/>
      <c r="R55" s="385"/>
    </row>
    <row r="56" spans="1:18" ht="15.65" customHeight="1">
      <c r="A56" s="594"/>
      <c r="B56" s="373">
        <v>0</v>
      </c>
      <c r="C56" s="442"/>
      <c r="D56" s="443"/>
      <c r="E56" s="413"/>
      <c r="F56" s="377" t="s">
        <v>253</v>
      </c>
      <c r="G56" s="386"/>
      <c r="H56" s="378">
        <f t="shared" si="16"/>
        <v>0</v>
      </c>
      <c r="I56" s="379"/>
      <c r="J56" s="380"/>
      <c r="K56" s="381"/>
      <c r="L56" s="382"/>
      <c r="M56" s="383"/>
      <c r="N56" s="383"/>
      <c r="O56" s="381"/>
      <c r="P56" s="384">
        <f t="shared" si="17"/>
        <v>0</v>
      </c>
      <c r="Q56" s="385"/>
      <c r="R56" s="385"/>
    </row>
    <row r="57" spans="1:18" ht="15.75" customHeight="1">
      <c r="A57" s="594"/>
      <c r="B57" s="373">
        <v>0</v>
      </c>
      <c r="C57" s="444" t="s">
        <v>62</v>
      </c>
      <c r="D57" s="445"/>
      <c r="E57" s="413"/>
      <c r="F57" s="377" t="s">
        <v>253</v>
      </c>
      <c r="G57" s="386"/>
      <c r="H57" s="378">
        <f t="shared" si="16"/>
        <v>0</v>
      </c>
      <c r="I57" s="379"/>
      <c r="J57" s="380"/>
      <c r="K57" s="381"/>
      <c r="L57" s="382"/>
      <c r="M57" s="383"/>
      <c r="N57" s="383"/>
      <c r="O57" s="381"/>
      <c r="P57" s="384">
        <f t="shared" si="17"/>
        <v>0</v>
      </c>
      <c r="Q57" s="385"/>
      <c r="R57" s="385"/>
    </row>
    <row r="58" spans="1:18" ht="15.65" customHeight="1">
      <c r="A58" s="594"/>
      <c r="B58" s="373">
        <v>0</v>
      </c>
      <c r="C58" s="446"/>
      <c r="D58" s="407"/>
      <c r="E58" s="413"/>
      <c r="F58" s="377" t="s">
        <v>253</v>
      </c>
      <c r="G58" s="447"/>
      <c r="H58" s="378">
        <f t="shared" si="16"/>
        <v>0</v>
      </c>
      <c r="I58" s="379"/>
      <c r="J58" s="380"/>
      <c r="K58" s="381"/>
      <c r="L58" s="382"/>
      <c r="M58" s="383"/>
      <c r="N58" s="383"/>
      <c r="O58" s="381"/>
      <c r="P58" s="384">
        <f t="shared" si="17"/>
        <v>0</v>
      </c>
      <c r="Q58" s="385"/>
      <c r="R58" s="385"/>
    </row>
    <row r="59" spans="1:18" ht="15.65" customHeight="1">
      <c r="A59" s="594"/>
      <c r="B59" s="373">
        <v>0</v>
      </c>
      <c r="C59" s="401"/>
      <c r="D59" s="443"/>
      <c r="E59" s="413"/>
      <c r="F59" s="377" t="s">
        <v>253</v>
      </c>
      <c r="G59" s="386"/>
      <c r="H59" s="378">
        <f t="shared" si="16"/>
        <v>0</v>
      </c>
      <c r="I59" s="379"/>
      <c r="J59" s="380"/>
      <c r="K59" s="381"/>
      <c r="L59" s="382"/>
      <c r="M59" s="383"/>
      <c r="N59" s="383"/>
      <c r="O59" s="381"/>
      <c r="P59" s="384">
        <f t="shared" si="17"/>
        <v>0</v>
      </c>
      <c r="Q59" s="385"/>
      <c r="R59" s="385"/>
    </row>
    <row r="60" spans="1:18" ht="15.65" customHeight="1">
      <c r="A60" s="594"/>
      <c r="B60" s="373">
        <v>0</v>
      </c>
      <c r="C60" s="402"/>
      <c r="D60" s="445"/>
      <c r="E60" s="448"/>
      <c r="F60" s="377" t="s">
        <v>253</v>
      </c>
      <c r="G60" s="386"/>
      <c r="H60" s="378">
        <f t="shared" si="16"/>
        <v>0</v>
      </c>
      <c r="I60" s="379"/>
      <c r="J60" s="380"/>
      <c r="K60" s="381"/>
      <c r="L60" s="382"/>
      <c r="M60" s="383"/>
      <c r="N60" s="383"/>
      <c r="O60" s="381"/>
      <c r="P60" s="384">
        <f t="shared" si="17"/>
        <v>0</v>
      </c>
      <c r="Q60" s="385"/>
      <c r="R60" s="385"/>
    </row>
    <row r="61" spans="1:18" ht="15.65" customHeight="1">
      <c r="A61" s="594"/>
      <c r="B61" s="373">
        <v>0</v>
      </c>
      <c r="C61" s="402"/>
      <c r="D61" s="440"/>
      <c r="E61" s="413"/>
      <c r="F61" s="377" t="s">
        <v>253</v>
      </c>
      <c r="G61" s="386"/>
      <c r="H61" s="378">
        <f t="shared" si="16"/>
        <v>0</v>
      </c>
      <c r="I61" s="379"/>
      <c r="J61" s="380"/>
      <c r="K61" s="381"/>
      <c r="L61" s="382"/>
      <c r="M61" s="383"/>
      <c r="N61" s="383"/>
      <c r="O61" s="381"/>
      <c r="P61" s="384">
        <f t="shared" si="17"/>
        <v>0</v>
      </c>
      <c r="Q61" s="385"/>
      <c r="R61" s="385"/>
    </row>
    <row r="62" spans="1:18" ht="15.65" customHeight="1">
      <c r="A62" s="594"/>
      <c r="B62" s="373">
        <v>0</v>
      </c>
      <c r="C62" s="402"/>
      <c r="D62" s="443"/>
      <c r="E62" s="449"/>
      <c r="F62" s="377" t="s">
        <v>253</v>
      </c>
      <c r="G62" s="386"/>
      <c r="H62" s="378">
        <f t="shared" si="16"/>
        <v>0</v>
      </c>
      <c r="I62" s="379"/>
      <c r="J62" s="380"/>
      <c r="K62" s="381"/>
      <c r="L62" s="382"/>
      <c r="M62" s="383"/>
      <c r="N62" s="383"/>
      <c r="O62" s="381"/>
      <c r="P62" s="384">
        <f t="shared" si="17"/>
        <v>0</v>
      </c>
      <c r="Q62" s="385"/>
      <c r="R62" s="385"/>
    </row>
    <row r="63" spans="1:18" ht="15.65" customHeight="1">
      <c r="A63" s="594"/>
      <c r="B63" s="373">
        <v>0</v>
      </c>
      <c r="C63" s="450"/>
      <c r="D63" s="451"/>
      <c r="E63" s="448"/>
      <c r="F63" s="377" t="s">
        <v>253</v>
      </c>
      <c r="G63" s="386"/>
      <c r="H63" s="378">
        <f t="shared" si="3"/>
        <v>0</v>
      </c>
      <c r="I63" s="430"/>
      <c r="J63" s="380"/>
      <c r="K63" s="381"/>
      <c r="L63" s="382"/>
      <c r="M63" s="383"/>
      <c r="N63" s="383"/>
      <c r="O63" s="372"/>
      <c r="P63" s="384">
        <f t="shared" si="17"/>
        <v>0</v>
      </c>
      <c r="Q63" s="385"/>
      <c r="R63" s="385"/>
    </row>
    <row r="64" spans="1:18" ht="15.75" customHeight="1">
      <c r="A64" s="595"/>
      <c r="B64" s="373">
        <v>0</v>
      </c>
      <c r="C64" s="452" t="s">
        <v>270</v>
      </c>
      <c r="D64" s="583" t="s">
        <v>114</v>
      </c>
      <c r="E64" s="583"/>
      <c r="F64" s="392"/>
      <c r="G64" s="397"/>
      <c r="H64" s="436"/>
      <c r="I64" s="437"/>
      <c r="J64" s="396">
        <f>AVERAGE(J52:J63)</f>
        <v>0</v>
      </c>
      <c r="K64" s="396">
        <f>AVERAGE(K52:K63)</f>
        <v>0</v>
      </c>
      <c r="L64" s="397">
        <f>AVERAGE(L52:L63)</f>
        <v>0</v>
      </c>
      <c r="M64" s="383"/>
      <c r="N64" s="383"/>
      <c r="O64" s="372"/>
      <c r="P64" s="372"/>
      <c r="Q64" s="372"/>
      <c r="R64" s="372"/>
    </row>
    <row r="65" spans="1:18" ht="15.65" customHeight="1">
      <c r="A65" s="580" t="s">
        <v>271</v>
      </c>
      <c r="B65" s="373" t="s">
        <v>250</v>
      </c>
      <c r="C65" s="398"/>
      <c r="D65" s="407" t="s">
        <v>308</v>
      </c>
      <c r="E65" s="439"/>
      <c r="F65" s="377">
        <v>25.03</v>
      </c>
      <c r="G65" s="370">
        <v>621</v>
      </c>
      <c r="H65" s="378">
        <f>F65*G65</f>
        <v>15543.630000000001</v>
      </c>
      <c r="I65" s="379"/>
      <c r="J65" s="380">
        <v>4</v>
      </c>
      <c r="K65" s="381">
        <f t="shared" ref="K65:K70" si="18">G65/P65*60</f>
        <v>3387.272727272727</v>
      </c>
      <c r="L65" s="382">
        <f t="shared" ref="L65:L70" si="19">K65/J65</f>
        <v>846.81818181818176</v>
      </c>
      <c r="M65" s="383">
        <v>0.18055555555555555</v>
      </c>
      <c r="N65" s="383">
        <v>0.18819444444444444</v>
      </c>
      <c r="O65" s="381">
        <v>20</v>
      </c>
      <c r="P65" s="384">
        <f>(N65-M65)*24*60</f>
        <v>11</v>
      </c>
      <c r="Q65" s="385"/>
      <c r="R65" s="385"/>
    </row>
    <row r="66" spans="1:18" ht="15.65" customHeight="1">
      <c r="A66" s="581"/>
      <c r="B66" s="373" t="s">
        <v>250</v>
      </c>
      <c r="C66" s="402"/>
      <c r="D66" s="440" t="s">
        <v>309</v>
      </c>
      <c r="E66" s="441"/>
      <c r="F66" s="377">
        <v>24.82</v>
      </c>
      <c r="G66" s="386">
        <v>824</v>
      </c>
      <c r="H66" s="378">
        <f t="shared" ref="H66:H74" si="20">F66*G66</f>
        <v>20451.68</v>
      </c>
      <c r="I66" s="379"/>
      <c r="J66" s="380">
        <v>4</v>
      </c>
      <c r="K66" s="381">
        <f t="shared" si="18"/>
        <v>3295.9999999999941</v>
      </c>
      <c r="L66" s="382">
        <f t="shared" si="19"/>
        <v>823.99999999999852</v>
      </c>
      <c r="M66" s="383">
        <v>0.20208333333333331</v>
      </c>
      <c r="N66" s="383">
        <v>0.21249999999999999</v>
      </c>
      <c r="O66" s="381">
        <v>20</v>
      </c>
      <c r="P66" s="384">
        <f t="shared" ref="P66:P74" si="21">(N66-M66)*24*60</f>
        <v>15.000000000000027</v>
      </c>
      <c r="Q66" s="385"/>
      <c r="R66" s="385"/>
    </row>
    <row r="67" spans="1:18" ht="15.65" customHeight="1">
      <c r="A67" s="581"/>
      <c r="B67" s="373" t="s">
        <v>250</v>
      </c>
      <c r="C67" s="402"/>
      <c r="D67" s="440" t="s">
        <v>310</v>
      </c>
      <c r="E67" s="404"/>
      <c r="F67" s="377">
        <v>25.45</v>
      </c>
      <c r="G67" s="386">
        <v>285</v>
      </c>
      <c r="H67" s="378">
        <f t="shared" si="20"/>
        <v>7253.25</v>
      </c>
      <c r="I67" s="379"/>
      <c r="J67" s="380">
        <v>4</v>
      </c>
      <c r="K67" s="381">
        <f t="shared" si="18"/>
        <v>3420.0000000000118</v>
      </c>
      <c r="L67" s="382">
        <f t="shared" si="19"/>
        <v>855.00000000000296</v>
      </c>
      <c r="M67" s="383">
        <v>0.22638888888888889</v>
      </c>
      <c r="N67" s="383">
        <v>0.2298611111111111</v>
      </c>
      <c r="O67" s="381">
        <v>20</v>
      </c>
      <c r="P67" s="384">
        <f t="shared" si="21"/>
        <v>4.9999999999999822</v>
      </c>
      <c r="Q67" s="385"/>
      <c r="R67" s="385"/>
    </row>
    <row r="68" spans="1:18" ht="15.65" customHeight="1">
      <c r="A68" s="581"/>
      <c r="B68" s="373" t="s">
        <v>250</v>
      </c>
      <c r="C68" s="402"/>
      <c r="D68" s="407" t="s">
        <v>311</v>
      </c>
      <c r="E68" s="413"/>
      <c r="F68" s="377">
        <v>30</v>
      </c>
      <c r="G68" s="386">
        <v>1336</v>
      </c>
      <c r="H68" s="378">
        <f t="shared" si="20"/>
        <v>40080</v>
      </c>
      <c r="I68" s="379"/>
      <c r="J68" s="380">
        <v>4</v>
      </c>
      <c r="K68" s="381">
        <f t="shared" si="18"/>
        <v>3206.399999999996</v>
      </c>
      <c r="L68" s="382">
        <f t="shared" si="19"/>
        <v>801.599999999999</v>
      </c>
      <c r="M68" s="383">
        <v>0.24374999999999999</v>
      </c>
      <c r="N68" s="383">
        <v>0.26111111111111113</v>
      </c>
      <c r="O68" s="381">
        <v>20</v>
      </c>
      <c r="P68" s="384">
        <f t="shared" si="21"/>
        <v>25.000000000000032</v>
      </c>
      <c r="Q68" s="385"/>
      <c r="R68" s="385"/>
    </row>
    <row r="69" spans="1:18" ht="15.65" customHeight="1">
      <c r="A69" s="581"/>
      <c r="B69" s="373" t="s">
        <v>250</v>
      </c>
      <c r="C69" s="442"/>
      <c r="D69" s="443" t="s">
        <v>272</v>
      </c>
      <c r="E69" s="413"/>
      <c r="F69" s="377">
        <v>14.285714285714283</v>
      </c>
      <c r="G69" s="386">
        <v>3094</v>
      </c>
      <c r="H69" s="378">
        <f t="shared" si="20"/>
        <v>44199.999999999993</v>
      </c>
      <c r="I69" s="379"/>
      <c r="J69" s="380">
        <v>3</v>
      </c>
      <c r="K69" s="381">
        <f t="shared" si="18"/>
        <v>3256.8421052631556</v>
      </c>
      <c r="L69" s="382">
        <f t="shared" si="19"/>
        <v>1085.6140350877185</v>
      </c>
      <c r="M69" s="383">
        <v>0.27499999999999997</v>
      </c>
      <c r="N69" s="383">
        <v>0.31458333333333333</v>
      </c>
      <c r="O69" s="381">
        <v>20</v>
      </c>
      <c r="P69" s="384">
        <f t="shared" si="21"/>
        <v>57.000000000000036</v>
      </c>
      <c r="Q69" s="385">
        <v>0.31458333333333333</v>
      </c>
      <c r="R69" s="385">
        <v>0.35625000000000001</v>
      </c>
    </row>
    <row r="70" spans="1:18" ht="15.75" customHeight="1">
      <c r="A70" s="581"/>
      <c r="B70" s="373" t="s">
        <v>250</v>
      </c>
      <c r="C70" s="444" t="s">
        <v>62</v>
      </c>
      <c r="D70" s="445" t="s">
        <v>312</v>
      </c>
      <c r="E70" s="413"/>
      <c r="F70" s="377">
        <v>14.03</v>
      </c>
      <c r="G70" s="386">
        <v>2227</v>
      </c>
      <c r="H70" s="378">
        <f t="shared" si="20"/>
        <v>31244.809999999998</v>
      </c>
      <c r="I70" s="379"/>
      <c r="J70" s="380">
        <v>3</v>
      </c>
      <c r="K70" s="381">
        <f t="shared" si="18"/>
        <v>3181.4285714285643</v>
      </c>
      <c r="L70" s="382">
        <f t="shared" si="19"/>
        <v>1060.4761904761881</v>
      </c>
      <c r="M70" s="383">
        <v>0.37013888888888885</v>
      </c>
      <c r="N70" s="383">
        <v>0.39930555555555558</v>
      </c>
      <c r="O70" s="381">
        <v>20</v>
      </c>
      <c r="P70" s="384">
        <f t="shared" si="21"/>
        <v>42.000000000000092</v>
      </c>
      <c r="Q70" s="385"/>
      <c r="R70" s="385"/>
    </row>
    <row r="71" spans="1:18" ht="15.65" customHeight="1">
      <c r="A71" s="581"/>
      <c r="B71" s="373">
        <v>0</v>
      </c>
      <c r="C71" s="446"/>
      <c r="D71" s="407"/>
      <c r="E71" s="413"/>
      <c r="F71" s="377" t="s">
        <v>253</v>
      </c>
      <c r="G71" s="447"/>
      <c r="H71" s="378">
        <f t="shared" si="20"/>
        <v>0</v>
      </c>
      <c r="I71" s="379"/>
      <c r="J71" s="380"/>
      <c r="K71" s="381"/>
      <c r="L71" s="382"/>
      <c r="M71" s="383"/>
      <c r="N71" s="383"/>
      <c r="O71" s="381"/>
      <c r="P71" s="384">
        <f t="shared" si="21"/>
        <v>0</v>
      </c>
      <c r="Q71" s="385"/>
      <c r="R71" s="385"/>
    </row>
    <row r="72" spans="1:18" ht="15.65" customHeight="1">
      <c r="A72" s="581"/>
      <c r="B72" s="373">
        <v>0</v>
      </c>
      <c r="C72" s="401"/>
      <c r="D72" s="443"/>
      <c r="E72" s="413"/>
      <c r="F72" s="377" t="s">
        <v>253</v>
      </c>
      <c r="G72" s="386"/>
      <c r="H72" s="378">
        <f t="shared" si="20"/>
        <v>0</v>
      </c>
      <c r="I72" s="379"/>
      <c r="J72" s="380"/>
      <c r="K72" s="381"/>
      <c r="L72" s="382"/>
      <c r="M72" s="383"/>
      <c r="N72" s="383"/>
      <c r="O72" s="381"/>
      <c r="P72" s="384">
        <f t="shared" si="21"/>
        <v>0</v>
      </c>
      <c r="Q72" s="385"/>
      <c r="R72" s="385"/>
    </row>
    <row r="73" spans="1:18" ht="15.65" customHeight="1">
      <c r="A73" s="581"/>
      <c r="B73" s="373">
        <v>0</v>
      </c>
      <c r="C73" s="402"/>
      <c r="D73" s="443"/>
      <c r="E73" s="413"/>
      <c r="F73" s="377" t="s">
        <v>253</v>
      </c>
      <c r="G73" s="386"/>
      <c r="H73" s="378">
        <f t="shared" si="20"/>
        <v>0</v>
      </c>
      <c r="I73" s="379"/>
      <c r="J73" s="380"/>
      <c r="K73" s="381"/>
      <c r="L73" s="382"/>
      <c r="M73" s="383"/>
      <c r="N73" s="383"/>
      <c r="O73" s="381"/>
      <c r="P73" s="384">
        <f t="shared" si="21"/>
        <v>0</v>
      </c>
      <c r="Q73" s="385"/>
      <c r="R73" s="385"/>
    </row>
    <row r="74" spans="1:18" ht="15.65" customHeight="1">
      <c r="A74" s="581"/>
      <c r="B74" s="373">
        <v>0</v>
      </c>
      <c r="C74" s="402"/>
      <c r="D74" s="443"/>
      <c r="E74" s="413"/>
      <c r="F74" s="377" t="s">
        <v>253</v>
      </c>
      <c r="G74" s="386"/>
      <c r="H74" s="378">
        <f t="shared" si="20"/>
        <v>0</v>
      </c>
      <c r="I74" s="379"/>
      <c r="J74" s="380"/>
      <c r="K74" s="381"/>
      <c r="L74" s="382"/>
      <c r="M74" s="383"/>
      <c r="N74" s="383"/>
      <c r="O74" s="381"/>
      <c r="P74" s="384">
        <f t="shared" si="21"/>
        <v>0</v>
      </c>
      <c r="Q74" s="385"/>
      <c r="R74" s="385"/>
    </row>
    <row r="75" spans="1:18" ht="15.75" customHeight="1">
      <c r="A75" s="582"/>
      <c r="B75" s="373">
        <v>0</v>
      </c>
      <c r="C75" s="452" t="s">
        <v>273</v>
      </c>
      <c r="D75" s="583" t="s">
        <v>114</v>
      </c>
      <c r="E75" s="583"/>
      <c r="F75" s="392"/>
      <c r="G75" s="397"/>
      <c r="H75" s="436"/>
      <c r="I75" s="437"/>
      <c r="J75" s="396">
        <f>AVERAGE(J65:J74)</f>
        <v>3.6666666666666665</v>
      </c>
      <c r="K75" s="396">
        <f>AVERAGE(K65:K74)</f>
        <v>3291.3239006607414</v>
      </c>
      <c r="L75" s="397">
        <f>AVERAGE(L65:L74)</f>
        <v>912.25140123034805</v>
      </c>
      <c r="M75" s="383"/>
      <c r="N75" s="383"/>
      <c r="O75" s="372"/>
      <c r="P75" s="372"/>
      <c r="Q75" s="372"/>
      <c r="R75" s="372"/>
    </row>
    <row r="76" spans="1:18" ht="16.25" customHeight="1">
      <c r="A76" s="584" t="s">
        <v>274</v>
      </c>
      <c r="B76" s="373">
        <v>0</v>
      </c>
      <c r="C76" s="453"/>
      <c r="D76" s="566"/>
      <c r="E76" s="567"/>
      <c r="F76" s="377" t="s">
        <v>253</v>
      </c>
      <c r="G76" s="454"/>
      <c r="H76" s="399">
        <f t="shared" si="3"/>
        <v>0</v>
      </c>
      <c r="I76" s="400"/>
      <c r="J76" s="380">
        <v>0</v>
      </c>
      <c r="K76" s="381">
        <v>0</v>
      </c>
      <c r="L76" s="382">
        <v>0</v>
      </c>
      <c r="M76" s="383"/>
      <c r="N76" s="383"/>
      <c r="O76" s="372"/>
      <c r="P76" s="384">
        <f t="shared" si="2"/>
        <v>0</v>
      </c>
      <c r="Q76" s="385"/>
      <c r="R76" s="385"/>
    </row>
    <row r="77" spans="1:18">
      <c r="A77" s="584"/>
      <c r="B77" s="373">
        <v>0</v>
      </c>
      <c r="C77" s="455"/>
      <c r="D77" s="566"/>
      <c r="E77" s="567"/>
      <c r="F77" s="377" t="s">
        <v>253</v>
      </c>
      <c r="G77" s="370"/>
      <c r="H77" s="378">
        <f t="shared" si="3"/>
        <v>0</v>
      </c>
      <c r="I77" s="379"/>
      <c r="J77" s="380"/>
      <c r="K77" s="381"/>
      <c r="L77" s="382"/>
      <c r="M77" s="383"/>
      <c r="N77" s="383"/>
      <c r="O77" s="372"/>
      <c r="P77" s="384">
        <f t="shared" si="2"/>
        <v>0</v>
      </c>
      <c r="Q77" s="372"/>
      <c r="R77" s="372"/>
    </row>
    <row r="78" spans="1:18">
      <c r="A78" s="584"/>
      <c r="B78" s="373">
        <v>0</v>
      </c>
      <c r="C78" s="456"/>
      <c r="D78" s="457"/>
      <c r="E78" s="457"/>
      <c r="F78" s="377" t="s">
        <v>253</v>
      </c>
      <c r="G78" s="417"/>
      <c r="H78" s="378">
        <f t="shared" si="3"/>
        <v>0</v>
      </c>
      <c r="I78" s="379"/>
      <c r="J78" s="380"/>
      <c r="K78" s="381"/>
      <c r="L78" s="382"/>
      <c r="M78" s="383"/>
      <c r="N78" s="383"/>
      <c r="O78" s="372"/>
      <c r="P78" s="384">
        <f t="shared" si="2"/>
        <v>0</v>
      </c>
      <c r="Q78" s="372"/>
      <c r="R78" s="372"/>
    </row>
    <row r="79" spans="1:18">
      <c r="A79" s="584"/>
      <c r="B79" s="373">
        <v>0</v>
      </c>
      <c r="C79" s="456"/>
      <c r="D79" s="457"/>
      <c r="E79" s="457"/>
      <c r="F79" s="377" t="s">
        <v>253</v>
      </c>
      <c r="G79" s="417"/>
      <c r="H79" s="378">
        <f t="shared" si="3"/>
        <v>0</v>
      </c>
      <c r="I79" s="379"/>
      <c r="J79" s="380"/>
      <c r="K79" s="381"/>
      <c r="L79" s="382"/>
      <c r="M79" s="383"/>
      <c r="N79" s="383"/>
      <c r="O79" s="372"/>
      <c r="P79" s="384">
        <f t="shared" si="2"/>
        <v>0</v>
      </c>
      <c r="Q79" s="372"/>
      <c r="R79" s="372"/>
    </row>
    <row r="80" spans="1:18">
      <c r="A80" s="584"/>
      <c r="B80" s="373">
        <v>0</v>
      </c>
      <c r="C80" s="456"/>
      <c r="D80" s="457"/>
      <c r="E80" s="457"/>
      <c r="F80" s="377" t="s">
        <v>253</v>
      </c>
      <c r="G80" s="417"/>
      <c r="H80" s="378">
        <f t="shared" si="3"/>
        <v>0</v>
      </c>
      <c r="I80" s="379"/>
      <c r="J80" s="380"/>
      <c r="K80" s="381"/>
      <c r="L80" s="382"/>
      <c r="M80" s="383"/>
      <c r="N80" s="383"/>
      <c r="O80" s="372"/>
      <c r="P80" s="384">
        <f t="shared" si="2"/>
        <v>0</v>
      </c>
      <c r="Q80" s="372"/>
      <c r="R80" s="372"/>
    </row>
    <row r="81" spans="1:18" ht="15.75" customHeight="1">
      <c r="A81" s="584"/>
      <c r="B81" s="373">
        <v>0</v>
      </c>
      <c r="C81" s="444" t="s">
        <v>62</v>
      </c>
      <c r="D81" s="578" t="s">
        <v>114</v>
      </c>
      <c r="E81" s="578"/>
      <c r="F81" s="392"/>
      <c r="G81" s="458"/>
      <c r="H81" s="394"/>
      <c r="I81" s="395"/>
      <c r="J81" s="396">
        <f>AVERAGE(J76:J80)</f>
        <v>0</v>
      </c>
      <c r="K81" s="396">
        <f>AVERAGE(K76:K80)</f>
        <v>0</v>
      </c>
      <c r="L81" s="397">
        <f>AVERAGE(L76:L80)</f>
        <v>0</v>
      </c>
      <c r="M81" s="383"/>
      <c r="N81" s="383"/>
      <c r="O81" s="372"/>
      <c r="P81" s="372"/>
      <c r="Q81" s="372"/>
      <c r="R81" s="372"/>
    </row>
    <row r="82" spans="1:18" ht="15.65" customHeight="1">
      <c r="A82" s="569" t="s">
        <v>275</v>
      </c>
      <c r="B82" s="373" t="s">
        <v>250</v>
      </c>
      <c r="C82" s="460"/>
      <c r="D82" s="407" t="s">
        <v>313</v>
      </c>
      <c r="E82" s="421"/>
      <c r="F82" s="377">
        <v>18.18</v>
      </c>
      <c r="G82" s="417">
        <v>1138</v>
      </c>
      <c r="H82" s="459">
        <f t="shared" ref="H82:H86" si="22">F82*G82</f>
        <v>20688.84</v>
      </c>
      <c r="I82" s="379"/>
      <c r="J82" s="380">
        <v>3</v>
      </c>
      <c r="K82" s="381">
        <f t="shared" ref="K82:K86" si="23">G82/P82*60</f>
        <v>2731.1999999999921</v>
      </c>
      <c r="L82" s="382">
        <f t="shared" ref="L82:L86" si="24">K82/J82</f>
        <v>910.39999999999736</v>
      </c>
      <c r="M82" s="383">
        <v>0.72222222222222221</v>
      </c>
      <c r="N82" s="383">
        <v>0.73958333333333337</v>
      </c>
      <c r="O82" s="381">
        <v>20</v>
      </c>
      <c r="P82" s="384">
        <f>(N82-M82)*24*60</f>
        <v>25.000000000000071</v>
      </c>
      <c r="Q82" s="385"/>
      <c r="R82" s="385"/>
    </row>
    <row r="83" spans="1:18">
      <c r="A83" s="570"/>
      <c r="B83" s="373" t="s">
        <v>250</v>
      </c>
      <c r="C83" s="460"/>
      <c r="D83" s="407" t="s">
        <v>314</v>
      </c>
      <c r="E83" s="421"/>
      <c r="F83" s="377">
        <v>18.18</v>
      </c>
      <c r="G83" s="417">
        <v>402</v>
      </c>
      <c r="H83" s="459">
        <f t="shared" si="22"/>
        <v>7308.36</v>
      </c>
      <c r="I83" s="379"/>
      <c r="J83" s="380">
        <v>4</v>
      </c>
      <c r="K83" s="381">
        <f t="shared" si="23"/>
        <v>2412.0000000000086</v>
      </c>
      <c r="L83" s="382">
        <f t="shared" si="24"/>
        <v>603.00000000000216</v>
      </c>
      <c r="M83" s="383">
        <v>0.75347222222222221</v>
      </c>
      <c r="N83" s="383">
        <v>0.76041666666666663</v>
      </c>
      <c r="O83" s="381">
        <v>20</v>
      </c>
      <c r="P83" s="384">
        <f>(N83-M83)*24*60</f>
        <v>9.9999999999999645</v>
      </c>
      <c r="Q83" s="385"/>
      <c r="R83" s="385"/>
    </row>
    <row r="84" spans="1:18">
      <c r="A84" s="570"/>
      <c r="B84" s="373" t="s">
        <v>250</v>
      </c>
      <c r="C84" s="460"/>
      <c r="D84" s="407" t="s">
        <v>276</v>
      </c>
      <c r="E84" s="421"/>
      <c r="F84" s="377">
        <v>16.66</v>
      </c>
      <c r="G84" s="417">
        <v>4964</v>
      </c>
      <c r="H84" s="461">
        <f t="shared" si="22"/>
        <v>82700.240000000005</v>
      </c>
      <c r="I84" s="379"/>
      <c r="J84" s="380">
        <v>4</v>
      </c>
      <c r="K84" s="381">
        <f t="shared" si="23"/>
        <v>2707.6363636363576</v>
      </c>
      <c r="L84" s="382">
        <f t="shared" si="24"/>
        <v>676.9090909090894</v>
      </c>
      <c r="M84" s="383">
        <v>0.77430555555555547</v>
      </c>
      <c r="N84" s="383">
        <v>0.85069444444444453</v>
      </c>
      <c r="O84" s="381">
        <v>20</v>
      </c>
      <c r="P84" s="423">
        <f t="shared" ref="P84:P85" si="25">(N84-M84)*24*60</f>
        <v>110.00000000000026</v>
      </c>
      <c r="Q84" s="385">
        <v>0.85069444444444453</v>
      </c>
      <c r="R84" s="385">
        <v>0.89236111111111116</v>
      </c>
    </row>
    <row r="85" spans="1:18">
      <c r="A85" s="570"/>
      <c r="B85" s="373" t="s">
        <v>250</v>
      </c>
      <c r="C85" s="460"/>
      <c r="D85" s="407" t="s">
        <v>277</v>
      </c>
      <c r="E85" s="421"/>
      <c r="F85" s="377">
        <v>22.281818181818181</v>
      </c>
      <c r="G85" s="417">
        <v>968</v>
      </c>
      <c r="H85" s="461">
        <f t="shared" si="22"/>
        <v>21568.799999999999</v>
      </c>
      <c r="I85" s="379"/>
      <c r="J85" s="380">
        <v>4</v>
      </c>
      <c r="K85" s="381">
        <f t="shared" si="23"/>
        <v>2904.00000000001</v>
      </c>
      <c r="L85" s="382">
        <f t="shared" si="24"/>
        <v>726.0000000000025</v>
      </c>
      <c r="M85" s="383">
        <v>0.90625</v>
      </c>
      <c r="N85" s="383">
        <v>0.92013888888888884</v>
      </c>
      <c r="O85" s="381">
        <v>20</v>
      </c>
      <c r="P85" s="423">
        <f t="shared" si="25"/>
        <v>19.999999999999929</v>
      </c>
      <c r="Q85" s="372"/>
      <c r="R85" s="372"/>
    </row>
    <row r="86" spans="1:18">
      <c r="A86" s="570"/>
      <c r="B86" s="373">
        <v>0</v>
      </c>
      <c r="C86" s="409"/>
      <c r="D86" s="407" t="s">
        <v>278</v>
      </c>
      <c r="E86" s="421"/>
      <c r="F86" s="377">
        <v>17.890909090909091</v>
      </c>
      <c r="G86" s="370">
        <v>3482</v>
      </c>
      <c r="H86" s="461">
        <f t="shared" si="22"/>
        <v>62296.145454545454</v>
      </c>
      <c r="I86" s="379"/>
      <c r="J86" s="380">
        <v>3</v>
      </c>
      <c r="K86" s="381">
        <f t="shared" si="23"/>
        <v>2785.5999999999981</v>
      </c>
      <c r="L86" s="382">
        <f t="shared" si="24"/>
        <v>928.53333333333273</v>
      </c>
      <c r="M86" s="383">
        <v>0.93402777777777779</v>
      </c>
      <c r="N86" s="463">
        <v>0.98611111111111116</v>
      </c>
      <c r="O86" s="372">
        <v>20</v>
      </c>
      <c r="P86" s="423">
        <f>(N86-M86)*24*60</f>
        <v>75.000000000000057</v>
      </c>
      <c r="Q86" s="372"/>
      <c r="R86" s="372"/>
    </row>
    <row r="87" spans="1:18">
      <c r="A87" s="570"/>
      <c r="B87" s="373">
        <v>0</v>
      </c>
      <c r="C87" s="409"/>
      <c r="D87" s="407"/>
      <c r="E87" s="421"/>
      <c r="F87" s="377"/>
      <c r="G87" s="370"/>
      <c r="H87" s="461"/>
      <c r="I87" s="379"/>
      <c r="J87" s="380"/>
      <c r="K87" s="381"/>
      <c r="L87" s="382"/>
      <c r="M87" s="383"/>
      <c r="N87" s="463"/>
      <c r="O87" s="372"/>
      <c r="P87" s="423"/>
      <c r="Q87" s="372"/>
      <c r="R87" s="372"/>
    </row>
    <row r="88" spans="1:18">
      <c r="A88" s="570"/>
      <c r="B88" s="373">
        <v>0</v>
      </c>
      <c r="C88" s="409"/>
      <c r="D88" s="407"/>
      <c r="E88" s="421"/>
      <c r="F88" s="377" t="s">
        <v>253</v>
      </c>
      <c r="G88" s="370"/>
      <c r="H88" s="461">
        <f t="shared" ref="H88:H90" si="26">F88*G88</f>
        <v>0</v>
      </c>
      <c r="I88" s="379"/>
      <c r="J88" s="380"/>
      <c r="K88" s="381"/>
      <c r="L88" s="382"/>
      <c r="M88" s="383"/>
      <c r="N88" s="463"/>
      <c r="O88" s="372"/>
      <c r="P88" s="423">
        <f t="shared" ref="P88:P90" si="27">(N88-M88)*24*60</f>
        <v>0</v>
      </c>
      <c r="Q88" s="372"/>
      <c r="R88" s="372"/>
    </row>
    <row r="89" spans="1:18">
      <c r="A89" s="570"/>
      <c r="B89" s="373">
        <v>0</v>
      </c>
      <c r="C89" s="409"/>
      <c r="D89" s="407"/>
      <c r="E89" s="421"/>
      <c r="F89" s="377" t="s">
        <v>253</v>
      </c>
      <c r="G89" s="370"/>
      <c r="H89" s="461">
        <f t="shared" si="26"/>
        <v>0</v>
      </c>
      <c r="I89" s="379"/>
      <c r="J89" s="380"/>
      <c r="K89" s="381"/>
      <c r="L89" s="382"/>
      <c r="M89" s="383"/>
      <c r="N89" s="463"/>
      <c r="O89" s="372"/>
      <c r="P89" s="423">
        <f t="shared" si="27"/>
        <v>0</v>
      </c>
      <c r="Q89" s="372"/>
      <c r="R89" s="372"/>
    </row>
    <row r="90" spans="1:18">
      <c r="A90" s="570"/>
      <c r="B90" s="373">
        <v>0</v>
      </c>
      <c r="C90" s="409"/>
      <c r="D90" s="407"/>
      <c r="E90" s="421"/>
      <c r="F90" s="377" t="s">
        <v>253</v>
      </c>
      <c r="G90" s="370"/>
      <c r="H90" s="461">
        <f t="shared" si="26"/>
        <v>0</v>
      </c>
      <c r="I90" s="379"/>
      <c r="J90" s="380"/>
      <c r="K90" s="381"/>
      <c r="L90" s="382"/>
      <c r="M90" s="383"/>
      <c r="N90" s="463"/>
      <c r="O90" s="372"/>
      <c r="P90" s="423">
        <f t="shared" si="27"/>
        <v>0</v>
      </c>
      <c r="Q90" s="372"/>
      <c r="R90" s="372"/>
    </row>
    <row r="91" spans="1:18" ht="17.399999999999999" customHeight="1">
      <c r="A91" s="570"/>
      <c r="B91" s="373">
        <v>0</v>
      </c>
      <c r="C91" s="12" t="s">
        <v>262</v>
      </c>
      <c r="D91" s="571" t="s">
        <v>114</v>
      </c>
      <c r="E91" s="571"/>
      <c r="F91" s="392"/>
      <c r="G91" s="464"/>
      <c r="H91" s="465"/>
      <c r="I91" s="395"/>
      <c r="J91" s="396">
        <f>AVERAGE(J82:J90)</f>
        <v>3.6</v>
      </c>
      <c r="K91" s="396">
        <f>AVERAGE(K82:K90)</f>
        <v>2708.0872727272736</v>
      </c>
      <c r="L91" s="397">
        <f>AVERAGE(L82:L90)</f>
        <v>768.96848484848488</v>
      </c>
      <c r="M91" s="383"/>
      <c r="N91" s="383"/>
      <c r="O91" s="381"/>
      <c r="P91" s="381"/>
      <c r="Q91" s="382"/>
      <c r="R91" s="382"/>
    </row>
    <row r="92" spans="1:18" ht="16.25" customHeight="1">
      <c r="A92" s="572" t="s">
        <v>279</v>
      </c>
      <c r="B92" s="373" t="s">
        <v>250</v>
      </c>
      <c r="C92" s="466"/>
      <c r="D92" s="443" t="s">
        <v>315</v>
      </c>
      <c r="E92" s="424"/>
      <c r="F92" s="377">
        <v>24.54</v>
      </c>
      <c r="G92" s="370">
        <v>2160</v>
      </c>
      <c r="H92" s="378">
        <f t="shared" ref="H92" si="28">F92*G92</f>
        <v>53006.400000000001</v>
      </c>
      <c r="I92" s="379"/>
      <c r="J92" s="380">
        <v>3</v>
      </c>
      <c r="K92" s="381">
        <f t="shared" ref="K92:K95" si="29">G92/P92*60</f>
        <v>2160.0000000000023</v>
      </c>
      <c r="L92" s="382">
        <f t="shared" ref="L92:L95" si="30">K92/J92</f>
        <v>720.0000000000008</v>
      </c>
      <c r="M92" s="383">
        <v>0.72222222222222221</v>
      </c>
      <c r="N92" s="383">
        <v>0.76388888888888884</v>
      </c>
      <c r="O92" s="372">
        <v>20</v>
      </c>
      <c r="P92" s="384">
        <f>(N92-M92)*24*60</f>
        <v>59.999999999999943</v>
      </c>
      <c r="Q92" s="385"/>
      <c r="R92" s="385"/>
    </row>
    <row r="93" spans="1:18">
      <c r="A93" s="573"/>
      <c r="B93" s="373" t="s">
        <v>250</v>
      </c>
      <c r="C93" s="466"/>
      <c r="D93" s="407" t="s">
        <v>316</v>
      </c>
      <c r="E93" s="421"/>
      <c r="F93" s="377">
        <v>22.48</v>
      </c>
      <c r="G93" s="370">
        <v>1994</v>
      </c>
      <c r="H93" s="378">
        <f>F93*G93</f>
        <v>44825.120000000003</v>
      </c>
      <c r="I93" s="379"/>
      <c r="J93" s="380">
        <v>4</v>
      </c>
      <c r="K93" s="381">
        <f t="shared" si="29"/>
        <v>2175.2727272727288</v>
      </c>
      <c r="L93" s="382">
        <f t="shared" si="30"/>
        <v>543.81818181818221</v>
      </c>
      <c r="M93" s="383">
        <v>0.77777777777777779</v>
      </c>
      <c r="N93" s="383">
        <v>0.81597222222222221</v>
      </c>
      <c r="O93" s="372">
        <v>20</v>
      </c>
      <c r="P93" s="384">
        <f>(N93-M93)*24*60</f>
        <v>54.999999999999964</v>
      </c>
      <c r="Q93" s="385"/>
      <c r="R93" s="385"/>
    </row>
    <row r="94" spans="1:18">
      <c r="A94" s="573"/>
      <c r="B94" s="373" t="s">
        <v>250</v>
      </c>
      <c r="C94" s="391"/>
      <c r="D94" s="443" t="s">
        <v>317</v>
      </c>
      <c r="E94" s="421"/>
      <c r="F94" s="377">
        <v>16.7</v>
      </c>
      <c r="G94" s="386">
        <v>1366</v>
      </c>
      <c r="H94" s="378">
        <f>F94*G94</f>
        <v>22812.2</v>
      </c>
      <c r="I94" s="379"/>
      <c r="J94" s="380">
        <v>3</v>
      </c>
      <c r="K94" s="381">
        <f t="shared" si="29"/>
        <v>2731.999999999995</v>
      </c>
      <c r="L94" s="382">
        <f t="shared" si="30"/>
        <v>910.66666666666504</v>
      </c>
      <c r="M94" s="383">
        <v>0.82986111111111116</v>
      </c>
      <c r="N94" s="383">
        <v>0.85069444444444453</v>
      </c>
      <c r="O94" s="372">
        <v>20</v>
      </c>
      <c r="P94" s="384">
        <f>(N94-M94)*24*60</f>
        <v>30.000000000000053</v>
      </c>
      <c r="Q94" s="385"/>
      <c r="R94" s="385"/>
    </row>
    <row r="95" spans="1:18">
      <c r="A95" s="574"/>
      <c r="B95" s="373" t="s">
        <v>250</v>
      </c>
      <c r="C95" s="391"/>
      <c r="D95" s="443" t="s">
        <v>318</v>
      </c>
      <c r="E95" s="448"/>
      <c r="F95" s="377">
        <v>28.57</v>
      </c>
      <c r="G95" s="386">
        <v>2797</v>
      </c>
      <c r="H95" s="378">
        <f>F95*G95</f>
        <v>79910.289999999994</v>
      </c>
      <c r="I95" s="379"/>
      <c r="J95" s="380">
        <v>3</v>
      </c>
      <c r="K95" s="381">
        <f t="shared" si="29"/>
        <v>2797.0000000000027</v>
      </c>
      <c r="L95" s="382">
        <f t="shared" si="30"/>
        <v>932.33333333333428</v>
      </c>
      <c r="M95" s="383">
        <v>0.86458333333333337</v>
      </c>
      <c r="N95" s="383">
        <v>0.90625</v>
      </c>
      <c r="O95" s="372">
        <v>20</v>
      </c>
      <c r="P95" s="384">
        <f>(N95-M95)*24*60</f>
        <v>59.999999999999943</v>
      </c>
      <c r="Q95" s="385"/>
      <c r="R95" s="385"/>
    </row>
    <row r="96" spans="1:18">
      <c r="A96" s="574"/>
      <c r="B96" s="373"/>
      <c r="C96" s="391"/>
      <c r="D96" s="407"/>
      <c r="E96" s="448"/>
      <c r="F96" s="377"/>
      <c r="G96" s="386"/>
      <c r="H96" s="378"/>
      <c r="I96" s="379"/>
      <c r="J96" s="380"/>
      <c r="K96" s="381"/>
      <c r="L96" s="382"/>
      <c r="M96" s="383"/>
      <c r="N96" s="383"/>
      <c r="O96" s="372"/>
      <c r="P96" s="384"/>
      <c r="Q96" s="385"/>
      <c r="R96" s="385"/>
    </row>
    <row r="97" spans="1:18">
      <c r="A97" s="574"/>
      <c r="B97" s="373"/>
      <c r="C97" s="391"/>
      <c r="D97" s="407"/>
      <c r="E97" s="448"/>
      <c r="F97" s="377"/>
      <c r="G97" s="386"/>
      <c r="H97" s="378"/>
      <c r="I97" s="379"/>
      <c r="J97" s="380"/>
      <c r="K97" s="381"/>
      <c r="L97" s="382"/>
      <c r="M97" s="383"/>
      <c r="N97" s="383"/>
      <c r="O97" s="372"/>
      <c r="P97" s="384"/>
      <c r="Q97" s="385"/>
      <c r="R97" s="385"/>
    </row>
    <row r="98" spans="1:18">
      <c r="A98" s="574"/>
      <c r="B98" s="373">
        <v>0</v>
      </c>
      <c r="C98" s="391"/>
      <c r="D98" s="407"/>
      <c r="E98" s="448"/>
      <c r="F98" s="377"/>
      <c r="G98" s="386"/>
      <c r="H98" s="378"/>
      <c r="I98" s="379"/>
      <c r="J98" s="380"/>
      <c r="K98" s="381"/>
      <c r="L98" s="382"/>
      <c r="M98" s="383"/>
      <c r="N98" s="383"/>
      <c r="O98" s="372"/>
      <c r="P98" s="384"/>
      <c r="Q98" s="385"/>
      <c r="R98" s="385"/>
    </row>
    <row r="99" spans="1:18">
      <c r="A99" s="574"/>
      <c r="B99" s="373">
        <v>0</v>
      </c>
      <c r="C99" s="391"/>
      <c r="D99" s="407"/>
      <c r="E99" s="448"/>
      <c r="F99" s="377" t="s">
        <v>253</v>
      </c>
      <c r="G99" s="386"/>
      <c r="H99" s="378">
        <f>F99*G99</f>
        <v>0</v>
      </c>
      <c r="I99" s="379"/>
      <c r="J99" s="380"/>
      <c r="K99" s="381"/>
      <c r="L99" s="382"/>
      <c r="M99" s="383"/>
      <c r="N99" s="383"/>
      <c r="O99" s="372"/>
      <c r="P99" s="384"/>
      <c r="Q99" s="385"/>
      <c r="R99" s="385"/>
    </row>
    <row r="100" spans="1:18" ht="15.75" customHeight="1">
      <c r="A100" s="574"/>
      <c r="B100" s="373">
        <v>0</v>
      </c>
      <c r="C100" s="12" t="s">
        <v>281</v>
      </c>
      <c r="D100" s="575" t="s">
        <v>114</v>
      </c>
      <c r="E100" s="576"/>
      <c r="F100" s="392"/>
      <c r="G100" s="393"/>
      <c r="H100" s="467"/>
      <c r="I100" s="395"/>
      <c r="J100" s="396">
        <f>AVERAGE(J92:J99)</f>
        <v>3.25</v>
      </c>
      <c r="K100" s="396">
        <f>AVERAGE(K92:K99)</f>
        <v>2466.068181818182</v>
      </c>
      <c r="L100" s="397">
        <f>AVERAGE(L92:L99)</f>
        <v>776.70454545454561</v>
      </c>
      <c r="M100" s="383"/>
      <c r="N100" s="383"/>
      <c r="O100" s="381"/>
      <c r="P100" s="381"/>
      <c r="Q100" s="382"/>
      <c r="R100" s="382"/>
    </row>
    <row r="101" spans="1:18" ht="16.25" customHeight="1">
      <c r="A101" s="577" t="s">
        <v>282</v>
      </c>
      <c r="B101" s="373" t="s">
        <v>250</v>
      </c>
      <c r="C101" s="12"/>
      <c r="D101" s="475" t="s">
        <v>319</v>
      </c>
      <c r="E101" s="476"/>
      <c r="F101" s="377">
        <v>18.18</v>
      </c>
      <c r="G101" s="370">
        <v>844</v>
      </c>
      <c r="H101" s="378">
        <f t="shared" ref="H101:H110" si="31">F101*G101</f>
        <v>15343.92</v>
      </c>
      <c r="I101" s="379"/>
      <c r="J101" s="380">
        <v>4</v>
      </c>
      <c r="K101" s="381">
        <f>G101/P101*60</f>
        <v>2531.9999999999886</v>
      </c>
      <c r="L101" s="382">
        <f t="shared" ref="L101:L105" si="32">K101/J101</f>
        <v>632.99999999999716</v>
      </c>
      <c r="M101" s="383">
        <v>0.72222222222222221</v>
      </c>
      <c r="N101" s="383">
        <v>0.73611111111111116</v>
      </c>
      <c r="O101" s="372">
        <v>20</v>
      </c>
      <c r="P101" s="381">
        <f t="shared" ref="P101:P110" si="33">(N101-M101)*24*60</f>
        <v>20.000000000000089</v>
      </c>
      <c r="Q101" s="382"/>
      <c r="R101" s="385"/>
    </row>
    <row r="102" spans="1:18">
      <c r="A102" s="577"/>
      <c r="B102" s="373" t="s">
        <v>250</v>
      </c>
      <c r="C102" s="12"/>
      <c r="D102" s="475" t="s">
        <v>320</v>
      </c>
      <c r="E102" s="476"/>
      <c r="F102" s="377">
        <v>14.03</v>
      </c>
      <c r="G102" s="370">
        <v>5486</v>
      </c>
      <c r="H102" s="378">
        <f t="shared" si="31"/>
        <v>76968.58</v>
      </c>
      <c r="I102" s="379"/>
      <c r="J102" s="380">
        <v>3</v>
      </c>
      <c r="K102" s="381">
        <f t="shared" ref="K102:K105" si="34">G102/P102*60</f>
        <v>2992.3636363636383</v>
      </c>
      <c r="L102" s="382">
        <f t="shared" si="32"/>
        <v>997.45454545454606</v>
      </c>
      <c r="M102" s="383">
        <v>0.75</v>
      </c>
      <c r="N102" s="383">
        <v>0.82638888888888884</v>
      </c>
      <c r="O102" s="372">
        <v>20</v>
      </c>
      <c r="P102" s="381">
        <f t="shared" si="33"/>
        <v>109.99999999999993</v>
      </c>
      <c r="Q102" s="385">
        <v>0.82638888888888884</v>
      </c>
      <c r="R102" s="385">
        <v>0.86805555555555547</v>
      </c>
    </row>
    <row r="103" spans="1:18">
      <c r="A103" s="577"/>
      <c r="B103" s="373" t="s">
        <v>250</v>
      </c>
      <c r="C103" s="468"/>
      <c r="D103" s="448" t="s">
        <v>283</v>
      </c>
      <c r="E103" s="411"/>
      <c r="F103" s="377">
        <v>25.03</v>
      </c>
      <c r="G103" s="370">
        <v>1123</v>
      </c>
      <c r="H103" s="378">
        <f t="shared" si="31"/>
        <v>28108.690000000002</v>
      </c>
      <c r="I103" s="379"/>
      <c r="J103" s="380">
        <v>4</v>
      </c>
      <c r="K103" s="381">
        <f t="shared" si="34"/>
        <v>2695.2000000000271</v>
      </c>
      <c r="L103" s="382">
        <f t="shared" si="32"/>
        <v>673.80000000000678</v>
      </c>
      <c r="M103" s="383">
        <v>0.88194444444444453</v>
      </c>
      <c r="N103" s="383">
        <v>0.89930555555555547</v>
      </c>
      <c r="O103" s="372">
        <v>20</v>
      </c>
      <c r="P103" s="381">
        <f t="shared" si="33"/>
        <v>24.999999999999751</v>
      </c>
      <c r="Q103" s="385"/>
      <c r="R103" s="385"/>
    </row>
    <row r="104" spans="1:18">
      <c r="A104" s="577"/>
      <c r="B104" s="373" t="s">
        <v>250</v>
      </c>
      <c r="C104" s="468"/>
      <c r="D104" s="411" t="s">
        <v>284</v>
      </c>
      <c r="E104" s="448"/>
      <c r="F104" s="377">
        <v>24.82</v>
      </c>
      <c r="G104" s="370">
        <v>1686</v>
      </c>
      <c r="H104" s="378">
        <f t="shared" si="31"/>
        <v>41846.520000000004</v>
      </c>
      <c r="I104" s="379"/>
      <c r="J104" s="380">
        <v>4</v>
      </c>
      <c r="K104" s="381">
        <f t="shared" si="34"/>
        <v>2890.2857142857247</v>
      </c>
      <c r="L104" s="382">
        <f t="shared" si="32"/>
        <v>722.57142857143117</v>
      </c>
      <c r="M104" s="383">
        <v>0.91319444444444453</v>
      </c>
      <c r="N104" s="383">
        <v>0.9375</v>
      </c>
      <c r="O104" s="372">
        <v>20</v>
      </c>
      <c r="P104" s="381">
        <f>(N104-M104)*24*60</f>
        <v>34.999999999999872</v>
      </c>
      <c r="Q104" s="382"/>
      <c r="R104" s="385"/>
    </row>
    <row r="105" spans="1:18">
      <c r="A105" s="577"/>
      <c r="B105" s="373" t="s">
        <v>250</v>
      </c>
      <c r="C105" s="468"/>
      <c r="D105" s="411" t="s">
        <v>285</v>
      </c>
      <c r="E105" s="462"/>
      <c r="F105" s="377">
        <v>14.285714285714283</v>
      </c>
      <c r="G105" s="370">
        <v>7477</v>
      </c>
      <c r="H105" s="378">
        <f t="shared" si="31"/>
        <v>106814.2857142857</v>
      </c>
      <c r="I105" s="379"/>
      <c r="J105" s="380">
        <v>3</v>
      </c>
      <c r="K105" s="381">
        <f t="shared" si="34"/>
        <v>2990.8000000696352</v>
      </c>
      <c r="L105" s="382">
        <f t="shared" si="32"/>
        <v>996.93333335654506</v>
      </c>
      <c r="M105" s="383">
        <v>46025.951388888891</v>
      </c>
      <c r="N105" s="463">
        <v>46026.055555555555</v>
      </c>
      <c r="O105" s="372">
        <v>20</v>
      </c>
      <c r="P105" s="381">
        <f>(N105-M105)*24*60</f>
        <v>149.99999999650754</v>
      </c>
      <c r="Q105" s="382"/>
      <c r="R105" s="385"/>
    </row>
    <row r="106" spans="1:18">
      <c r="A106" s="577"/>
      <c r="B106" s="373">
        <v>0</v>
      </c>
      <c r="C106" s="468"/>
      <c r="D106" s="475"/>
      <c r="E106" s="476"/>
      <c r="F106" s="377" t="s">
        <v>253</v>
      </c>
      <c r="G106" s="386"/>
      <c r="H106" s="378">
        <f t="shared" si="31"/>
        <v>0</v>
      </c>
      <c r="I106" s="379"/>
      <c r="J106" s="380"/>
      <c r="K106" s="381"/>
      <c r="L106" s="382"/>
      <c r="M106" s="383"/>
      <c r="N106" s="383"/>
      <c r="O106" s="381"/>
      <c r="P106" s="381">
        <f t="shared" si="33"/>
        <v>0</v>
      </c>
      <c r="Q106" s="382"/>
      <c r="R106" s="385"/>
    </row>
    <row r="107" spans="1:18">
      <c r="A107" s="577"/>
      <c r="B107" s="373">
        <v>0</v>
      </c>
      <c r="C107" s="468"/>
      <c r="D107" s="411"/>
      <c r="E107" s="462"/>
      <c r="F107" s="377" t="s">
        <v>253</v>
      </c>
      <c r="G107" s="370"/>
      <c r="H107" s="378">
        <f t="shared" si="31"/>
        <v>0</v>
      </c>
      <c r="I107" s="379"/>
      <c r="J107" s="380"/>
      <c r="K107" s="381"/>
      <c r="L107" s="382"/>
      <c r="M107" s="383"/>
      <c r="N107" s="383"/>
      <c r="O107" s="381"/>
      <c r="P107" s="381">
        <f t="shared" si="33"/>
        <v>0</v>
      </c>
      <c r="Q107" s="382"/>
      <c r="R107" s="385"/>
    </row>
    <row r="108" spans="1:18">
      <c r="A108" s="577"/>
      <c r="B108" s="373">
        <v>0</v>
      </c>
      <c r="C108" s="468"/>
      <c r="D108" s="411"/>
      <c r="E108" s="462"/>
      <c r="F108" s="377" t="s">
        <v>253</v>
      </c>
      <c r="G108" s="370"/>
      <c r="H108" s="378">
        <f t="shared" si="31"/>
        <v>0</v>
      </c>
      <c r="I108" s="379"/>
      <c r="J108" s="380"/>
      <c r="K108" s="381"/>
      <c r="L108" s="382"/>
      <c r="M108" s="383"/>
      <c r="N108" s="383"/>
      <c r="O108" s="381"/>
      <c r="P108" s="381">
        <f t="shared" si="33"/>
        <v>0</v>
      </c>
      <c r="Q108" s="382"/>
      <c r="R108" s="385"/>
    </row>
    <row r="109" spans="1:18">
      <c r="A109" s="577"/>
      <c r="B109" s="373">
        <v>0</v>
      </c>
      <c r="C109" s="469"/>
      <c r="D109" s="411"/>
      <c r="E109" s="462"/>
      <c r="F109" s="377" t="s">
        <v>253</v>
      </c>
      <c r="G109" s="370"/>
      <c r="H109" s="378">
        <f t="shared" si="31"/>
        <v>0</v>
      </c>
      <c r="I109" s="379"/>
      <c r="J109" s="380"/>
      <c r="K109" s="381"/>
      <c r="L109" s="382"/>
      <c r="M109" s="383"/>
      <c r="N109" s="383"/>
      <c r="O109" s="381"/>
      <c r="P109" s="381">
        <f t="shared" si="33"/>
        <v>0</v>
      </c>
      <c r="Q109" s="382"/>
      <c r="R109" s="385"/>
    </row>
    <row r="110" spans="1:18">
      <c r="A110" s="577"/>
      <c r="B110" s="373">
        <v>0</v>
      </c>
      <c r="C110" s="469"/>
      <c r="D110" s="411"/>
      <c r="E110" s="462"/>
      <c r="F110" s="377" t="s">
        <v>253</v>
      </c>
      <c r="G110" s="370"/>
      <c r="H110" s="378">
        <f t="shared" si="31"/>
        <v>0</v>
      </c>
      <c r="I110" s="379"/>
      <c r="J110" s="380"/>
      <c r="K110" s="381"/>
      <c r="L110" s="382"/>
      <c r="M110" s="383"/>
      <c r="N110" s="383"/>
      <c r="O110" s="381"/>
      <c r="P110" s="381">
        <f t="shared" si="33"/>
        <v>0</v>
      </c>
      <c r="Q110" s="382"/>
      <c r="R110" s="385"/>
    </row>
    <row r="111" spans="1:18" ht="15.75" customHeight="1">
      <c r="A111" s="577"/>
      <c r="B111" s="373">
        <v>0</v>
      </c>
      <c r="C111" s="452" t="s">
        <v>270</v>
      </c>
      <c r="D111" s="578" t="s">
        <v>114</v>
      </c>
      <c r="E111" s="579"/>
      <c r="F111" s="470"/>
      <c r="G111" s="471"/>
      <c r="H111" s="394"/>
      <c r="I111" s="395"/>
      <c r="J111" s="396">
        <f>AVERAGE(J101:J110)</f>
        <v>3.6</v>
      </c>
      <c r="K111" s="396">
        <f>AVERAGE(K101:K110)</f>
        <v>2820.1298701438031</v>
      </c>
      <c r="L111" s="397">
        <f>AVERAGE(L101:L110)</f>
        <v>804.75186147650516</v>
      </c>
      <c r="M111" s="383"/>
      <c r="N111" s="383"/>
      <c r="O111" s="381"/>
      <c r="P111" s="381"/>
      <c r="Q111" s="382"/>
      <c r="R111" s="372"/>
    </row>
    <row r="112" spans="1:18" ht="16.25" customHeight="1">
      <c r="A112" s="565" t="s">
        <v>286</v>
      </c>
      <c r="B112" s="373">
        <v>0</v>
      </c>
      <c r="C112" s="12"/>
      <c r="D112" s="477"/>
      <c r="E112" s="478"/>
      <c r="F112" s="377" t="s">
        <v>253</v>
      </c>
      <c r="G112" s="370"/>
      <c r="H112" s="459">
        <f t="shared" si="3"/>
        <v>0</v>
      </c>
      <c r="I112" s="379"/>
      <c r="J112" s="380">
        <v>0</v>
      </c>
      <c r="K112" s="381">
        <v>0</v>
      </c>
      <c r="L112" s="382">
        <v>0</v>
      </c>
      <c r="M112" s="383"/>
      <c r="N112" s="383"/>
      <c r="O112" s="372"/>
      <c r="P112" s="384">
        <f t="shared" ref="P112:P123" si="35">(N112-M112)*24*60</f>
        <v>0</v>
      </c>
      <c r="Q112" s="372"/>
      <c r="R112" s="372"/>
    </row>
    <row r="113" spans="1:18">
      <c r="A113" s="565"/>
      <c r="B113" s="373">
        <v>0</v>
      </c>
      <c r="C113" s="460"/>
      <c r="D113" s="475"/>
      <c r="E113" s="457"/>
      <c r="F113" s="377" t="s">
        <v>253</v>
      </c>
      <c r="G113" s="370"/>
      <c r="H113" s="459">
        <f t="shared" si="3"/>
        <v>0</v>
      </c>
      <c r="I113" s="379"/>
      <c r="J113" s="380"/>
      <c r="K113" s="381"/>
      <c r="L113" s="382"/>
      <c r="M113" s="383"/>
      <c r="N113" s="383"/>
      <c r="O113" s="372"/>
      <c r="P113" s="384">
        <f t="shared" si="35"/>
        <v>0</v>
      </c>
      <c r="Q113" s="385"/>
      <c r="R113" s="385"/>
    </row>
    <row r="114" spans="1:18">
      <c r="A114" s="565"/>
      <c r="B114" s="373">
        <v>0</v>
      </c>
      <c r="C114" s="460"/>
      <c r="D114" s="448"/>
      <c r="E114" s="411"/>
      <c r="F114" s="377" t="s">
        <v>253</v>
      </c>
      <c r="G114" s="370"/>
      <c r="H114" s="459">
        <f>F114*G114</f>
        <v>0</v>
      </c>
      <c r="I114" s="379"/>
      <c r="J114" s="380"/>
      <c r="K114" s="381"/>
      <c r="L114" s="382"/>
      <c r="M114" s="383"/>
      <c r="N114" s="383"/>
      <c r="O114" s="372"/>
      <c r="P114" s="384">
        <f t="shared" si="35"/>
        <v>0</v>
      </c>
      <c r="Q114" s="385"/>
      <c r="R114" s="385"/>
    </row>
    <row r="115" spans="1:18">
      <c r="A115" s="565"/>
      <c r="B115" s="373">
        <v>0</v>
      </c>
      <c r="C115" s="409"/>
      <c r="D115" s="411"/>
      <c r="E115" s="448"/>
      <c r="F115" s="377" t="s">
        <v>253</v>
      </c>
      <c r="G115" s="370"/>
      <c r="H115" s="459">
        <f t="shared" ref="H115:H123" si="36">F115*G115</f>
        <v>0</v>
      </c>
      <c r="I115" s="379"/>
      <c r="J115" s="380"/>
      <c r="K115" s="381"/>
      <c r="L115" s="382"/>
      <c r="M115" s="383"/>
      <c r="N115" s="383"/>
      <c r="O115" s="372"/>
      <c r="P115" s="384">
        <f t="shared" si="35"/>
        <v>0</v>
      </c>
      <c r="Q115" s="385"/>
      <c r="R115" s="385"/>
    </row>
    <row r="116" spans="1:18">
      <c r="A116" s="565"/>
      <c r="B116" s="373">
        <v>0</v>
      </c>
      <c r="C116" s="409"/>
      <c r="D116" s="411"/>
      <c r="E116" s="462"/>
      <c r="F116" s="377" t="s">
        <v>253</v>
      </c>
      <c r="G116" s="370"/>
      <c r="H116" s="459">
        <f t="shared" si="36"/>
        <v>0</v>
      </c>
      <c r="I116" s="379"/>
      <c r="J116" s="380"/>
      <c r="K116" s="381"/>
      <c r="L116" s="382"/>
      <c r="M116" s="383"/>
      <c r="N116" s="463"/>
      <c r="O116" s="372"/>
      <c r="P116" s="384">
        <f t="shared" si="35"/>
        <v>0</v>
      </c>
      <c r="Q116" s="385"/>
      <c r="R116" s="385"/>
    </row>
    <row r="117" spans="1:18">
      <c r="A117" s="565"/>
      <c r="B117" s="373">
        <v>0</v>
      </c>
      <c r="C117" s="460"/>
      <c r="D117" s="443"/>
      <c r="E117" s="441"/>
      <c r="F117" s="377" t="s">
        <v>253</v>
      </c>
      <c r="G117" s="370"/>
      <c r="H117" s="459">
        <f t="shared" si="36"/>
        <v>0</v>
      </c>
      <c r="I117" s="379"/>
      <c r="J117" s="380"/>
      <c r="K117" s="381"/>
      <c r="L117" s="382"/>
      <c r="M117" s="383"/>
      <c r="N117" s="383"/>
      <c r="O117" s="381"/>
      <c r="P117" s="384">
        <f t="shared" si="35"/>
        <v>0</v>
      </c>
      <c r="Q117" s="385"/>
      <c r="R117" s="385"/>
    </row>
    <row r="118" spans="1:18">
      <c r="A118" s="565"/>
      <c r="B118" s="373">
        <v>0</v>
      </c>
      <c r="C118" s="460"/>
      <c r="D118" s="443"/>
      <c r="E118" s="441"/>
      <c r="F118" s="377" t="s">
        <v>253</v>
      </c>
      <c r="G118" s="370"/>
      <c r="H118" s="459">
        <f t="shared" si="36"/>
        <v>0</v>
      </c>
      <c r="I118" s="379"/>
      <c r="J118" s="380"/>
      <c r="K118" s="381"/>
      <c r="L118" s="382"/>
      <c r="M118" s="383"/>
      <c r="N118" s="383"/>
      <c r="O118" s="372"/>
      <c r="P118" s="384">
        <f t="shared" si="35"/>
        <v>0</v>
      </c>
      <c r="Q118" s="385"/>
      <c r="R118" s="385"/>
    </row>
    <row r="119" spans="1:18">
      <c r="A119" s="565"/>
      <c r="B119" s="373">
        <v>0</v>
      </c>
      <c r="C119" s="409"/>
      <c r="D119" s="443"/>
      <c r="E119" s="441"/>
      <c r="F119" s="377" t="s">
        <v>253</v>
      </c>
      <c r="G119" s="370"/>
      <c r="H119" s="459">
        <f t="shared" si="36"/>
        <v>0</v>
      </c>
      <c r="I119" s="379"/>
      <c r="J119" s="380"/>
      <c r="K119" s="381"/>
      <c r="L119" s="382"/>
      <c r="M119" s="383"/>
      <c r="N119" s="383"/>
      <c r="O119" s="372"/>
      <c r="P119" s="384">
        <f t="shared" si="35"/>
        <v>0</v>
      </c>
      <c r="Q119" s="385"/>
      <c r="R119" s="385"/>
    </row>
    <row r="120" spans="1:18">
      <c r="A120" s="565"/>
      <c r="B120" s="373">
        <v>0</v>
      </c>
      <c r="C120" s="409"/>
      <c r="D120" s="443"/>
      <c r="E120" s="441"/>
      <c r="F120" s="377" t="s">
        <v>253</v>
      </c>
      <c r="G120" s="370"/>
      <c r="H120" s="459"/>
      <c r="I120" s="379"/>
      <c r="J120" s="380"/>
      <c r="K120" s="381"/>
      <c r="L120" s="382"/>
      <c r="M120" s="383"/>
      <c r="N120" s="383"/>
      <c r="O120" s="372"/>
      <c r="P120" s="384"/>
      <c r="Q120" s="385"/>
      <c r="R120" s="385"/>
    </row>
    <row r="121" spans="1:18">
      <c r="A121" s="565"/>
      <c r="B121" s="373">
        <v>0</v>
      </c>
      <c r="C121" s="460"/>
      <c r="D121" s="443"/>
      <c r="E121" s="441"/>
      <c r="F121" s="377" t="s">
        <v>253</v>
      </c>
      <c r="G121" s="370"/>
      <c r="H121" s="459"/>
      <c r="I121" s="379"/>
      <c r="J121" s="380"/>
      <c r="K121" s="381"/>
      <c r="L121" s="382"/>
      <c r="M121" s="383"/>
      <c r="N121" s="383"/>
      <c r="O121" s="372"/>
      <c r="P121" s="384"/>
      <c r="Q121" s="385"/>
      <c r="R121" s="385"/>
    </row>
    <row r="122" spans="1:18">
      <c r="A122" s="565"/>
      <c r="B122" s="373">
        <v>0</v>
      </c>
      <c r="C122" s="460"/>
      <c r="D122" s="443"/>
      <c r="E122" s="441"/>
      <c r="F122" s="377" t="s">
        <v>253</v>
      </c>
      <c r="G122" s="370"/>
      <c r="H122" s="459"/>
      <c r="I122" s="379"/>
      <c r="J122" s="380"/>
      <c r="K122" s="381"/>
      <c r="L122" s="382"/>
      <c r="M122" s="383"/>
      <c r="N122" s="383"/>
      <c r="O122" s="372"/>
      <c r="P122" s="384">
        <f t="shared" si="35"/>
        <v>0</v>
      </c>
      <c r="Q122" s="385"/>
      <c r="R122" s="385"/>
    </row>
    <row r="123" spans="1:18">
      <c r="A123" s="565"/>
      <c r="B123" s="373">
        <v>0</v>
      </c>
      <c r="C123" s="409"/>
      <c r="D123" s="443"/>
      <c r="E123" s="441"/>
      <c r="F123" s="377" t="s">
        <v>253</v>
      </c>
      <c r="G123" s="370"/>
      <c r="H123" s="459">
        <f t="shared" si="36"/>
        <v>0</v>
      </c>
      <c r="I123" s="379"/>
      <c r="J123" s="380"/>
      <c r="K123" s="381"/>
      <c r="L123" s="382"/>
      <c r="M123" s="383"/>
      <c r="N123" s="383"/>
      <c r="O123" s="372"/>
      <c r="P123" s="384">
        <f t="shared" si="35"/>
        <v>0</v>
      </c>
      <c r="Q123" s="385"/>
      <c r="R123" s="385"/>
    </row>
    <row r="124" spans="1:18" ht="17.399999999999999" customHeight="1">
      <c r="A124" s="565"/>
      <c r="B124" s="472">
        <v>0</v>
      </c>
      <c r="C124" s="13" t="s">
        <v>273</v>
      </c>
      <c r="D124" s="568" t="s">
        <v>114</v>
      </c>
      <c r="E124" s="568"/>
      <c r="F124" s="392"/>
      <c r="G124" s="464"/>
      <c r="H124" s="465"/>
      <c r="I124" s="395"/>
      <c r="J124" s="396">
        <f>AVERAGE(J112:J123)</f>
        <v>0</v>
      </c>
      <c r="K124" s="396">
        <f>AVERAGE(K112:K123)</f>
        <v>0</v>
      </c>
      <c r="L124" s="397">
        <f>AVERAGE(L112:L123)</f>
        <v>0</v>
      </c>
      <c r="M124" s="383"/>
      <c r="N124" s="383"/>
      <c r="O124" s="381"/>
      <c r="P124" s="381"/>
      <c r="Q124" s="382"/>
      <c r="R124" s="382"/>
    </row>
    <row r="125" spans="1:18">
      <c r="C125" s="409"/>
    </row>
    <row r="126" spans="1:18">
      <c r="C126" s="13"/>
    </row>
  </sheetData>
  <mergeCells count="46"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3:E13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1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134" activePane="bottomLeft" state="frozen"/>
      <selection activeCell="AB119" sqref="AB119:AC119"/>
      <selection pane="bottomLeft" activeCell="AB119" sqref="AB119:AC119"/>
    </sheetView>
  </sheetViews>
  <sheetFormatPr defaultColWidth="7.90625" defaultRowHeight="15.5"/>
  <cols>
    <col min="1" max="1" width="14.1796875" style="70" customWidth="1"/>
    <col min="2" max="2" width="12.81640625" style="70" customWidth="1"/>
    <col min="3" max="3" width="12.81640625" style="70" hidden="1" customWidth="1"/>
    <col min="4" max="4" width="14.1796875" style="70" customWidth="1"/>
    <col min="5" max="5" width="15" style="70" customWidth="1"/>
    <col min="6" max="6" width="8.90625" style="70" customWidth="1"/>
    <col min="7" max="7" width="20.1796875" style="70" bestFit="1" customWidth="1"/>
    <col min="8" max="8" width="16.36328125" style="70" customWidth="1"/>
    <col min="9" max="9" width="6.36328125" style="70" customWidth="1"/>
    <col min="10" max="10" width="10.08984375" style="70" customWidth="1"/>
    <col min="11" max="11" width="10.6328125" style="70" customWidth="1"/>
    <col min="12" max="12" width="14.453125" style="70" customWidth="1"/>
    <col min="13" max="13" width="10.08984375" style="70" customWidth="1"/>
    <col min="14" max="14" width="9.1796875" style="70" customWidth="1"/>
    <col min="15" max="15" width="11.90625" style="70" customWidth="1"/>
    <col min="16" max="16" width="6" style="70" customWidth="1"/>
    <col min="17" max="18" width="9.1796875" style="70" customWidth="1"/>
    <col min="19" max="19" width="8.6328125" style="70" customWidth="1"/>
    <col min="20" max="21" width="7.6328125" style="70" bestFit="1" customWidth="1"/>
    <col min="22" max="22" width="10.6328125" style="70" customWidth="1"/>
    <col min="23" max="23" width="8.6328125" style="344" customWidth="1"/>
    <col min="24" max="25" width="7.08984375" style="70" customWidth="1"/>
    <col min="26" max="27" width="9.453125" style="70" customWidth="1"/>
    <col min="28" max="28" width="12.6328125" style="70" customWidth="1"/>
    <col min="29" max="29" width="12.453125" style="70" customWidth="1"/>
    <col min="30" max="31" width="9.453125" style="70" customWidth="1"/>
    <col min="32" max="32" width="13.08984375" style="70" customWidth="1"/>
    <col min="33" max="33" width="10.36328125" style="70" customWidth="1"/>
    <col min="34" max="34" width="9.1796875" style="70" customWidth="1"/>
    <col min="35" max="35" width="7.90625" style="70" customWidth="1"/>
    <col min="36" max="36" width="24.453125" style="70" bestFit="1" customWidth="1"/>
    <col min="37" max="16384" width="7.90625" style="70"/>
  </cols>
  <sheetData>
    <row r="1" spans="1:34" ht="26.25" customHeight="1">
      <c r="A1" s="62" t="s">
        <v>193</v>
      </c>
      <c r="B1" s="62"/>
      <c r="C1" s="62"/>
      <c r="D1" s="63" t="s">
        <v>194</v>
      </c>
      <c r="E1" s="64">
        <f>SUM(G5:G173)</f>
        <v>130416.8</v>
      </c>
      <c r="F1" s="65" t="s">
        <v>2</v>
      </c>
      <c r="G1" s="66">
        <f>SUM(H5:H173)</f>
        <v>5216917.6834832374</v>
      </c>
      <c r="H1" s="67" t="s">
        <v>83</v>
      </c>
      <c r="I1" s="68">
        <f>M17+M30+M43+M56+M69+M82+M95+M108+M121+M134+M147+M160+M173</f>
        <v>197.84682539682538</v>
      </c>
      <c r="J1" s="700" t="s">
        <v>84</v>
      </c>
      <c r="K1" s="700"/>
      <c r="L1" s="700"/>
      <c r="M1" s="700" t="s">
        <v>85</v>
      </c>
      <c r="N1" s="700"/>
      <c r="O1" s="700"/>
      <c r="P1" s="700" t="s">
        <v>195</v>
      </c>
      <c r="Q1" s="700"/>
      <c r="R1" s="700"/>
      <c r="S1" s="700"/>
      <c r="T1" s="700" t="s">
        <v>196</v>
      </c>
      <c r="U1" s="700"/>
      <c r="V1" s="700"/>
      <c r="W1" s="700"/>
      <c r="X1" s="700"/>
      <c r="Y1" s="700"/>
      <c r="Z1" s="69" t="s">
        <v>197</v>
      </c>
      <c r="AA1" s="69" t="s">
        <v>198</v>
      </c>
      <c r="AB1" s="701" t="s">
        <v>199</v>
      </c>
      <c r="AC1" s="702"/>
      <c r="AD1" s="69" t="s">
        <v>197</v>
      </c>
      <c r="AE1" s="69" t="s">
        <v>200</v>
      </c>
      <c r="AF1" s="700" t="s">
        <v>201</v>
      </c>
      <c r="AG1" s="705"/>
      <c r="AH1" s="705"/>
    </row>
    <row r="2" spans="1:34" ht="26.25" customHeight="1">
      <c r="A2" s="699" t="s">
        <v>241</v>
      </c>
      <c r="B2" s="699"/>
      <c r="C2" s="63"/>
      <c r="D2" s="63" t="s">
        <v>27</v>
      </c>
      <c r="E2" s="71">
        <f>AVERAGE(O17,O30,O43,O56,O69,O82,O95,O108,O121,O134,O147,O160,O173)</f>
        <v>119.89233393784826</v>
      </c>
      <c r="F2" s="72" t="s">
        <v>88</v>
      </c>
      <c r="G2" s="73">
        <f>G1/E1</f>
        <v>40.001883833089273</v>
      </c>
      <c r="H2" s="67" t="s">
        <v>89</v>
      </c>
      <c r="I2" s="67">
        <f>COUNT(I5:I173)</f>
        <v>7</v>
      </c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4">
        <f>Z17+Z30+Z43+Z56+Z69+Z82+Z95+Z108+Z121+Z134+Z147+Z160+Z173</f>
        <v>0</v>
      </c>
      <c r="AA2" s="74">
        <f>AA17+AA30+AA43+AA56+AA69+AA82+AA95+AA108+AA121+AA134+AA147+AA160+AA173</f>
        <v>0</v>
      </c>
      <c r="AB2" s="703"/>
      <c r="AC2" s="704"/>
      <c r="AD2" s="75">
        <f>AD17+AD30+AD43+AD56+AD69+AD82+AD95+AD108+AD121+AD134+AD147+AD160+AD173</f>
        <v>0</v>
      </c>
      <c r="AE2" s="75">
        <f>AE17+AE30+AE43+AE56+AE69+AE82+AE95+AE108+AE121+AE134+AE147+AE160+AE173</f>
        <v>3</v>
      </c>
      <c r="AF2" s="705"/>
      <c r="AG2" s="705"/>
      <c r="AH2" s="705"/>
    </row>
    <row r="3" spans="1:34" ht="30.65" customHeight="1">
      <c r="A3" s="644" t="s">
        <v>202</v>
      </c>
      <c r="B3" s="644" t="s">
        <v>91</v>
      </c>
      <c r="C3" s="637"/>
      <c r="D3" s="644" t="s">
        <v>203</v>
      </c>
      <c r="E3" s="644"/>
      <c r="F3" s="637" t="s">
        <v>93</v>
      </c>
      <c r="G3" s="695" t="s">
        <v>94</v>
      </c>
      <c r="H3" s="637" t="s">
        <v>95</v>
      </c>
      <c r="I3" s="697" t="s">
        <v>204</v>
      </c>
      <c r="J3" s="698" t="s">
        <v>97</v>
      </c>
      <c r="K3" s="690" t="s">
        <v>98</v>
      </c>
      <c r="L3" s="677" t="s">
        <v>64</v>
      </c>
      <c r="M3" s="695" t="s">
        <v>97</v>
      </c>
      <c r="N3" s="690" t="s">
        <v>205</v>
      </c>
      <c r="O3" s="677" t="s">
        <v>27</v>
      </c>
      <c r="P3" s="698" t="s">
        <v>206</v>
      </c>
      <c r="Q3" s="677" t="s">
        <v>27</v>
      </c>
      <c r="R3" s="691" t="s">
        <v>207</v>
      </c>
      <c r="S3" s="674" t="s">
        <v>208</v>
      </c>
      <c r="T3" s="695" t="s">
        <v>101</v>
      </c>
      <c r="U3" s="695"/>
      <c r="V3" s="696" t="s">
        <v>102</v>
      </c>
      <c r="W3" s="697" t="s">
        <v>209</v>
      </c>
      <c r="X3" s="695" t="s">
        <v>210</v>
      </c>
      <c r="Y3" s="695"/>
      <c r="Z3" s="712" t="s">
        <v>211</v>
      </c>
      <c r="AA3" s="713"/>
      <c r="AB3" s="686" t="s">
        <v>212</v>
      </c>
      <c r="AC3" s="687"/>
      <c r="AD3" s="688" t="s">
        <v>213</v>
      </c>
      <c r="AE3" s="689"/>
      <c r="AF3" s="690" t="s">
        <v>205</v>
      </c>
      <c r="AG3" s="691" t="s">
        <v>207</v>
      </c>
      <c r="AH3" s="674" t="s">
        <v>208</v>
      </c>
    </row>
    <row r="4" spans="1:34" ht="30.65" customHeight="1">
      <c r="A4" s="637"/>
      <c r="B4" s="644"/>
      <c r="C4" s="654"/>
      <c r="D4" s="644"/>
      <c r="E4" s="644"/>
      <c r="F4" s="654"/>
      <c r="G4" s="695"/>
      <c r="H4" s="654"/>
      <c r="I4" s="697"/>
      <c r="J4" s="698"/>
      <c r="K4" s="690"/>
      <c r="L4" s="677"/>
      <c r="M4" s="695"/>
      <c r="N4" s="690"/>
      <c r="O4" s="677"/>
      <c r="P4" s="698"/>
      <c r="Q4" s="677"/>
      <c r="R4" s="691"/>
      <c r="S4" s="674"/>
      <c r="T4" s="76" t="s">
        <v>105</v>
      </c>
      <c r="U4" s="76" t="s">
        <v>106</v>
      </c>
      <c r="V4" s="695"/>
      <c r="W4" s="697"/>
      <c r="X4" s="65" t="s">
        <v>214</v>
      </c>
      <c r="Y4" s="65" t="s">
        <v>65</v>
      </c>
      <c r="Z4" s="76" t="s">
        <v>215</v>
      </c>
      <c r="AA4" s="76" t="s">
        <v>216</v>
      </c>
      <c r="AB4" s="687"/>
      <c r="AC4" s="687"/>
      <c r="AD4" s="76" t="s">
        <v>217</v>
      </c>
      <c r="AE4" s="77" t="s">
        <v>218</v>
      </c>
      <c r="AF4" s="690"/>
      <c r="AG4" s="691"/>
      <c r="AH4" s="674"/>
    </row>
    <row r="5" spans="1:34" ht="17.399999999999999" customHeight="1">
      <c r="A5" s="692" t="s">
        <v>219</v>
      </c>
      <c r="B5" s="78" t="s">
        <v>246</v>
      </c>
      <c r="C5" s="79"/>
      <c r="D5" s="80" t="s">
        <v>108</v>
      </c>
      <c r="E5" s="81"/>
      <c r="F5" s="82">
        <v>37.94</v>
      </c>
      <c r="G5" s="83">
        <v>2101.4</v>
      </c>
      <c r="H5" s="84">
        <f t="shared" ref="H5:H16" si="0">F5*G5</f>
        <v>79727.115999999995</v>
      </c>
      <c r="I5" s="85"/>
      <c r="J5" s="86">
        <v>20</v>
      </c>
      <c r="K5" s="83">
        <v>2400</v>
      </c>
      <c r="L5" s="87">
        <v>120</v>
      </c>
      <c r="M5" s="88">
        <v>19</v>
      </c>
      <c r="N5" s="83">
        <f t="shared" ref="N5:N11" si="1">G5/W5*60</f>
        <v>2211.9999999999986</v>
      </c>
      <c r="O5" s="87">
        <f t="shared" ref="O5:O11" si="2">N5/M5</f>
        <v>116.42105263157887</v>
      </c>
      <c r="P5" s="89">
        <f t="shared" ref="P5:P11" si="3">M5-J5</f>
        <v>-1</v>
      </c>
      <c r="Q5" s="90">
        <f t="shared" ref="Q5:Q11" si="4">O5-L5</f>
        <v>-3.5789473684211259</v>
      </c>
      <c r="R5" s="91">
        <f t="shared" ref="R5:R11" si="5">O5/L5</f>
        <v>0.97017543859649058</v>
      </c>
      <c r="S5" s="659">
        <f>R17</f>
        <v>0.83070903992156697</v>
      </c>
      <c r="T5" s="92">
        <v>0.29166666666666669</v>
      </c>
      <c r="U5" s="92">
        <v>0.33125000000000004</v>
      </c>
      <c r="V5" s="65">
        <v>5</v>
      </c>
      <c r="W5" s="85">
        <f>(U5-T5)*24*60</f>
        <v>57.000000000000036</v>
      </c>
      <c r="X5" s="65"/>
      <c r="Y5" s="65"/>
      <c r="Z5" s="93"/>
      <c r="AA5" s="93"/>
      <c r="AB5" s="644"/>
      <c r="AC5" s="644"/>
      <c r="AD5" s="94"/>
      <c r="AE5" s="94"/>
      <c r="AF5" s="89">
        <f t="shared" ref="AF5:AF70" si="6">N5-K5</f>
        <v>-188.00000000000136</v>
      </c>
      <c r="AG5" s="91">
        <f t="shared" ref="AG5:AG70" si="7">N5/K5</f>
        <v>0.92166666666666608</v>
      </c>
      <c r="AH5" s="659">
        <f>AG17</f>
        <v>0.83968650799261468</v>
      </c>
    </row>
    <row r="6" spans="1:34" ht="18" customHeight="1">
      <c r="A6" s="693"/>
      <c r="B6" s="78" t="s">
        <v>246</v>
      </c>
      <c r="C6" s="79"/>
      <c r="D6" s="80" t="s">
        <v>109</v>
      </c>
      <c r="E6" s="81"/>
      <c r="F6" s="82">
        <v>31.266131815044861</v>
      </c>
      <c r="G6" s="83">
        <v>1179</v>
      </c>
      <c r="H6" s="84">
        <f t="shared" si="0"/>
        <v>36862.769409937893</v>
      </c>
      <c r="I6" s="85"/>
      <c r="J6" s="86">
        <v>18</v>
      </c>
      <c r="K6" s="83">
        <v>3000</v>
      </c>
      <c r="L6" s="87">
        <v>166.66666666666666</v>
      </c>
      <c r="M6" s="88">
        <v>19</v>
      </c>
      <c r="N6" s="83">
        <f t="shared" si="1"/>
        <v>2439.3103448275879</v>
      </c>
      <c r="O6" s="87">
        <f t="shared" si="2"/>
        <v>128.38475499092567</v>
      </c>
      <c r="P6" s="89">
        <f t="shared" si="3"/>
        <v>1</v>
      </c>
      <c r="Q6" s="90">
        <f t="shared" si="4"/>
        <v>-38.281911675740986</v>
      </c>
      <c r="R6" s="91">
        <f t="shared" si="5"/>
        <v>0.7703085299455541</v>
      </c>
      <c r="S6" s="659"/>
      <c r="T6" s="92">
        <v>0.3354166666666667</v>
      </c>
      <c r="U6" s="92">
        <v>0.35555555555555557</v>
      </c>
      <c r="V6" s="65">
        <v>6</v>
      </c>
      <c r="W6" s="85">
        <f t="shared" ref="W6:W17" si="8">(U6-T6)*24*60</f>
        <v>28.999999999999979</v>
      </c>
      <c r="X6" s="95"/>
      <c r="Y6" s="95"/>
      <c r="Z6" s="96"/>
      <c r="AA6" s="96"/>
      <c r="AB6" s="644"/>
      <c r="AC6" s="644"/>
      <c r="AD6" s="97"/>
      <c r="AE6" s="97"/>
      <c r="AF6" s="89">
        <f t="shared" si="6"/>
        <v>-560.68965517241213</v>
      </c>
      <c r="AG6" s="91">
        <f t="shared" si="7"/>
        <v>0.81310344827586267</v>
      </c>
      <c r="AH6" s="659"/>
    </row>
    <row r="7" spans="1:34" ht="18" customHeight="1">
      <c r="A7" s="693"/>
      <c r="B7" s="78" t="s">
        <v>246</v>
      </c>
      <c r="C7" s="79"/>
      <c r="D7" s="80" t="s">
        <v>110</v>
      </c>
      <c r="E7" s="81"/>
      <c r="F7" s="82">
        <v>38.630952380952372</v>
      </c>
      <c r="G7" s="83">
        <v>2439</v>
      </c>
      <c r="H7" s="84">
        <f t="shared" si="0"/>
        <v>94220.892857142841</v>
      </c>
      <c r="I7" s="85"/>
      <c r="J7" s="86">
        <v>18</v>
      </c>
      <c r="K7" s="83">
        <v>3000</v>
      </c>
      <c r="L7" s="87">
        <v>166.66666666666666</v>
      </c>
      <c r="M7" s="88">
        <v>19</v>
      </c>
      <c r="N7" s="83">
        <f t="shared" si="1"/>
        <v>2480.3389830508463</v>
      </c>
      <c r="O7" s="87">
        <f t="shared" si="2"/>
        <v>130.54415700267612</v>
      </c>
      <c r="P7" s="89">
        <f t="shared" si="3"/>
        <v>1</v>
      </c>
      <c r="Q7" s="90">
        <f t="shared" si="4"/>
        <v>-36.122509663990542</v>
      </c>
      <c r="R7" s="91">
        <f t="shared" si="5"/>
        <v>0.78326494201605679</v>
      </c>
      <c r="S7" s="659"/>
      <c r="T7" s="92">
        <v>0.37083333333333335</v>
      </c>
      <c r="U7" s="92">
        <v>0.41180555555555559</v>
      </c>
      <c r="V7" s="65">
        <v>22</v>
      </c>
      <c r="W7" s="85">
        <f t="shared" si="8"/>
        <v>59.000000000000028</v>
      </c>
      <c r="X7" s="95">
        <v>0.35902777777777778</v>
      </c>
      <c r="Y7" s="95">
        <v>0.36805555555555558</v>
      </c>
      <c r="Z7" s="96"/>
      <c r="AA7" s="96"/>
      <c r="AB7" s="644"/>
      <c r="AC7" s="644"/>
      <c r="AD7" s="97"/>
      <c r="AE7" s="97"/>
      <c r="AF7" s="89">
        <f t="shared" si="6"/>
        <v>-519.66101694915369</v>
      </c>
      <c r="AG7" s="91">
        <f t="shared" si="7"/>
        <v>0.82677966101694877</v>
      </c>
      <c r="AH7" s="659"/>
    </row>
    <row r="8" spans="1:34" ht="18" customHeight="1">
      <c r="A8" s="693"/>
      <c r="B8" s="78" t="s">
        <v>246</v>
      </c>
      <c r="C8" s="79"/>
      <c r="D8" s="80" t="s">
        <v>111</v>
      </c>
      <c r="E8" s="81"/>
      <c r="F8" s="82">
        <v>38</v>
      </c>
      <c r="G8" s="83">
        <v>3888</v>
      </c>
      <c r="H8" s="84">
        <f t="shared" si="0"/>
        <v>147744</v>
      </c>
      <c r="I8" s="85"/>
      <c r="J8" s="86">
        <v>19</v>
      </c>
      <c r="K8" s="83">
        <v>3000</v>
      </c>
      <c r="L8" s="87">
        <v>157.89473684210526</v>
      </c>
      <c r="M8" s="88">
        <v>19</v>
      </c>
      <c r="N8" s="83">
        <f t="shared" si="1"/>
        <v>2481.7021276595751</v>
      </c>
      <c r="O8" s="87">
        <f t="shared" si="2"/>
        <v>130.6159014557671</v>
      </c>
      <c r="P8" s="89">
        <f t="shared" si="3"/>
        <v>0</v>
      </c>
      <c r="Q8" s="90">
        <f t="shared" si="4"/>
        <v>-27.278835386338159</v>
      </c>
      <c r="R8" s="91">
        <f t="shared" si="5"/>
        <v>0.82723404255319166</v>
      </c>
      <c r="S8" s="659"/>
      <c r="T8" s="92">
        <v>0.41597222222222224</v>
      </c>
      <c r="U8" s="92">
        <v>0.48125000000000001</v>
      </c>
      <c r="V8" s="65">
        <v>6</v>
      </c>
      <c r="W8" s="85">
        <f t="shared" si="8"/>
        <v>93.999999999999986</v>
      </c>
      <c r="X8" s="95"/>
      <c r="Y8" s="95"/>
      <c r="Z8" s="96"/>
      <c r="AA8" s="96"/>
      <c r="AB8" s="644"/>
      <c r="AC8" s="644"/>
      <c r="AD8" s="97"/>
      <c r="AE8" s="97"/>
      <c r="AF8" s="89">
        <f t="shared" si="6"/>
        <v>-518.29787234042487</v>
      </c>
      <c r="AG8" s="91">
        <f t="shared" si="7"/>
        <v>0.82723404255319166</v>
      </c>
      <c r="AH8" s="659"/>
    </row>
    <row r="9" spans="1:34" ht="20" customHeight="1">
      <c r="A9" s="693"/>
      <c r="B9" s="78" t="s">
        <v>246</v>
      </c>
      <c r="C9" s="98"/>
      <c r="D9" s="80" t="s">
        <v>108</v>
      </c>
      <c r="E9" s="99"/>
      <c r="F9" s="82">
        <v>37.94</v>
      </c>
      <c r="G9" s="100">
        <v>900.6</v>
      </c>
      <c r="H9" s="84">
        <f t="shared" si="0"/>
        <v>34168.763999999996</v>
      </c>
      <c r="I9" s="97">
        <v>2</v>
      </c>
      <c r="J9" s="86">
        <v>20</v>
      </c>
      <c r="K9" s="83">
        <v>2400</v>
      </c>
      <c r="L9" s="87">
        <v>120</v>
      </c>
      <c r="M9" s="88">
        <v>19</v>
      </c>
      <c r="N9" s="83">
        <f t="shared" si="1"/>
        <v>2161.4399999999941</v>
      </c>
      <c r="O9" s="87">
        <f t="shared" si="2"/>
        <v>113.75999999999969</v>
      </c>
      <c r="P9" s="89">
        <f t="shared" si="3"/>
        <v>-1</v>
      </c>
      <c r="Q9" s="90">
        <f t="shared" si="4"/>
        <v>-6.2400000000003075</v>
      </c>
      <c r="R9" s="91">
        <f t="shared" si="5"/>
        <v>0.9479999999999974</v>
      </c>
      <c r="S9" s="659"/>
      <c r="T9" s="92">
        <v>0.52291666666666659</v>
      </c>
      <c r="U9" s="92">
        <v>0.54027777777777775</v>
      </c>
      <c r="V9" s="65">
        <v>7</v>
      </c>
      <c r="W9" s="85">
        <f t="shared" si="8"/>
        <v>25.000000000000071</v>
      </c>
      <c r="X9" s="95"/>
      <c r="Y9" s="95"/>
      <c r="Z9" s="96"/>
      <c r="AA9" s="96"/>
      <c r="AB9" s="644"/>
      <c r="AC9" s="644"/>
      <c r="AD9" s="97"/>
      <c r="AE9" s="97"/>
      <c r="AF9" s="89">
        <f t="shared" si="6"/>
        <v>-238.56000000000586</v>
      </c>
      <c r="AG9" s="91">
        <f t="shared" si="7"/>
        <v>0.90059999999999751</v>
      </c>
      <c r="AH9" s="659"/>
    </row>
    <row r="10" spans="1:34" ht="18" customHeight="1">
      <c r="A10" s="694"/>
      <c r="B10" s="78" t="s">
        <v>246</v>
      </c>
      <c r="C10" s="79"/>
      <c r="D10" s="80" t="s">
        <v>109</v>
      </c>
      <c r="E10" s="81"/>
      <c r="F10" s="82">
        <v>31.266131815044861</v>
      </c>
      <c r="G10" s="83">
        <v>393</v>
      </c>
      <c r="H10" s="84">
        <f t="shared" si="0"/>
        <v>12287.58980331263</v>
      </c>
      <c r="I10" s="85">
        <v>2</v>
      </c>
      <c r="J10" s="86">
        <v>18</v>
      </c>
      <c r="K10" s="83">
        <v>3000</v>
      </c>
      <c r="L10" s="87">
        <v>166.66666666666666</v>
      </c>
      <c r="M10" s="88">
        <v>19</v>
      </c>
      <c r="N10" s="83">
        <f t="shared" si="1"/>
        <v>2358.0000000000082</v>
      </c>
      <c r="O10" s="87">
        <f t="shared" si="2"/>
        <v>124.10526315789517</v>
      </c>
      <c r="P10" s="89">
        <f t="shared" si="3"/>
        <v>1</v>
      </c>
      <c r="Q10" s="90">
        <f t="shared" si="4"/>
        <v>-42.561403508771491</v>
      </c>
      <c r="R10" s="91">
        <f t="shared" si="5"/>
        <v>0.74463157894737109</v>
      </c>
      <c r="S10" s="662"/>
      <c r="T10" s="92">
        <v>0.54583333333333328</v>
      </c>
      <c r="U10" s="92">
        <v>0.5527777777777777</v>
      </c>
      <c r="V10" s="65">
        <v>8</v>
      </c>
      <c r="W10" s="85">
        <f t="shared" si="8"/>
        <v>9.9999999999999645</v>
      </c>
      <c r="X10" s="95"/>
      <c r="Y10" s="95"/>
      <c r="Z10" s="96"/>
      <c r="AA10" s="96"/>
      <c r="AB10" s="644"/>
      <c r="AC10" s="644"/>
      <c r="AD10" s="97"/>
      <c r="AE10" s="97"/>
      <c r="AF10" s="89">
        <f t="shared" si="6"/>
        <v>-641.99999999999181</v>
      </c>
      <c r="AG10" s="91">
        <f t="shared" si="7"/>
        <v>0.7860000000000027</v>
      </c>
      <c r="AH10" s="662"/>
    </row>
    <row r="11" spans="1:34" ht="18" customHeight="1">
      <c r="A11" s="694"/>
      <c r="B11" s="78" t="s">
        <v>247</v>
      </c>
      <c r="C11" s="79"/>
      <c r="D11" s="80" t="s">
        <v>112</v>
      </c>
      <c r="E11" s="81"/>
      <c r="F11" s="82">
        <v>54.25</v>
      </c>
      <c r="G11" s="83">
        <v>492.65999999999997</v>
      </c>
      <c r="H11" s="84">
        <f t="shared" si="0"/>
        <v>26726.804999999997</v>
      </c>
      <c r="I11" s="85">
        <v>2</v>
      </c>
      <c r="J11" s="86">
        <v>21</v>
      </c>
      <c r="K11" s="83">
        <v>1385</v>
      </c>
      <c r="L11" s="87">
        <v>65.952380952380949</v>
      </c>
      <c r="M11" s="88">
        <v>20</v>
      </c>
      <c r="N11" s="83">
        <f t="shared" si="1"/>
        <v>1136.9076923076891</v>
      </c>
      <c r="O11" s="87">
        <f t="shared" si="2"/>
        <v>56.845384615384454</v>
      </c>
      <c r="P11" s="89">
        <f t="shared" si="3"/>
        <v>-1</v>
      </c>
      <c r="Q11" s="90">
        <f t="shared" si="4"/>
        <v>-9.1069963369964952</v>
      </c>
      <c r="R11" s="91">
        <f t="shared" si="5"/>
        <v>0.86191557900582927</v>
      </c>
      <c r="S11" s="662"/>
      <c r="T11" s="92">
        <v>0.55624999999999991</v>
      </c>
      <c r="U11" s="92">
        <v>0.57430555555555551</v>
      </c>
      <c r="V11" s="65">
        <v>5</v>
      </c>
      <c r="W11" s="85">
        <f t="shared" si="8"/>
        <v>26.000000000000068</v>
      </c>
      <c r="X11" s="95"/>
      <c r="Y11" s="95"/>
      <c r="Z11" s="96"/>
      <c r="AA11" s="96"/>
      <c r="AB11" s="644"/>
      <c r="AC11" s="644"/>
      <c r="AD11" s="97"/>
      <c r="AE11" s="97"/>
      <c r="AF11" s="89">
        <f t="shared" si="6"/>
        <v>-248.0923076923109</v>
      </c>
      <c r="AG11" s="91">
        <f t="shared" si="7"/>
        <v>0.82087198000555173</v>
      </c>
      <c r="AH11" s="662"/>
    </row>
    <row r="12" spans="1:34" ht="18" customHeight="1">
      <c r="A12" s="694"/>
      <c r="B12" s="78" t="s">
        <v>248</v>
      </c>
      <c r="C12" s="79"/>
      <c r="D12" s="80" t="s">
        <v>113</v>
      </c>
      <c r="E12" s="81"/>
      <c r="F12" s="82">
        <v>38.39</v>
      </c>
      <c r="G12" s="83">
        <v>729.98</v>
      </c>
      <c r="H12" s="84">
        <f t="shared" si="0"/>
        <v>28023.932200000003</v>
      </c>
      <c r="I12" s="85">
        <v>2</v>
      </c>
      <c r="J12" s="86"/>
      <c r="K12" s="83"/>
      <c r="L12" s="87"/>
      <c r="M12" s="88">
        <v>18</v>
      </c>
      <c r="N12" s="83"/>
      <c r="O12" s="87"/>
      <c r="P12" s="89"/>
      <c r="Q12" s="90"/>
      <c r="R12" s="91"/>
      <c r="S12" s="662"/>
      <c r="T12" s="92">
        <v>0.57847222222222217</v>
      </c>
      <c r="U12" s="92">
        <v>0.60138888888888886</v>
      </c>
      <c r="V12" s="65">
        <v>6</v>
      </c>
      <c r="W12" s="85">
        <f t="shared" si="8"/>
        <v>33.000000000000043</v>
      </c>
      <c r="X12" s="95"/>
      <c r="Y12" s="95"/>
      <c r="Z12" s="96"/>
      <c r="AA12" s="96"/>
      <c r="AB12" s="644"/>
      <c r="AC12" s="644"/>
      <c r="AD12" s="97"/>
      <c r="AE12" s="97"/>
      <c r="AF12" s="89"/>
      <c r="AG12" s="91"/>
      <c r="AH12" s="662"/>
    </row>
    <row r="13" spans="1:34" ht="18" customHeight="1">
      <c r="A13" s="694"/>
      <c r="B13" s="78">
        <v>0</v>
      </c>
      <c r="C13" s="101"/>
      <c r="D13" s="102"/>
      <c r="E13" s="103"/>
      <c r="F13" s="82" t="s">
        <v>253</v>
      </c>
      <c r="G13" s="104"/>
      <c r="H13" s="84">
        <f t="shared" si="0"/>
        <v>0</v>
      </c>
      <c r="I13" s="105"/>
      <c r="J13" s="86"/>
      <c r="K13" s="83"/>
      <c r="L13" s="87"/>
      <c r="M13" s="106"/>
      <c r="N13" s="83"/>
      <c r="O13" s="87"/>
      <c r="P13" s="89"/>
      <c r="Q13" s="90"/>
      <c r="R13" s="91"/>
      <c r="S13" s="662"/>
      <c r="T13" s="107"/>
      <c r="U13" s="107"/>
      <c r="V13" s="105"/>
      <c r="W13" s="85">
        <f t="shared" si="8"/>
        <v>0</v>
      </c>
      <c r="X13" s="108"/>
      <c r="Y13" s="108"/>
      <c r="Z13" s="96"/>
      <c r="AA13" s="96"/>
      <c r="AB13" s="641"/>
      <c r="AC13" s="642"/>
      <c r="AD13" s="97"/>
      <c r="AE13" s="97"/>
      <c r="AF13" s="118"/>
      <c r="AG13" s="125"/>
      <c r="AH13" s="662"/>
    </row>
    <row r="14" spans="1:34" ht="18" customHeight="1">
      <c r="A14" s="694"/>
      <c r="B14" s="78">
        <v>0</v>
      </c>
      <c r="C14" s="109"/>
      <c r="D14" s="80"/>
      <c r="E14" s="81"/>
      <c r="F14" s="82" t="s">
        <v>253</v>
      </c>
      <c r="G14" s="104"/>
      <c r="H14" s="84">
        <f t="shared" si="0"/>
        <v>0</v>
      </c>
      <c r="I14" s="105"/>
      <c r="J14" s="86"/>
      <c r="K14" s="83"/>
      <c r="L14" s="87"/>
      <c r="M14" s="106"/>
      <c r="N14" s="83"/>
      <c r="O14" s="87"/>
      <c r="P14" s="89"/>
      <c r="Q14" s="90"/>
      <c r="R14" s="91"/>
      <c r="S14" s="662"/>
      <c r="T14" s="107"/>
      <c r="U14" s="107"/>
      <c r="V14" s="105"/>
      <c r="W14" s="85">
        <f t="shared" si="8"/>
        <v>0</v>
      </c>
      <c r="X14" s="108"/>
      <c r="Y14" s="108"/>
      <c r="Z14" s="96"/>
      <c r="AA14" s="96"/>
      <c r="AB14" s="641"/>
      <c r="AC14" s="642"/>
      <c r="AD14" s="97"/>
      <c r="AE14" s="97"/>
      <c r="AF14" s="118"/>
      <c r="AG14" s="125"/>
      <c r="AH14" s="662"/>
    </row>
    <row r="15" spans="1:34" ht="18" customHeight="1">
      <c r="A15" s="694"/>
      <c r="B15" s="110">
        <v>0</v>
      </c>
      <c r="C15" s="101"/>
      <c r="D15" s="102"/>
      <c r="E15" s="103"/>
      <c r="F15" s="82" t="s">
        <v>253</v>
      </c>
      <c r="G15" s="104"/>
      <c r="H15" s="84">
        <f t="shared" si="0"/>
        <v>0</v>
      </c>
      <c r="I15" s="105"/>
      <c r="J15" s="86"/>
      <c r="K15" s="83"/>
      <c r="L15" s="87"/>
      <c r="M15" s="106"/>
      <c r="N15" s="111"/>
      <c r="O15" s="87"/>
      <c r="P15" s="89"/>
      <c r="Q15" s="90"/>
      <c r="R15" s="91"/>
      <c r="S15" s="662"/>
      <c r="T15" s="107"/>
      <c r="U15" s="107"/>
      <c r="V15" s="105"/>
      <c r="W15" s="85">
        <f t="shared" si="8"/>
        <v>0</v>
      </c>
      <c r="X15" s="108"/>
      <c r="Y15" s="108"/>
      <c r="Z15" s="96"/>
      <c r="AA15" s="96"/>
      <c r="AB15" s="641"/>
      <c r="AC15" s="642"/>
      <c r="AD15" s="97"/>
      <c r="AE15" s="97"/>
      <c r="AF15" s="118"/>
      <c r="AG15" s="125"/>
      <c r="AH15" s="662"/>
    </row>
    <row r="16" spans="1:34" ht="18" customHeight="1">
      <c r="A16" s="694"/>
      <c r="B16" s="110">
        <v>0</v>
      </c>
      <c r="C16" s="101"/>
      <c r="D16" s="102"/>
      <c r="E16" s="103"/>
      <c r="F16" s="82" t="s">
        <v>253</v>
      </c>
      <c r="G16" s="104"/>
      <c r="H16" s="84">
        <f t="shared" si="0"/>
        <v>0</v>
      </c>
      <c r="I16" s="105"/>
      <c r="J16" s="86"/>
      <c r="K16" s="83"/>
      <c r="L16" s="87"/>
      <c r="M16" s="106"/>
      <c r="N16" s="111"/>
      <c r="O16" s="87"/>
      <c r="P16" s="89"/>
      <c r="Q16" s="90"/>
      <c r="R16" s="91"/>
      <c r="S16" s="662"/>
      <c r="T16" s="107"/>
      <c r="U16" s="107"/>
      <c r="V16" s="105"/>
      <c r="W16" s="85">
        <f t="shared" si="8"/>
        <v>0</v>
      </c>
      <c r="X16" s="108"/>
      <c r="Y16" s="108"/>
      <c r="Z16" s="96"/>
      <c r="AA16" s="96"/>
      <c r="AB16" s="641"/>
      <c r="AC16" s="642"/>
      <c r="AD16" s="97"/>
      <c r="AE16" s="97"/>
      <c r="AF16" s="118"/>
      <c r="AG16" s="125"/>
      <c r="AH16" s="662"/>
    </row>
    <row r="17" spans="1:34" ht="18" customHeight="1">
      <c r="A17" s="694"/>
      <c r="B17" s="112">
        <v>0</v>
      </c>
      <c r="C17" s="112" t="s">
        <v>13</v>
      </c>
      <c r="D17" s="635" t="s">
        <v>220</v>
      </c>
      <c r="E17" s="635"/>
      <c r="F17" s="113"/>
      <c r="G17" s="114"/>
      <c r="H17" s="115"/>
      <c r="I17" s="116"/>
      <c r="J17" s="114">
        <v>19.142857142857142</v>
      </c>
      <c r="K17" s="114">
        <v>2597.8571428571427</v>
      </c>
      <c r="L17" s="117">
        <v>137.69244539921229</v>
      </c>
      <c r="M17" s="114">
        <f t="shared" ref="M17:O17" si="9">AVERAGE(M5:M16)</f>
        <v>19</v>
      </c>
      <c r="N17" s="114">
        <f t="shared" si="9"/>
        <v>2181.3855925493854</v>
      </c>
      <c r="O17" s="117">
        <f t="shared" si="9"/>
        <v>114.38235912203243</v>
      </c>
      <c r="P17" s="118">
        <f t="shared" ref="P17:P22" si="10">M17-J17</f>
        <v>-0.14285714285714235</v>
      </c>
      <c r="Q17" s="119">
        <f t="shared" ref="Q17:Q22" si="11">O17-L17</f>
        <v>-23.310086277179863</v>
      </c>
      <c r="R17" s="120">
        <f>O17/L17</f>
        <v>0.83070903992156697</v>
      </c>
      <c r="S17" s="662"/>
      <c r="T17" s="107"/>
      <c r="U17" s="107"/>
      <c r="V17" s="105"/>
      <c r="W17" s="121">
        <f t="shared" si="8"/>
        <v>0</v>
      </c>
      <c r="X17" s="122"/>
      <c r="Y17" s="122"/>
      <c r="Z17" s="123">
        <f>SUM(Z5:Z16)</f>
        <v>0</v>
      </c>
      <c r="AA17" s="123">
        <f>SUM(AA5:AA16)</f>
        <v>0</v>
      </c>
      <c r="AB17" s="637"/>
      <c r="AC17" s="637"/>
      <c r="AD17" s="124">
        <f>SUM(AD5:AD16)</f>
        <v>0</v>
      </c>
      <c r="AE17" s="124">
        <f>SUM(AE5:AE16)</f>
        <v>0</v>
      </c>
      <c r="AF17" s="118">
        <f t="shared" si="6"/>
        <v>-416.4715503077573</v>
      </c>
      <c r="AG17" s="125">
        <f t="shared" si="7"/>
        <v>0.83968650799261468</v>
      </c>
      <c r="AH17" s="662"/>
    </row>
    <row r="18" spans="1:34" ht="18" customHeight="1">
      <c r="A18" s="631" t="s">
        <v>221</v>
      </c>
      <c r="B18" s="346" t="s">
        <v>246</v>
      </c>
      <c r="C18" s="127"/>
      <c r="D18" s="168" t="s">
        <v>115</v>
      </c>
      <c r="E18" s="169"/>
      <c r="F18" s="347">
        <v>36.86</v>
      </c>
      <c r="G18" s="100">
        <v>1427</v>
      </c>
      <c r="H18" s="129">
        <f t="shared" ref="H18:H29" si="12">F18*G18</f>
        <v>52599.22</v>
      </c>
      <c r="I18" s="97"/>
      <c r="J18" s="348">
        <v>20</v>
      </c>
      <c r="K18" s="100">
        <v>2250</v>
      </c>
      <c r="L18" s="131">
        <v>112.5</v>
      </c>
      <c r="M18" s="130">
        <v>20</v>
      </c>
      <c r="N18" s="100">
        <f t="shared" ref="N18:N22" si="13">G18/W18*60</f>
        <v>1945.9090909090908</v>
      </c>
      <c r="O18" s="131">
        <f t="shared" ref="O18:O22" si="14">N18/M18</f>
        <v>97.295454545454533</v>
      </c>
      <c r="P18" s="96">
        <f t="shared" si="10"/>
        <v>0</v>
      </c>
      <c r="Q18" s="132">
        <f t="shared" si="11"/>
        <v>-15.204545454545467</v>
      </c>
      <c r="R18" s="133">
        <f t="shared" ref="R18:R22" si="15">O18/L18</f>
        <v>0.86484848484848476</v>
      </c>
      <c r="S18" s="632">
        <f>R30</f>
        <v>0.86773193274806792</v>
      </c>
      <c r="T18" s="134">
        <v>0.16666666666666666</v>
      </c>
      <c r="U18" s="134">
        <v>0.19722222222222222</v>
      </c>
      <c r="V18" s="97">
        <v>5</v>
      </c>
      <c r="W18" s="135">
        <f>(U18-T18)*24*60</f>
        <v>44</v>
      </c>
      <c r="X18" s="131"/>
      <c r="Y18" s="131"/>
      <c r="Z18" s="96"/>
      <c r="AA18" s="96"/>
      <c r="AB18" s="664"/>
      <c r="AC18" s="707"/>
      <c r="AD18" s="97"/>
      <c r="AE18" s="97"/>
      <c r="AF18" s="349">
        <f t="shared" si="6"/>
        <v>-304.09090909090924</v>
      </c>
      <c r="AG18" s="350">
        <f t="shared" si="7"/>
        <v>0.86484848484848476</v>
      </c>
      <c r="AH18" s="708">
        <f>AG30</f>
        <v>0.86734548079237261</v>
      </c>
    </row>
    <row r="19" spans="1:34" ht="18" customHeight="1">
      <c r="A19" s="631"/>
      <c r="B19" s="351" t="s">
        <v>248</v>
      </c>
      <c r="C19" s="219"/>
      <c r="D19" s="168" t="s">
        <v>116</v>
      </c>
      <c r="E19" s="169"/>
      <c r="F19" s="82">
        <v>56.43</v>
      </c>
      <c r="G19" s="100">
        <v>2266</v>
      </c>
      <c r="H19" s="129">
        <f t="shared" si="12"/>
        <v>127870.38</v>
      </c>
      <c r="I19" s="97"/>
      <c r="J19" s="352">
        <v>18</v>
      </c>
      <c r="K19" s="83">
        <v>1500</v>
      </c>
      <c r="L19" s="87">
        <v>83.333333333333329</v>
      </c>
      <c r="M19" s="130">
        <v>18</v>
      </c>
      <c r="N19" s="151">
        <f t="shared" si="13"/>
        <v>1346.1386138613861</v>
      </c>
      <c r="O19" s="154">
        <f t="shared" si="14"/>
        <v>74.78547854785478</v>
      </c>
      <c r="P19" s="96">
        <f t="shared" si="10"/>
        <v>0</v>
      </c>
      <c r="Q19" s="132">
        <f t="shared" si="11"/>
        <v>-8.5478547854785489</v>
      </c>
      <c r="R19" s="133">
        <f t="shared" si="15"/>
        <v>0.89742574257425745</v>
      </c>
      <c r="S19" s="632"/>
      <c r="T19" s="134">
        <v>0.21249999999999999</v>
      </c>
      <c r="U19" s="134">
        <v>0.28263888888888888</v>
      </c>
      <c r="V19" s="97">
        <v>22</v>
      </c>
      <c r="W19" s="135">
        <f>(U19-T19)*24*60</f>
        <v>101</v>
      </c>
      <c r="X19" s="136">
        <v>0.20069444444444443</v>
      </c>
      <c r="Y19" s="136">
        <v>0.20972222222222223</v>
      </c>
      <c r="Z19" s="96"/>
      <c r="AA19" s="96"/>
      <c r="AB19" s="642"/>
      <c r="AC19" s="644"/>
      <c r="AD19" s="97"/>
      <c r="AE19" s="97"/>
      <c r="AF19" s="89">
        <f t="shared" si="6"/>
        <v>-153.86138613861385</v>
      </c>
      <c r="AG19" s="91">
        <f t="shared" si="7"/>
        <v>0.89742574257425745</v>
      </c>
      <c r="AH19" s="709"/>
    </row>
    <row r="20" spans="1:34" ht="18" customHeight="1">
      <c r="A20" s="631"/>
      <c r="B20" s="351" t="s">
        <v>248</v>
      </c>
      <c r="C20" s="98"/>
      <c r="D20" s="80" t="s">
        <v>113</v>
      </c>
      <c r="E20" s="169"/>
      <c r="F20" s="82">
        <v>38.39</v>
      </c>
      <c r="G20" s="100">
        <v>3112.02</v>
      </c>
      <c r="H20" s="129">
        <f t="shared" si="12"/>
        <v>119470.44779999999</v>
      </c>
      <c r="I20" s="97"/>
      <c r="J20" s="352">
        <v>17</v>
      </c>
      <c r="K20" s="83">
        <v>1636</v>
      </c>
      <c r="L20" s="87">
        <v>96.235294117647058</v>
      </c>
      <c r="M20" s="130">
        <v>18</v>
      </c>
      <c r="N20" s="151">
        <f t="shared" si="13"/>
        <v>1333.7228571428573</v>
      </c>
      <c r="O20" s="154">
        <f t="shared" si="14"/>
        <v>74.095714285714294</v>
      </c>
      <c r="P20" s="96">
        <f t="shared" si="10"/>
        <v>1</v>
      </c>
      <c r="Q20" s="132">
        <f t="shared" si="11"/>
        <v>-22.139579831932764</v>
      </c>
      <c r="R20" s="133">
        <f t="shared" si="15"/>
        <v>0.76994324135522185</v>
      </c>
      <c r="S20" s="632"/>
      <c r="T20" s="134">
        <v>0.29722222222222222</v>
      </c>
      <c r="U20" s="134">
        <v>0.39444444444444443</v>
      </c>
      <c r="V20" s="97">
        <v>21</v>
      </c>
      <c r="W20" s="135">
        <f t="shared" ref="W20:W29" si="16">(U20-T20)*24*60</f>
        <v>139.99999999999997</v>
      </c>
      <c r="X20" s="136">
        <v>0.28611111111111115</v>
      </c>
      <c r="Y20" s="136">
        <v>0.29444444444444445</v>
      </c>
      <c r="Z20" s="96"/>
      <c r="AA20" s="96"/>
      <c r="AB20" s="642"/>
      <c r="AC20" s="644"/>
      <c r="AD20" s="97"/>
      <c r="AE20" s="97"/>
      <c r="AF20" s="89">
        <f t="shared" si="6"/>
        <v>-302.27714285714274</v>
      </c>
      <c r="AG20" s="91">
        <f t="shared" si="7"/>
        <v>0.81523402025847025</v>
      </c>
      <c r="AH20" s="709"/>
    </row>
    <row r="21" spans="1:34" ht="18" customHeight="1">
      <c r="A21" s="631"/>
      <c r="B21" s="351" t="s">
        <v>247</v>
      </c>
      <c r="C21" s="176"/>
      <c r="D21" s="165" t="s">
        <v>117</v>
      </c>
      <c r="E21" s="81"/>
      <c r="F21" s="82">
        <v>43.14</v>
      </c>
      <c r="G21" s="83">
        <v>612</v>
      </c>
      <c r="H21" s="129">
        <f t="shared" si="12"/>
        <v>26401.68</v>
      </c>
      <c r="I21" s="65"/>
      <c r="J21" s="352">
        <v>17</v>
      </c>
      <c r="K21" s="83">
        <v>1440</v>
      </c>
      <c r="L21" s="87">
        <v>84.705882352941174</v>
      </c>
      <c r="M21" s="88">
        <v>17</v>
      </c>
      <c r="N21" s="151">
        <f t="shared" si="13"/>
        <v>1266.2068965517251</v>
      </c>
      <c r="O21" s="154">
        <f t="shared" si="14"/>
        <v>74.482758620689708</v>
      </c>
      <c r="P21" s="96">
        <f t="shared" si="10"/>
        <v>0</v>
      </c>
      <c r="Q21" s="132">
        <f t="shared" si="11"/>
        <v>-10.223123732251466</v>
      </c>
      <c r="R21" s="133">
        <f t="shared" si="15"/>
        <v>0.87931034482758685</v>
      </c>
      <c r="S21" s="632"/>
      <c r="T21" s="134">
        <v>0.43611111111111106</v>
      </c>
      <c r="U21" s="134">
        <v>0.45624999999999993</v>
      </c>
      <c r="V21" s="97">
        <v>7</v>
      </c>
      <c r="W21" s="135">
        <f t="shared" si="16"/>
        <v>28.999999999999979</v>
      </c>
      <c r="X21" s="136"/>
      <c r="Y21" s="136"/>
      <c r="Z21" s="96"/>
      <c r="AA21" s="96"/>
      <c r="AB21" s="642"/>
      <c r="AC21" s="644"/>
      <c r="AD21" s="97"/>
      <c r="AE21" s="97"/>
      <c r="AF21" s="89">
        <f t="shared" si="6"/>
        <v>-173.79310344827491</v>
      </c>
      <c r="AG21" s="91">
        <f t="shared" si="7"/>
        <v>0.87931034482758685</v>
      </c>
      <c r="AH21" s="710"/>
    </row>
    <row r="22" spans="1:34" ht="18" customHeight="1">
      <c r="A22" s="631"/>
      <c r="B22" s="351" t="s">
        <v>248</v>
      </c>
      <c r="C22" s="176"/>
      <c r="D22" s="80" t="s">
        <v>118</v>
      </c>
      <c r="E22" s="81"/>
      <c r="F22" s="82">
        <v>44.3</v>
      </c>
      <c r="G22" s="83">
        <v>1737</v>
      </c>
      <c r="H22" s="129">
        <f t="shared" si="12"/>
        <v>76949.099999999991</v>
      </c>
      <c r="I22" s="65"/>
      <c r="J22" s="352">
        <v>18</v>
      </c>
      <c r="K22" s="83">
        <v>1636</v>
      </c>
      <c r="L22" s="87">
        <v>90.888888888888886</v>
      </c>
      <c r="M22" s="130">
        <v>17</v>
      </c>
      <c r="N22" s="151">
        <f t="shared" si="13"/>
        <v>1447.4999999999989</v>
      </c>
      <c r="O22" s="154">
        <f t="shared" si="14"/>
        <v>85.147058823529349</v>
      </c>
      <c r="P22" s="96">
        <f t="shared" si="10"/>
        <v>-1</v>
      </c>
      <c r="Q22" s="132">
        <f t="shared" si="11"/>
        <v>-5.7418300653595367</v>
      </c>
      <c r="R22" s="133">
        <f t="shared" si="15"/>
        <v>0.93682583057672886</v>
      </c>
      <c r="S22" s="632"/>
      <c r="T22" s="134">
        <v>0.46180555555555547</v>
      </c>
      <c r="U22" s="134">
        <v>0.51180555555555551</v>
      </c>
      <c r="V22" s="97">
        <v>8</v>
      </c>
      <c r="W22" s="135">
        <f t="shared" si="16"/>
        <v>72.000000000000057</v>
      </c>
      <c r="X22" s="136"/>
      <c r="Y22" s="136"/>
      <c r="Z22" s="96"/>
      <c r="AA22" s="96"/>
      <c r="AB22" s="642"/>
      <c r="AC22" s="644"/>
      <c r="AD22" s="97"/>
      <c r="AE22" s="97"/>
      <c r="AF22" s="89">
        <f t="shared" si="6"/>
        <v>-188.50000000000114</v>
      </c>
      <c r="AG22" s="91">
        <f t="shared" si="7"/>
        <v>0.88477995110024377</v>
      </c>
      <c r="AH22" s="710"/>
    </row>
    <row r="23" spans="1:34" ht="18" customHeight="1">
      <c r="A23" s="631"/>
      <c r="B23" s="351">
        <v>0</v>
      </c>
      <c r="C23" s="176"/>
      <c r="D23" s="80"/>
      <c r="E23" s="81"/>
      <c r="F23" s="82" t="s">
        <v>253</v>
      </c>
      <c r="G23" s="83"/>
      <c r="H23" s="129">
        <f t="shared" si="12"/>
        <v>0</v>
      </c>
      <c r="I23" s="65"/>
      <c r="J23" s="352"/>
      <c r="K23" s="83"/>
      <c r="L23" s="87"/>
      <c r="M23" s="130"/>
      <c r="N23" s="151"/>
      <c r="O23" s="154"/>
      <c r="P23" s="96"/>
      <c r="Q23" s="132"/>
      <c r="R23" s="133"/>
      <c r="S23" s="632"/>
      <c r="T23" s="134"/>
      <c r="U23" s="134"/>
      <c r="V23" s="97"/>
      <c r="W23" s="135"/>
      <c r="X23" s="136"/>
      <c r="Y23" s="136"/>
      <c r="Z23" s="96"/>
      <c r="AA23" s="96"/>
      <c r="AB23" s="642"/>
      <c r="AC23" s="644"/>
      <c r="AD23" s="97"/>
      <c r="AE23" s="97"/>
      <c r="AF23" s="89"/>
      <c r="AG23" s="91"/>
      <c r="AH23" s="710"/>
    </row>
    <row r="24" spans="1:34" ht="18" customHeight="1">
      <c r="A24" s="631"/>
      <c r="B24" s="351">
        <v>0</v>
      </c>
      <c r="C24" s="127"/>
      <c r="D24" s="168"/>
      <c r="E24" s="169"/>
      <c r="F24" s="82" t="s">
        <v>253</v>
      </c>
      <c r="G24" s="100"/>
      <c r="H24" s="129">
        <f t="shared" si="12"/>
        <v>0</v>
      </c>
      <c r="I24" s="135"/>
      <c r="J24" s="352"/>
      <c r="K24" s="83"/>
      <c r="L24" s="87"/>
      <c r="M24" s="130"/>
      <c r="N24" s="151"/>
      <c r="O24" s="154"/>
      <c r="P24" s="96"/>
      <c r="Q24" s="132"/>
      <c r="R24" s="133"/>
      <c r="S24" s="632"/>
      <c r="T24" s="134"/>
      <c r="U24" s="134"/>
      <c r="V24" s="97"/>
      <c r="W24" s="135"/>
      <c r="X24" s="97"/>
      <c r="Y24" s="97"/>
      <c r="Z24" s="96"/>
      <c r="AA24" s="96"/>
      <c r="AB24" s="642"/>
      <c r="AC24" s="644"/>
      <c r="AD24" s="97"/>
      <c r="AE24" s="97"/>
      <c r="AF24" s="89">
        <f t="shared" si="6"/>
        <v>0</v>
      </c>
      <c r="AG24" s="91"/>
      <c r="AH24" s="710"/>
    </row>
    <row r="25" spans="1:34" ht="18" customHeight="1">
      <c r="A25" s="631"/>
      <c r="B25" s="351">
        <v>0</v>
      </c>
      <c r="C25" s="127"/>
      <c r="D25" s="168"/>
      <c r="E25" s="169"/>
      <c r="F25" s="82" t="s">
        <v>253</v>
      </c>
      <c r="G25" s="100"/>
      <c r="H25" s="129"/>
      <c r="I25" s="135"/>
      <c r="J25" s="130"/>
      <c r="K25" s="100"/>
      <c r="L25" s="131"/>
      <c r="M25" s="130"/>
      <c r="N25" s="100"/>
      <c r="O25" s="131"/>
      <c r="P25" s="96"/>
      <c r="Q25" s="132"/>
      <c r="R25" s="133"/>
      <c r="S25" s="632"/>
      <c r="T25" s="134"/>
      <c r="U25" s="134"/>
      <c r="V25" s="97"/>
      <c r="W25" s="135">
        <f t="shared" si="16"/>
        <v>0</v>
      </c>
      <c r="X25" s="97"/>
      <c r="Y25" s="97"/>
      <c r="Z25" s="96"/>
      <c r="AA25" s="96"/>
      <c r="AB25" s="642"/>
      <c r="AC25" s="644"/>
      <c r="AD25" s="97"/>
      <c r="AE25" s="97"/>
      <c r="AF25" s="89">
        <f t="shared" si="6"/>
        <v>0</v>
      </c>
      <c r="AG25" s="91"/>
      <c r="AH25" s="710"/>
    </row>
    <row r="26" spans="1:34" ht="18" customHeight="1">
      <c r="A26" s="631"/>
      <c r="B26" s="351">
        <v>0</v>
      </c>
      <c r="C26" s="127"/>
      <c r="D26" s="168"/>
      <c r="E26" s="169"/>
      <c r="F26" s="82" t="s">
        <v>253</v>
      </c>
      <c r="G26" s="100"/>
      <c r="H26" s="84"/>
      <c r="I26" s="135"/>
      <c r="J26" s="130"/>
      <c r="K26" s="100"/>
      <c r="L26" s="131"/>
      <c r="M26" s="130"/>
      <c r="N26" s="100"/>
      <c r="O26" s="131"/>
      <c r="P26" s="96"/>
      <c r="Q26" s="132"/>
      <c r="R26" s="133"/>
      <c r="S26" s="632"/>
      <c r="T26" s="134"/>
      <c r="U26" s="134"/>
      <c r="V26" s="97"/>
      <c r="W26" s="135">
        <f t="shared" si="16"/>
        <v>0</v>
      </c>
      <c r="X26" s="97"/>
      <c r="Y26" s="97"/>
      <c r="Z26" s="96"/>
      <c r="AA26" s="96"/>
      <c r="AB26" s="642"/>
      <c r="AC26" s="644"/>
      <c r="AD26" s="97"/>
      <c r="AE26" s="97"/>
      <c r="AF26" s="89">
        <f t="shared" si="6"/>
        <v>0</v>
      </c>
      <c r="AG26" s="91"/>
      <c r="AH26" s="710"/>
    </row>
    <row r="27" spans="1:34" ht="18" customHeight="1">
      <c r="A27" s="631"/>
      <c r="B27" s="346">
        <v>0</v>
      </c>
      <c r="C27" s="127"/>
      <c r="D27" s="168"/>
      <c r="E27" s="169"/>
      <c r="F27" s="128" t="s">
        <v>253</v>
      </c>
      <c r="G27" s="100"/>
      <c r="H27" s="129">
        <f t="shared" si="12"/>
        <v>0</v>
      </c>
      <c r="I27" s="135"/>
      <c r="J27" s="130"/>
      <c r="K27" s="100"/>
      <c r="L27" s="131"/>
      <c r="M27" s="130"/>
      <c r="N27" s="100"/>
      <c r="O27" s="131"/>
      <c r="P27" s="96"/>
      <c r="Q27" s="132"/>
      <c r="R27" s="133"/>
      <c r="S27" s="632"/>
      <c r="T27" s="134"/>
      <c r="U27" s="134"/>
      <c r="V27" s="97"/>
      <c r="W27" s="135">
        <f t="shared" si="16"/>
        <v>0</v>
      </c>
      <c r="X27" s="97"/>
      <c r="Y27" s="97"/>
      <c r="Z27" s="96"/>
      <c r="AA27" s="96"/>
      <c r="AB27" s="642"/>
      <c r="AC27" s="644"/>
      <c r="AD27" s="97"/>
      <c r="AE27" s="97"/>
      <c r="AF27" s="89">
        <f t="shared" si="6"/>
        <v>0</v>
      </c>
      <c r="AG27" s="91"/>
      <c r="AH27" s="710"/>
    </row>
    <row r="28" spans="1:34" ht="18" customHeight="1">
      <c r="A28" s="631"/>
      <c r="B28" s="346">
        <v>0</v>
      </c>
      <c r="C28" s="127"/>
      <c r="D28" s="168"/>
      <c r="E28" s="169"/>
      <c r="F28" s="128" t="s">
        <v>253</v>
      </c>
      <c r="G28" s="100"/>
      <c r="H28" s="129">
        <f t="shared" si="12"/>
        <v>0</v>
      </c>
      <c r="I28" s="135"/>
      <c r="J28" s="130"/>
      <c r="K28" s="100"/>
      <c r="L28" s="131"/>
      <c r="M28" s="130"/>
      <c r="N28" s="100"/>
      <c r="O28" s="131"/>
      <c r="P28" s="96"/>
      <c r="Q28" s="132"/>
      <c r="R28" s="133"/>
      <c r="S28" s="632"/>
      <c r="T28" s="134"/>
      <c r="U28" s="134"/>
      <c r="V28" s="97"/>
      <c r="W28" s="135">
        <f t="shared" si="16"/>
        <v>0</v>
      </c>
      <c r="X28" s="97"/>
      <c r="Y28" s="97"/>
      <c r="Z28" s="96"/>
      <c r="AA28" s="96"/>
      <c r="AB28" s="642"/>
      <c r="AC28" s="644"/>
      <c r="AD28" s="97"/>
      <c r="AE28" s="97"/>
      <c r="AF28" s="89">
        <f t="shared" si="6"/>
        <v>0</v>
      </c>
      <c r="AG28" s="91"/>
      <c r="AH28" s="710"/>
    </row>
    <row r="29" spans="1:34" ht="18" customHeight="1">
      <c r="A29" s="631"/>
      <c r="B29" s="346">
        <v>0</v>
      </c>
      <c r="C29" s="127"/>
      <c r="D29" s="168"/>
      <c r="E29" s="169"/>
      <c r="F29" s="128" t="s">
        <v>253</v>
      </c>
      <c r="G29" s="100"/>
      <c r="H29" s="129">
        <f t="shared" si="12"/>
        <v>0</v>
      </c>
      <c r="I29" s="135"/>
      <c r="J29" s="130"/>
      <c r="K29" s="100"/>
      <c r="L29" s="131"/>
      <c r="M29" s="130"/>
      <c r="N29" s="100"/>
      <c r="O29" s="131"/>
      <c r="P29" s="96"/>
      <c r="Q29" s="132"/>
      <c r="R29" s="133"/>
      <c r="S29" s="632"/>
      <c r="T29" s="134"/>
      <c r="U29" s="134"/>
      <c r="V29" s="97"/>
      <c r="W29" s="135">
        <f t="shared" si="16"/>
        <v>0</v>
      </c>
      <c r="X29" s="97"/>
      <c r="Y29" s="97"/>
      <c r="Z29" s="96"/>
      <c r="AA29" s="96"/>
      <c r="AB29" s="642"/>
      <c r="AC29" s="644"/>
      <c r="AD29" s="97"/>
      <c r="AE29" s="97"/>
      <c r="AF29" s="89">
        <f t="shared" si="6"/>
        <v>0</v>
      </c>
      <c r="AG29" s="91"/>
      <c r="AH29" s="710"/>
    </row>
    <row r="30" spans="1:34" ht="18" customHeight="1">
      <c r="A30" s="631"/>
      <c r="B30" s="353">
        <v>0</v>
      </c>
      <c r="C30" s="138" t="s">
        <v>222</v>
      </c>
      <c r="D30" s="685" t="s">
        <v>220</v>
      </c>
      <c r="E30" s="685"/>
      <c r="F30" s="139"/>
      <c r="G30" s="140"/>
      <c r="H30" s="141"/>
      <c r="I30" s="142"/>
      <c r="J30" s="140">
        <v>18</v>
      </c>
      <c r="K30" s="140">
        <v>1692.4</v>
      </c>
      <c r="L30" s="143">
        <v>93.532679738562095</v>
      </c>
      <c r="M30" s="140">
        <f t="shared" ref="M30:O30" si="17">AVERAGE(M18:M29)</f>
        <v>18</v>
      </c>
      <c r="N30" s="140">
        <f t="shared" si="17"/>
        <v>1467.8954916930115</v>
      </c>
      <c r="O30" s="143">
        <f t="shared" si="17"/>
        <v>81.161292964648538</v>
      </c>
      <c r="P30" s="96">
        <f t="shared" ref="P30:P37" si="18">M30-J30</f>
        <v>0</v>
      </c>
      <c r="Q30" s="132">
        <f t="shared" ref="Q30:Q37" si="19">O30-L30</f>
        <v>-12.371386773913557</v>
      </c>
      <c r="R30" s="144">
        <f t="shared" ref="R30:R37" si="20">O30/L30</f>
        <v>0.86773193274806792</v>
      </c>
      <c r="S30" s="632"/>
      <c r="T30" s="134"/>
      <c r="U30" s="134"/>
      <c r="V30" s="100"/>
      <c r="W30" s="100"/>
      <c r="X30" s="131"/>
      <c r="Y30" s="131"/>
      <c r="Z30" s="145">
        <f>SUM(Z18:Z29)</f>
        <v>0</v>
      </c>
      <c r="AA30" s="145">
        <f>SUM(AA18:AA29)</f>
        <v>0</v>
      </c>
      <c r="AB30" s="706"/>
      <c r="AC30" s="657"/>
      <c r="AD30" s="146">
        <f>SUM(AD18:AD29)</f>
        <v>0</v>
      </c>
      <c r="AE30" s="146">
        <f>SUM(AE18:AE29)</f>
        <v>0</v>
      </c>
      <c r="AF30" s="238">
        <f t="shared" si="6"/>
        <v>-224.50450830698855</v>
      </c>
      <c r="AG30" s="240">
        <f t="shared" ref="AG30" si="21">N30/K30</f>
        <v>0.86734548079237261</v>
      </c>
      <c r="AH30" s="711"/>
    </row>
    <row r="31" spans="1:34" ht="18" customHeight="1">
      <c r="A31" s="682" t="s">
        <v>223</v>
      </c>
      <c r="B31" s="147" t="s">
        <v>249</v>
      </c>
      <c r="C31" s="109"/>
      <c r="D31" s="148" t="s">
        <v>119</v>
      </c>
      <c r="E31" s="149"/>
      <c r="F31" s="150">
        <v>34.229999999999997</v>
      </c>
      <c r="G31" s="151">
        <v>1763</v>
      </c>
      <c r="H31" s="152">
        <f t="shared" ref="H31:H40" si="22">F31*G31</f>
        <v>60347.49</v>
      </c>
      <c r="I31" s="94"/>
      <c r="J31" s="153">
        <v>14</v>
      </c>
      <c r="K31" s="151">
        <v>2118</v>
      </c>
      <c r="L31" s="154">
        <v>151.28571428571428</v>
      </c>
      <c r="M31" s="155">
        <v>14</v>
      </c>
      <c r="N31" s="156">
        <f t="shared" ref="N31:N37" si="23">G31/W31*60</f>
        <v>1995.8490566037731</v>
      </c>
      <c r="O31" s="157">
        <f t="shared" ref="O31:O37" si="24">N31/M31</f>
        <v>142.56064690026952</v>
      </c>
      <c r="P31" s="158">
        <f t="shared" si="18"/>
        <v>0</v>
      </c>
      <c r="Q31" s="159">
        <f t="shared" si="19"/>
        <v>-8.7250673854447598</v>
      </c>
      <c r="R31" s="160">
        <f t="shared" si="20"/>
        <v>0.94232722219252751</v>
      </c>
      <c r="S31" s="684">
        <f>R43</f>
        <v>0.89041972919694756</v>
      </c>
      <c r="T31" s="161">
        <v>0.16666666666666666</v>
      </c>
      <c r="U31" s="161">
        <v>0.20347222222222222</v>
      </c>
      <c r="V31" s="94">
        <v>5</v>
      </c>
      <c r="W31" s="162">
        <f t="shared" ref="W31:W42" si="25">(U31-T31)*24*60</f>
        <v>53.000000000000014</v>
      </c>
      <c r="X31" s="94"/>
      <c r="Y31" s="94"/>
      <c r="Z31" s="93"/>
      <c r="AA31" s="93"/>
      <c r="AB31" s="645"/>
      <c r="AC31" s="654"/>
      <c r="AD31" s="94"/>
      <c r="AE31" s="94"/>
      <c r="AF31" s="158">
        <f t="shared" si="6"/>
        <v>-122.15094339622692</v>
      </c>
      <c r="AG31" s="163">
        <f t="shared" si="7"/>
        <v>0.9423272221925274</v>
      </c>
      <c r="AH31" s="661">
        <f>AG43</f>
        <v>0.86311974688127224</v>
      </c>
    </row>
    <row r="32" spans="1:34" ht="18" customHeight="1">
      <c r="A32" s="683"/>
      <c r="B32" s="126" t="s">
        <v>250</v>
      </c>
      <c r="C32" s="164"/>
      <c r="D32" s="165" t="s">
        <v>120</v>
      </c>
      <c r="E32" s="81"/>
      <c r="F32" s="82">
        <v>35.33</v>
      </c>
      <c r="G32" s="83">
        <v>2185</v>
      </c>
      <c r="H32" s="129">
        <f t="shared" si="22"/>
        <v>77196.05</v>
      </c>
      <c r="I32" s="85"/>
      <c r="J32" s="86">
        <v>13</v>
      </c>
      <c r="K32" s="83">
        <v>2118</v>
      </c>
      <c r="L32" s="87">
        <v>162.92307692307693</v>
      </c>
      <c r="M32" s="88">
        <v>13</v>
      </c>
      <c r="N32" s="83">
        <f t="shared" si="23"/>
        <v>1986.3636363636374</v>
      </c>
      <c r="O32" s="87">
        <f t="shared" si="24"/>
        <v>152.79720279720289</v>
      </c>
      <c r="P32" s="89">
        <f t="shared" si="18"/>
        <v>0</v>
      </c>
      <c r="Q32" s="90">
        <f t="shared" si="19"/>
        <v>-10.125874125874049</v>
      </c>
      <c r="R32" s="91">
        <f t="shared" si="20"/>
        <v>0.93784874238132077</v>
      </c>
      <c r="S32" s="632"/>
      <c r="T32" s="134">
        <v>0.2076388888888889</v>
      </c>
      <c r="U32" s="134">
        <v>0.25347222222222221</v>
      </c>
      <c r="V32" s="97">
        <v>6</v>
      </c>
      <c r="W32" s="135">
        <f t="shared" si="25"/>
        <v>65.999999999999972</v>
      </c>
      <c r="X32" s="166"/>
      <c r="Y32" s="166"/>
      <c r="Z32" s="167"/>
      <c r="AA32" s="167"/>
      <c r="AB32" s="642"/>
      <c r="AC32" s="644"/>
      <c r="AD32" s="97"/>
      <c r="AE32" s="97"/>
      <c r="AF32" s="89">
        <f t="shared" si="6"/>
        <v>-131.6363636363626</v>
      </c>
      <c r="AG32" s="91">
        <f t="shared" si="7"/>
        <v>0.93784874238132077</v>
      </c>
      <c r="AH32" s="659"/>
    </row>
    <row r="33" spans="1:34" ht="18" customHeight="1">
      <c r="A33" s="683"/>
      <c r="B33" s="126" t="s">
        <v>250</v>
      </c>
      <c r="C33" s="97"/>
      <c r="D33" s="168" t="s">
        <v>121</v>
      </c>
      <c r="E33" s="169"/>
      <c r="F33" s="82">
        <v>36.409999999999997</v>
      </c>
      <c r="G33" s="100">
        <v>3197.7000000000003</v>
      </c>
      <c r="H33" s="129">
        <f t="shared" si="22"/>
        <v>116428.257</v>
      </c>
      <c r="I33" s="97"/>
      <c r="J33" s="86">
        <v>11</v>
      </c>
      <c r="K33" s="83">
        <v>2118</v>
      </c>
      <c r="L33" s="87">
        <v>192.54545454545453</v>
      </c>
      <c r="M33" s="137">
        <v>11</v>
      </c>
      <c r="N33" s="83">
        <f t="shared" si="23"/>
        <v>1977.9587628865986</v>
      </c>
      <c r="O33" s="87">
        <f t="shared" si="24"/>
        <v>179.81443298969077</v>
      </c>
      <c r="P33" s="89">
        <f t="shared" si="18"/>
        <v>0</v>
      </c>
      <c r="Q33" s="90">
        <f t="shared" si="19"/>
        <v>-12.73102155576376</v>
      </c>
      <c r="R33" s="91">
        <f t="shared" si="20"/>
        <v>0.93388043573493795</v>
      </c>
      <c r="S33" s="632"/>
      <c r="T33" s="134">
        <v>0.26874999999999999</v>
      </c>
      <c r="U33" s="134">
        <v>0.33611111111111108</v>
      </c>
      <c r="V33" s="97">
        <v>22</v>
      </c>
      <c r="W33" s="135">
        <f t="shared" si="25"/>
        <v>96.999999999999972</v>
      </c>
      <c r="X33" s="166">
        <v>0.25694444444444448</v>
      </c>
      <c r="Y33" s="166">
        <v>0.26597222222222222</v>
      </c>
      <c r="Z33" s="167"/>
      <c r="AA33" s="167"/>
      <c r="AB33" s="642"/>
      <c r="AC33" s="644"/>
      <c r="AD33" s="97"/>
      <c r="AE33" s="97"/>
      <c r="AF33" s="89">
        <f t="shared" si="6"/>
        <v>-140.04123711340139</v>
      </c>
      <c r="AG33" s="170">
        <f t="shared" si="7"/>
        <v>0.93388043573493795</v>
      </c>
      <c r="AH33" s="659"/>
    </row>
    <row r="34" spans="1:34" ht="18" customHeight="1">
      <c r="A34" s="683"/>
      <c r="B34" s="126" t="s">
        <v>247</v>
      </c>
      <c r="C34" s="171"/>
      <c r="D34" s="168" t="s">
        <v>122</v>
      </c>
      <c r="E34" s="169"/>
      <c r="F34" s="82">
        <v>29.113149847094796</v>
      </c>
      <c r="G34" s="100">
        <v>2228.16</v>
      </c>
      <c r="H34" s="129">
        <f t="shared" si="22"/>
        <v>64868.755963302734</v>
      </c>
      <c r="I34" s="97"/>
      <c r="J34" s="86">
        <v>19</v>
      </c>
      <c r="K34" s="83">
        <v>1500</v>
      </c>
      <c r="L34" s="87">
        <v>78.94736842105263</v>
      </c>
      <c r="M34" s="137">
        <v>18</v>
      </c>
      <c r="N34" s="83">
        <f t="shared" si="23"/>
        <v>1226.5100917431191</v>
      </c>
      <c r="O34" s="87">
        <f t="shared" si="24"/>
        <v>68.139449541284392</v>
      </c>
      <c r="P34" s="89">
        <f t="shared" si="18"/>
        <v>-1</v>
      </c>
      <c r="Q34" s="90">
        <f t="shared" si="19"/>
        <v>-10.807918879768238</v>
      </c>
      <c r="R34" s="91">
        <f t="shared" si="20"/>
        <v>0.86309969418960231</v>
      </c>
      <c r="S34" s="632"/>
      <c r="T34" s="134">
        <v>0.35069444444444442</v>
      </c>
      <c r="U34" s="134">
        <v>0.42638888888888887</v>
      </c>
      <c r="V34" s="97">
        <v>21</v>
      </c>
      <c r="W34" s="135">
        <f t="shared" si="25"/>
        <v>109.00000000000001</v>
      </c>
      <c r="X34" s="166">
        <v>0.33958333333333335</v>
      </c>
      <c r="Y34" s="166">
        <v>0.34791666666666665</v>
      </c>
      <c r="Z34" s="167"/>
      <c r="AA34" s="167"/>
      <c r="AB34" s="642"/>
      <c r="AC34" s="644"/>
      <c r="AD34" s="97"/>
      <c r="AE34" s="97"/>
      <c r="AF34" s="89">
        <f t="shared" si="6"/>
        <v>-273.48990825688088</v>
      </c>
      <c r="AG34" s="170">
        <f t="shared" si="7"/>
        <v>0.81767339449541276</v>
      </c>
      <c r="AH34" s="659"/>
    </row>
    <row r="35" spans="1:34" ht="18" customHeight="1">
      <c r="A35" s="683"/>
      <c r="B35" s="126" t="s">
        <v>248</v>
      </c>
      <c r="C35" s="79"/>
      <c r="D35" s="80" t="s">
        <v>123</v>
      </c>
      <c r="E35" s="81"/>
      <c r="F35" s="82">
        <v>49.9</v>
      </c>
      <c r="G35" s="172">
        <v>550</v>
      </c>
      <c r="H35" s="129">
        <f t="shared" si="22"/>
        <v>27445</v>
      </c>
      <c r="I35" s="65"/>
      <c r="J35" s="86">
        <v>18</v>
      </c>
      <c r="K35" s="83">
        <v>1500</v>
      </c>
      <c r="L35" s="87">
        <v>83.333333333333329</v>
      </c>
      <c r="M35" s="137">
        <v>18</v>
      </c>
      <c r="N35" s="83">
        <f t="shared" si="23"/>
        <v>1137.9310344827595</v>
      </c>
      <c r="O35" s="87">
        <f t="shared" si="24"/>
        <v>63.218390804597753</v>
      </c>
      <c r="P35" s="89">
        <f t="shared" si="18"/>
        <v>0</v>
      </c>
      <c r="Q35" s="90">
        <f t="shared" si="19"/>
        <v>-20.114942528735575</v>
      </c>
      <c r="R35" s="91">
        <f t="shared" si="20"/>
        <v>0.75862068965517304</v>
      </c>
      <c r="S35" s="632"/>
      <c r="T35" s="134">
        <v>0.46666666666666662</v>
      </c>
      <c r="U35" s="134">
        <v>0.48680555555555549</v>
      </c>
      <c r="V35" s="97">
        <v>5</v>
      </c>
      <c r="W35" s="135">
        <f t="shared" si="25"/>
        <v>28.999999999999979</v>
      </c>
      <c r="X35" s="166"/>
      <c r="Y35" s="166"/>
      <c r="Z35" s="167"/>
      <c r="AA35" s="167"/>
      <c r="AB35" s="642"/>
      <c r="AC35" s="644"/>
      <c r="AD35" s="97"/>
      <c r="AE35" s="97"/>
      <c r="AF35" s="89">
        <f t="shared" si="6"/>
        <v>-362.06896551724049</v>
      </c>
      <c r="AG35" s="170">
        <f t="shared" si="7"/>
        <v>0.75862068965517304</v>
      </c>
      <c r="AH35" s="662"/>
    </row>
    <row r="36" spans="1:34" ht="18" customHeight="1">
      <c r="A36" s="683"/>
      <c r="B36" s="126" t="s">
        <v>248</v>
      </c>
      <c r="C36" s="173"/>
      <c r="D36" s="80" t="s">
        <v>124</v>
      </c>
      <c r="E36" s="169"/>
      <c r="F36" s="82">
        <v>57.3</v>
      </c>
      <c r="G36" s="100">
        <v>546</v>
      </c>
      <c r="H36" s="129">
        <f t="shared" si="22"/>
        <v>31285.8</v>
      </c>
      <c r="I36" s="97"/>
      <c r="J36" s="86">
        <v>19</v>
      </c>
      <c r="K36" s="83">
        <v>1385</v>
      </c>
      <c r="L36" s="87">
        <v>72.89473684210526</v>
      </c>
      <c r="M36" s="137">
        <v>18</v>
      </c>
      <c r="N36" s="83">
        <f t="shared" si="23"/>
        <v>1023.7499999999987</v>
      </c>
      <c r="O36" s="87">
        <f t="shared" si="24"/>
        <v>56.874999999999929</v>
      </c>
      <c r="P36" s="89">
        <f t="shared" si="18"/>
        <v>-1</v>
      </c>
      <c r="Q36" s="90">
        <f t="shared" si="19"/>
        <v>-16.019736842105331</v>
      </c>
      <c r="R36" s="91">
        <f t="shared" si="20"/>
        <v>0.78023465703971029</v>
      </c>
      <c r="S36" s="632"/>
      <c r="T36" s="134">
        <v>0.49236111111111103</v>
      </c>
      <c r="U36" s="134">
        <v>0.51458333333333328</v>
      </c>
      <c r="V36" s="97">
        <v>8</v>
      </c>
      <c r="W36" s="135">
        <f t="shared" si="25"/>
        <v>32.000000000000043</v>
      </c>
      <c r="X36" s="166"/>
      <c r="Y36" s="166"/>
      <c r="Z36" s="167"/>
      <c r="AA36" s="167"/>
      <c r="AB36" s="642"/>
      <c r="AC36" s="644"/>
      <c r="AD36" s="97"/>
      <c r="AE36" s="97"/>
      <c r="AF36" s="89">
        <f t="shared" si="6"/>
        <v>-361.25000000000125</v>
      </c>
      <c r="AG36" s="170">
        <f t="shared" si="7"/>
        <v>0.73916967509025178</v>
      </c>
      <c r="AH36" s="662"/>
    </row>
    <row r="37" spans="1:34" ht="18" customHeight="1">
      <c r="A37" s="683"/>
      <c r="B37" s="126" t="s">
        <v>247</v>
      </c>
      <c r="C37" s="173"/>
      <c r="D37" s="168" t="s">
        <v>122</v>
      </c>
      <c r="E37" s="169"/>
      <c r="F37" s="82">
        <v>29.113149847094796</v>
      </c>
      <c r="G37" s="100">
        <v>303.83999999999997</v>
      </c>
      <c r="H37" s="129">
        <f t="shared" si="22"/>
        <v>8845.7394495412827</v>
      </c>
      <c r="I37" s="97">
        <v>2</v>
      </c>
      <c r="J37" s="86">
        <v>19</v>
      </c>
      <c r="K37" s="83">
        <v>1500</v>
      </c>
      <c r="L37" s="87">
        <v>78.94736842105263</v>
      </c>
      <c r="M37" s="137">
        <v>18</v>
      </c>
      <c r="N37" s="83">
        <f t="shared" si="23"/>
        <v>1215.3600000000042</v>
      </c>
      <c r="O37" s="87">
        <f t="shared" si="24"/>
        <v>67.520000000000238</v>
      </c>
      <c r="P37" s="89">
        <f t="shared" si="18"/>
        <v>-1</v>
      </c>
      <c r="Q37" s="90">
        <f t="shared" si="19"/>
        <v>-11.427368421052392</v>
      </c>
      <c r="R37" s="91">
        <f t="shared" si="20"/>
        <v>0.85525333333333631</v>
      </c>
      <c r="S37" s="632"/>
      <c r="T37" s="134">
        <v>0.51874999999999993</v>
      </c>
      <c r="U37" s="134">
        <v>0.52916666666666656</v>
      </c>
      <c r="V37" s="97">
        <v>6</v>
      </c>
      <c r="W37" s="135">
        <f t="shared" si="25"/>
        <v>14.999999999999947</v>
      </c>
      <c r="X37" s="166"/>
      <c r="Y37" s="166"/>
      <c r="Z37" s="167"/>
      <c r="AA37" s="167"/>
      <c r="AB37" s="642"/>
      <c r="AC37" s="644"/>
      <c r="AD37" s="97"/>
      <c r="AE37" s="97"/>
      <c r="AF37" s="89">
        <f t="shared" si="6"/>
        <v>-284.63999999999578</v>
      </c>
      <c r="AG37" s="170">
        <f t="shared" si="7"/>
        <v>0.81024000000000285</v>
      </c>
      <c r="AH37" s="662"/>
    </row>
    <row r="38" spans="1:34" ht="18" customHeight="1">
      <c r="A38" s="683"/>
      <c r="B38" s="126">
        <v>0</v>
      </c>
      <c r="C38" s="173"/>
      <c r="D38" s="168"/>
      <c r="E38" s="169"/>
      <c r="F38" s="82" t="s">
        <v>253</v>
      </c>
      <c r="G38" s="100"/>
      <c r="H38" s="129">
        <f t="shared" si="22"/>
        <v>0</v>
      </c>
      <c r="I38" s="97"/>
      <c r="J38" s="86"/>
      <c r="K38" s="83"/>
      <c r="L38" s="87"/>
      <c r="M38" s="137"/>
      <c r="N38" s="83"/>
      <c r="O38" s="87"/>
      <c r="P38" s="89"/>
      <c r="Q38" s="90"/>
      <c r="R38" s="91"/>
      <c r="S38" s="632"/>
      <c r="T38" s="134"/>
      <c r="U38" s="134"/>
      <c r="V38" s="97"/>
      <c r="W38" s="135"/>
      <c r="X38" s="166"/>
      <c r="Y38" s="166"/>
      <c r="Z38" s="167"/>
      <c r="AA38" s="167"/>
      <c r="AB38" s="642"/>
      <c r="AC38" s="644"/>
      <c r="AD38" s="97"/>
      <c r="AE38" s="97"/>
      <c r="AF38" s="89">
        <f t="shared" si="6"/>
        <v>0</v>
      </c>
      <c r="AG38" s="170" t="e">
        <f t="shared" si="7"/>
        <v>#DIV/0!</v>
      </c>
      <c r="AH38" s="662"/>
    </row>
    <row r="39" spans="1:34" ht="18" customHeight="1">
      <c r="A39" s="683"/>
      <c r="B39" s="126">
        <v>0</v>
      </c>
      <c r="C39" s="171"/>
      <c r="D39" s="80"/>
      <c r="E39" s="81"/>
      <c r="F39" s="82" t="s">
        <v>253</v>
      </c>
      <c r="G39" s="100"/>
      <c r="H39" s="129">
        <f t="shared" si="22"/>
        <v>0</v>
      </c>
      <c r="I39" s="97"/>
      <c r="J39" s="86"/>
      <c r="K39" s="83"/>
      <c r="L39" s="87"/>
      <c r="M39" s="137"/>
      <c r="N39" s="83"/>
      <c r="O39" s="87"/>
      <c r="P39" s="89"/>
      <c r="Q39" s="90"/>
      <c r="R39" s="91"/>
      <c r="S39" s="632"/>
      <c r="T39" s="134"/>
      <c r="U39" s="134"/>
      <c r="V39" s="97"/>
      <c r="W39" s="135"/>
      <c r="X39" s="166"/>
      <c r="Y39" s="166"/>
      <c r="Z39" s="167"/>
      <c r="AA39" s="167"/>
      <c r="AB39" s="642"/>
      <c r="AC39" s="644"/>
      <c r="AD39" s="97"/>
      <c r="AE39" s="97"/>
      <c r="AF39" s="89"/>
      <c r="AG39" s="174"/>
      <c r="AH39" s="662"/>
    </row>
    <row r="40" spans="1:34" ht="18" customHeight="1">
      <c r="A40" s="683"/>
      <c r="B40" s="175">
        <v>0</v>
      </c>
      <c r="C40" s="176"/>
      <c r="D40" s="80"/>
      <c r="E40" s="81"/>
      <c r="F40" s="82" t="s">
        <v>253</v>
      </c>
      <c r="G40" s="83"/>
      <c r="H40" s="129">
        <f t="shared" si="22"/>
        <v>0</v>
      </c>
      <c r="I40" s="65"/>
      <c r="J40" s="177"/>
      <c r="K40" s="178"/>
      <c r="L40" s="179"/>
      <c r="M40" s="88"/>
      <c r="N40" s="83"/>
      <c r="O40" s="87"/>
      <c r="P40" s="89"/>
      <c r="Q40" s="90"/>
      <c r="R40" s="91"/>
      <c r="S40" s="632"/>
      <c r="T40" s="134"/>
      <c r="U40" s="134"/>
      <c r="V40" s="97"/>
      <c r="W40" s="135">
        <f t="shared" si="25"/>
        <v>0</v>
      </c>
      <c r="X40" s="166"/>
      <c r="Y40" s="166"/>
      <c r="Z40" s="167"/>
      <c r="AA40" s="167"/>
      <c r="AB40" s="642"/>
      <c r="AC40" s="644"/>
      <c r="AD40" s="97"/>
      <c r="AE40" s="97"/>
      <c r="AF40" s="89"/>
      <c r="AG40" s="174"/>
      <c r="AH40" s="662"/>
    </row>
    <row r="41" spans="1:34" ht="18" customHeight="1">
      <c r="A41" s="683"/>
      <c r="B41" s="97">
        <v>0</v>
      </c>
      <c r="C41" s="98"/>
      <c r="D41" s="168"/>
      <c r="E41" s="169"/>
      <c r="F41" s="82" t="s">
        <v>253</v>
      </c>
      <c r="G41" s="100"/>
      <c r="H41" s="129"/>
      <c r="I41" s="97"/>
      <c r="J41" s="130"/>
      <c r="K41" s="100"/>
      <c r="L41" s="131"/>
      <c r="M41" s="137"/>
      <c r="N41" s="100"/>
      <c r="O41" s="131"/>
      <c r="P41" s="96"/>
      <c r="Q41" s="132"/>
      <c r="R41" s="133"/>
      <c r="S41" s="632"/>
      <c r="T41" s="134"/>
      <c r="U41" s="134"/>
      <c r="V41" s="97"/>
      <c r="W41" s="135">
        <f t="shared" si="25"/>
        <v>0</v>
      </c>
      <c r="X41" s="166"/>
      <c r="Y41" s="166"/>
      <c r="Z41" s="167"/>
      <c r="AA41" s="167"/>
      <c r="AB41" s="642"/>
      <c r="AC41" s="644"/>
      <c r="AD41" s="97"/>
      <c r="AE41" s="97"/>
      <c r="AF41" s="89"/>
      <c r="AG41" s="174"/>
      <c r="AH41" s="662"/>
    </row>
    <row r="42" spans="1:34" ht="18" customHeight="1">
      <c r="A42" s="683"/>
      <c r="B42" s="97">
        <v>0</v>
      </c>
      <c r="C42" s="98"/>
      <c r="D42" s="168"/>
      <c r="E42" s="169"/>
      <c r="F42" s="180" t="s">
        <v>253</v>
      </c>
      <c r="G42" s="100"/>
      <c r="H42" s="129">
        <f>F42*G42</f>
        <v>0</v>
      </c>
      <c r="I42" s="97"/>
      <c r="J42" s="130"/>
      <c r="K42" s="100"/>
      <c r="L42" s="131"/>
      <c r="M42" s="137"/>
      <c r="N42" s="100"/>
      <c r="O42" s="131"/>
      <c r="P42" s="96"/>
      <c r="Q42" s="132"/>
      <c r="R42" s="133"/>
      <c r="S42" s="632"/>
      <c r="T42" s="134"/>
      <c r="U42" s="134"/>
      <c r="V42" s="97"/>
      <c r="W42" s="135">
        <f t="shared" si="25"/>
        <v>0</v>
      </c>
      <c r="X42" s="166"/>
      <c r="Y42" s="166"/>
      <c r="Z42" s="167"/>
      <c r="AA42" s="167"/>
      <c r="AB42" s="642"/>
      <c r="AC42" s="644"/>
      <c r="AD42" s="97"/>
      <c r="AE42" s="97"/>
      <c r="AF42" s="89"/>
      <c r="AG42" s="174"/>
      <c r="AH42" s="662"/>
    </row>
    <row r="43" spans="1:34" ht="18" customHeight="1">
      <c r="A43" s="683"/>
      <c r="B43" s="126">
        <v>0</v>
      </c>
      <c r="C43" s="138" t="s">
        <v>15</v>
      </c>
      <c r="D43" s="630" t="s">
        <v>220</v>
      </c>
      <c r="E43" s="630"/>
      <c r="F43" s="139"/>
      <c r="G43" s="140"/>
      <c r="H43" s="141"/>
      <c r="I43" s="142"/>
      <c r="J43" s="140">
        <v>16.142857142857142</v>
      </c>
      <c r="K43" s="140">
        <v>1748.4285714285713</v>
      </c>
      <c r="L43" s="143">
        <v>117.26815039596995</v>
      </c>
      <c r="M43" s="140">
        <f t="shared" ref="M43:O43" si="26">AVERAGE(M31:M42)</f>
        <v>15.714285714285714</v>
      </c>
      <c r="N43" s="140">
        <f t="shared" si="26"/>
        <v>1509.103226011413</v>
      </c>
      <c r="O43" s="143">
        <f t="shared" si="26"/>
        <v>104.41787471900649</v>
      </c>
      <c r="P43" s="96">
        <f>M43-J43</f>
        <v>-0.42857142857142883</v>
      </c>
      <c r="Q43" s="132">
        <f>N43-K43</f>
        <v>-239.32534541715836</v>
      </c>
      <c r="R43" s="144">
        <f t="shared" ref="R43:R50" si="27">O43/L43</f>
        <v>0.89041972919694756</v>
      </c>
      <c r="S43" s="632"/>
      <c r="T43" s="134"/>
      <c r="U43" s="134"/>
      <c r="V43" s="97"/>
      <c r="W43" s="97"/>
      <c r="X43" s="166"/>
      <c r="Y43" s="166"/>
      <c r="Z43" s="181">
        <f>SUM(Z31:Z42)</f>
        <v>0</v>
      </c>
      <c r="AA43" s="181">
        <f>SUM(AA31:AA42)</f>
        <v>0</v>
      </c>
      <c r="AB43" s="642"/>
      <c r="AC43" s="644"/>
      <c r="AD43" s="146">
        <f>SUM(AD31:AD42)</f>
        <v>0</v>
      </c>
      <c r="AE43" s="146">
        <f>SUM(AE31:AE42)</f>
        <v>0</v>
      </c>
      <c r="AF43" s="89">
        <f t="shared" ref="AF43:AF52" si="28">N43-K43</f>
        <v>-239.32534541715836</v>
      </c>
      <c r="AG43" s="125">
        <f t="shared" si="7"/>
        <v>0.86311974688127224</v>
      </c>
      <c r="AH43" s="662"/>
    </row>
    <row r="44" spans="1:34" s="196" customFormat="1" ht="18" customHeight="1">
      <c r="A44" s="678" t="s">
        <v>224</v>
      </c>
      <c r="B44" s="176" t="s">
        <v>250</v>
      </c>
      <c r="C44" s="182"/>
      <c r="D44" s="80" t="s">
        <v>125</v>
      </c>
      <c r="E44" s="81"/>
      <c r="F44" s="183">
        <v>24.73</v>
      </c>
      <c r="G44" s="184">
        <v>2160</v>
      </c>
      <c r="H44" s="84">
        <f>F44*G44</f>
        <v>53416.800000000003</v>
      </c>
      <c r="I44" s="185"/>
      <c r="J44" s="186">
        <v>4</v>
      </c>
      <c r="K44" s="187">
        <v>2000</v>
      </c>
      <c r="L44" s="188">
        <v>500</v>
      </c>
      <c r="M44" s="106">
        <v>5</v>
      </c>
      <c r="N44" s="187">
        <f>G44/W44*60</f>
        <v>2160.0000000000005</v>
      </c>
      <c r="O44" s="188">
        <f>N44/M44</f>
        <v>432.00000000000011</v>
      </c>
      <c r="P44" s="93">
        <f>M44-J44</f>
        <v>1</v>
      </c>
      <c r="Q44" s="189">
        <f>O44-L44</f>
        <v>-67.999999999999886</v>
      </c>
      <c r="R44" s="190">
        <f t="shared" si="27"/>
        <v>0.86400000000000021</v>
      </c>
      <c r="S44" s="659">
        <f>R56</f>
        <v>0.84486515962782982</v>
      </c>
      <c r="T44" s="191">
        <v>0.16666666666666666</v>
      </c>
      <c r="U44" s="191">
        <v>0.20833333333333331</v>
      </c>
      <c r="V44" s="192">
        <v>5</v>
      </c>
      <c r="W44" s="193">
        <f t="shared" ref="W44:W56" si="29">(U44-T44)*24*60</f>
        <v>59.999999999999986</v>
      </c>
      <c r="X44" s="166"/>
      <c r="Y44" s="166"/>
      <c r="Z44" s="167"/>
      <c r="AA44" s="167"/>
      <c r="AB44" s="644"/>
      <c r="AC44" s="644"/>
      <c r="AD44" s="97"/>
      <c r="AE44" s="97"/>
      <c r="AF44" s="194">
        <f t="shared" si="28"/>
        <v>160.00000000000045</v>
      </c>
      <c r="AG44" s="195">
        <f t="shared" si="7"/>
        <v>1.0800000000000003</v>
      </c>
      <c r="AH44" s="681">
        <f>AG56</f>
        <v>0.96936392575805763</v>
      </c>
    </row>
    <row r="45" spans="1:34" s="196" customFormat="1" ht="18" customHeight="1">
      <c r="A45" s="679"/>
      <c r="B45" s="176" t="s">
        <v>250</v>
      </c>
      <c r="C45" s="182"/>
      <c r="D45" s="80" t="s">
        <v>126</v>
      </c>
      <c r="E45" s="81"/>
      <c r="F45" s="183">
        <v>24.73</v>
      </c>
      <c r="G45" s="184">
        <v>2032</v>
      </c>
      <c r="H45" s="84">
        <f>F45*G45</f>
        <v>50251.360000000001</v>
      </c>
      <c r="I45" s="197"/>
      <c r="J45" s="186">
        <v>4</v>
      </c>
      <c r="K45" s="187">
        <v>2000</v>
      </c>
      <c r="L45" s="188">
        <v>500</v>
      </c>
      <c r="M45" s="106">
        <v>5</v>
      </c>
      <c r="N45" s="187">
        <f>G45/W45*60</f>
        <v>2138.9473684210511</v>
      </c>
      <c r="O45" s="188">
        <f>N45/M45</f>
        <v>427.78947368421024</v>
      </c>
      <c r="P45" s="93">
        <f>M45-J45</f>
        <v>1</v>
      </c>
      <c r="Q45" s="189">
        <f>O45-L45</f>
        <v>-72.210526315789764</v>
      </c>
      <c r="R45" s="190">
        <f t="shared" si="27"/>
        <v>0.85557894736842044</v>
      </c>
      <c r="S45" s="659"/>
      <c r="T45" s="191">
        <v>0.21180555555555552</v>
      </c>
      <c r="U45" s="191">
        <v>0.25138888888888888</v>
      </c>
      <c r="V45" s="192">
        <v>5</v>
      </c>
      <c r="W45" s="193">
        <f t="shared" si="29"/>
        <v>57.000000000000036</v>
      </c>
      <c r="X45" s="166"/>
      <c r="Y45" s="166"/>
      <c r="Z45" s="167"/>
      <c r="AA45" s="167"/>
      <c r="AB45" s="644"/>
      <c r="AC45" s="644"/>
      <c r="AD45" s="97"/>
      <c r="AE45" s="97"/>
      <c r="AF45" s="194">
        <f t="shared" si="28"/>
        <v>138.94736842105112</v>
      </c>
      <c r="AG45" s="195">
        <f t="shared" si="7"/>
        <v>1.0694736842105255</v>
      </c>
      <c r="AH45" s="681"/>
    </row>
    <row r="46" spans="1:34" s="196" customFormat="1" ht="18" customHeight="1">
      <c r="A46" s="679"/>
      <c r="B46" s="176" t="s">
        <v>250</v>
      </c>
      <c r="C46" s="182"/>
      <c r="D46" s="80" t="s">
        <v>127</v>
      </c>
      <c r="E46" s="81"/>
      <c r="F46" s="183">
        <v>22.83</v>
      </c>
      <c r="G46" s="184">
        <v>771</v>
      </c>
      <c r="H46" s="84">
        <f t="shared" ref="H46:H50" si="30">F46*G46</f>
        <v>17601.93</v>
      </c>
      <c r="I46" s="197"/>
      <c r="J46" s="186">
        <v>6</v>
      </c>
      <c r="K46" s="187">
        <v>2000</v>
      </c>
      <c r="L46" s="188">
        <v>333.33333333333331</v>
      </c>
      <c r="M46" s="106">
        <v>7</v>
      </c>
      <c r="N46" s="187">
        <f>G46/W46*60</f>
        <v>1713.3333333333344</v>
      </c>
      <c r="O46" s="188">
        <f>N46/M46</f>
        <v>244.7619047619049</v>
      </c>
      <c r="P46" s="93">
        <f>M46-J46</f>
        <v>1</v>
      </c>
      <c r="Q46" s="189">
        <f>O46-L46</f>
        <v>-88.571428571428413</v>
      </c>
      <c r="R46" s="190">
        <f t="shared" si="27"/>
        <v>0.73428571428571476</v>
      </c>
      <c r="S46" s="659"/>
      <c r="T46" s="191">
        <v>0.25486111111111109</v>
      </c>
      <c r="U46" s="191">
        <v>0.27361111111111108</v>
      </c>
      <c r="V46" s="192">
        <v>5</v>
      </c>
      <c r="W46" s="193">
        <f t="shared" si="29"/>
        <v>26.999999999999986</v>
      </c>
      <c r="X46" s="166"/>
      <c r="Y46" s="166"/>
      <c r="Z46" s="167"/>
      <c r="AA46" s="167"/>
      <c r="AB46" s="644"/>
      <c r="AC46" s="644"/>
      <c r="AD46" s="97"/>
      <c r="AE46" s="97">
        <v>2</v>
      </c>
      <c r="AF46" s="194">
        <f t="shared" si="28"/>
        <v>-286.66666666666561</v>
      </c>
      <c r="AG46" s="195">
        <f t="shared" si="7"/>
        <v>0.85666666666666724</v>
      </c>
      <c r="AH46" s="681"/>
    </row>
    <row r="47" spans="1:34" s="196" customFormat="1" ht="18" customHeight="1">
      <c r="A47" s="679"/>
      <c r="B47" s="176" t="s">
        <v>247</v>
      </c>
      <c r="C47" s="182"/>
      <c r="D47" s="198" t="s">
        <v>128</v>
      </c>
      <c r="E47" s="199"/>
      <c r="F47" s="183">
        <v>11.6</v>
      </c>
      <c r="G47" s="187">
        <v>2094</v>
      </c>
      <c r="H47" s="84">
        <f t="shared" si="30"/>
        <v>24290.399999999998</v>
      </c>
      <c r="I47" s="197"/>
      <c r="J47" s="186">
        <v>6</v>
      </c>
      <c r="K47" s="187">
        <v>1500</v>
      </c>
      <c r="L47" s="188">
        <v>250</v>
      </c>
      <c r="M47" s="200">
        <v>6</v>
      </c>
      <c r="N47" s="187">
        <f t="shared" ref="N47:N50" si="31">G47/W47*60</f>
        <v>1495.7142857142851</v>
      </c>
      <c r="O47" s="188">
        <f t="shared" ref="O47:O50" si="32">N47/M47</f>
        <v>249.28571428571419</v>
      </c>
      <c r="P47" s="93">
        <f t="shared" ref="P47:P50" si="33">M47-J47</f>
        <v>0</v>
      </c>
      <c r="Q47" s="189">
        <f t="shared" ref="Q47:Q50" si="34">O47-L47</f>
        <v>-0.71428571428580767</v>
      </c>
      <c r="R47" s="190">
        <f t="shared" si="27"/>
        <v>0.99714285714285678</v>
      </c>
      <c r="S47" s="659"/>
      <c r="T47" s="191">
        <v>0.29097222222222219</v>
      </c>
      <c r="U47" s="191">
        <v>0.34930555555555554</v>
      </c>
      <c r="V47" s="187">
        <v>25</v>
      </c>
      <c r="W47" s="193">
        <f t="shared" si="29"/>
        <v>84.000000000000028</v>
      </c>
      <c r="X47" s="166">
        <v>0.27708333333333335</v>
      </c>
      <c r="Y47" s="166">
        <v>0.28819444444444448</v>
      </c>
      <c r="Z47" s="167"/>
      <c r="AA47" s="167"/>
      <c r="AB47" s="644"/>
      <c r="AC47" s="644"/>
      <c r="AD47" s="97"/>
      <c r="AE47" s="97"/>
      <c r="AF47" s="194">
        <f t="shared" si="28"/>
        <v>-4.2857142857149029</v>
      </c>
      <c r="AG47" s="195">
        <f t="shared" si="7"/>
        <v>0.99714285714285678</v>
      </c>
      <c r="AH47" s="681"/>
    </row>
    <row r="48" spans="1:34" s="196" customFormat="1" ht="18" customHeight="1">
      <c r="A48" s="679"/>
      <c r="B48" s="176" t="s">
        <v>251</v>
      </c>
      <c r="C48" s="182"/>
      <c r="D48" s="201" t="s">
        <v>129</v>
      </c>
      <c r="E48" s="199"/>
      <c r="F48" s="183">
        <v>10.09</v>
      </c>
      <c r="G48" s="187">
        <v>3291.12</v>
      </c>
      <c r="H48" s="84">
        <f t="shared" si="30"/>
        <v>33207.400799999996</v>
      </c>
      <c r="I48" s="197"/>
      <c r="J48" s="186">
        <v>6</v>
      </c>
      <c r="K48" s="187">
        <v>1500</v>
      </c>
      <c r="L48" s="188">
        <v>250</v>
      </c>
      <c r="M48" s="200">
        <v>6</v>
      </c>
      <c r="N48" s="187">
        <f t="shared" si="31"/>
        <v>1390.6140845070424</v>
      </c>
      <c r="O48" s="188">
        <f t="shared" si="32"/>
        <v>231.76901408450706</v>
      </c>
      <c r="P48" s="93">
        <f t="shared" si="33"/>
        <v>0</v>
      </c>
      <c r="Q48" s="189">
        <f t="shared" si="34"/>
        <v>-18.230985915492937</v>
      </c>
      <c r="R48" s="190">
        <f t="shared" si="27"/>
        <v>0.92707605633802825</v>
      </c>
      <c r="S48" s="659"/>
      <c r="T48" s="202">
        <v>0.3569444444444444</v>
      </c>
      <c r="U48" s="202">
        <v>0.45555555555555549</v>
      </c>
      <c r="V48" s="184">
        <v>9</v>
      </c>
      <c r="W48" s="193">
        <f t="shared" si="29"/>
        <v>141.99999999999997</v>
      </c>
      <c r="X48" s="166"/>
      <c r="Y48" s="166"/>
      <c r="Z48" s="167"/>
      <c r="AA48" s="167"/>
      <c r="AB48" s="644"/>
      <c r="AC48" s="644"/>
      <c r="AD48" s="97"/>
      <c r="AE48" s="97"/>
      <c r="AF48" s="194">
        <f t="shared" si="28"/>
        <v>-109.38591549295757</v>
      </c>
      <c r="AG48" s="195">
        <f t="shared" si="7"/>
        <v>0.92707605633802825</v>
      </c>
      <c r="AH48" s="681"/>
    </row>
    <row r="49" spans="1:34" s="196" customFormat="1" ht="18" customHeight="1">
      <c r="A49" s="679"/>
      <c r="B49" s="176" t="s">
        <v>251</v>
      </c>
      <c r="C49" s="182"/>
      <c r="D49" s="201" t="s">
        <v>129</v>
      </c>
      <c r="E49" s="199"/>
      <c r="F49" s="183">
        <v>10.09</v>
      </c>
      <c r="G49" s="184">
        <v>3153.9900000000002</v>
      </c>
      <c r="H49" s="84">
        <f t="shared" si="30"/>
        <v>31823.759100000003</v>
      </c>
      <c r="I49" s="197"/>
      <c r="J49" s="186">
        <v>6</v>
      </c>
      <c r="K49" s="187">
        <v>1500</v>
      </c>
      <c r="L49" s="188">
        <v>250</v>
      </c>
      <c r="M49" s="200">
        <v>6</v>
      </c>
      <c r="N49" s="187">
        <f t="shared" si="31"/>
        <v>1401.7733333333333</v>
      </c>
      <c r="O49" s="188">
        <f t="shared" si="32"/>
        <v>233.62888888888889</v>
      </c>
      <c r="P49" s="93">
        <f t="shared" si="33"/>
        <v>0</v>
      </c>
      <c r="Q49" s="189">
        <f t="shared" si="34"/>
        <v>-16.371111111111105</v>
      </c>
      <c r="R49" s="190">
        <f t="shared" si="27"/>
        <v>0.93451555555555554</v>
      </c>
      <c r="S49" s="659"/>
      <c r="T49" s="202">
        <v>0.4951388888888888</v>
      </c>
      <c r="U49" s="202">
        <v>0.5888888888888888</v>
      </c>
      <c r="V49" s="184">
        <v>4</v>
      </c>
      <c r="W49" s="193">
        <f t="shared" si="29"/>
        <v>135</v>
      </c>
      <c r="X49" s="203"/>
      <c r="Y49" s="203"/>
      <c r="Z49" s="167"/>
      <c r="AA49" s="167"/>
      <c r="AB49" s="644"/>
      <c r="AC49" s="644"/>
      <c r="AD49" s="97"/>
      <c r="AE49" s="97"/>
      <c r="AF49" s="194">
        <f t="shared" si="28"/>
        <v>-98.226666666666688</v>
      </c>
      <c r="AG49" s="195">
        <f t="shared" si="7"/>
        <v>0.93451555555555554</v>
      </c>
      <c r="AH49" s="681"/>
    </row>
    <row r="50" spans="1:34" s="196" customFormat="1" ht="18" customHeight="1">
      <c r="A50" s="679"/>
      <c r="B50" s="176" t="s">
        <v>250</v>
      </c>
      <c r="C50" s="182"/>
      <c r="D50" s="201" t="s">
        <v>130</v>
      </c>
      <c r="E50" s="199"/>
      <c r="F50" s="183">
        <v>21.74</v>
      </c>
      <c r="G50" s="184">
        <v>545</v>
      </c>
      <c r="H50" s="84">
        <f t="shared" si="30"/>
        <v>11848.3</v>
      </c>
      <c r="I50" s="197"/>
      <c r="J50" s="186">
        <v>4</v>
      </c>
      <c r="K50" s="187">
        <v>2000</v>
      </c>
      <c r="L50" s="188">
        <v>500</v>
      </c>
      <c r="M50" s="200">
        <v>5</v>
      </c>
      <c r="N50" s="187">
        <f t="shared" si="31"/>
        <v>1816.6666666666731</v>
      </c>
      <c r="O50" s="188">
        <f t="shared" si="32"/>
        <v>363.33333333333462</v>
      </c>
      <c r="P50" s="93">
        <f t="shared" si="33"/>
        <v>1</v>
      </c>
      <c r="Q50" s="189">
        <f t="shared" si="34"/>
        <v>-136.66666666666538</v>
      </c>
      <c r="R50" s="190">
        <f t="shared" si="27"/>
        <v>0.72666666666666924</v>
      </c>
      <c r="S50" s="659"/>
      <c r="T50" s="202">
        <v>0.60416666666666652</v>
      </c>
      <c r="U50" s="202">
        <v>0.61666666666666647</v>
      </c>
      <c r="V50" s="184">
        <v>22</v>
      </c>
      <c r="W50" s="193">
        <f t="shared" si="29"/>
        <v>17.999999999999936</v>
      </c>
      <c r="X50" s="203">
        <v>0.59236111111111112</v>
      </c>
      <c r="Y50" s="203">
        <v>0.60138888888888886</v>
      </c>
      <c r="Z50" s="204"/>
      <c r="AA50" s="204"/>
      <c r="AB50" s="644"/>
      <c r="AC50" s="644"/>
      <c r="AD50" s="97"/>
      <c r="AE50" s="97"/>
      <c r="AF50" s="194">
        <f t="shared" si="28"/>
        <v>-183.33333333332689</v>
      </c>
      <c r="AG50" s="195">
        <f t="shared" si="7"/>
        <v>0.90833333333333655</v>
      </c>
      <c r="AH50" s="681"/>
    </row>
    <row r="51" spans="1:34" s="196" customFormat="1" ht="18" customHeight="1">
      <c r="A51" s="679"/>
      <c r="B51" s="176">
        <v>0</v>
      </c>
      <c r="C51" s="182"/>
      <c r="D51" s="201"/>
      <c r="E51" s="199"/>
      <c r="F51" s="183"/>
      <c r="G51" s="184"/>
      <c r="H51" s="84"/>
      <c r="I51" s="197"/>
      <c r="J51" s="186"/>
      <c r="K51" s="187"/>
      <c r="L51" s="188"/>
      <c r="M51" s="200"/>
      <c r="N51" s="187"/>
      <c r="O51" s="188"/>
      <c r="P51" s="93"/>
      <c r="Q51" s="189"/>
      <c r="R51" s="190"/>
      <c r="S51" s="659"/>
      <c r="T51" s="202"/>
      <c r="U51" s="202"/>
      <c r="V51" s="184"/>
      <c r="W51" s="193">
        <f t="shared" si="29"/>
        <v>0</v>
      </c>
      <c r="X51" s="203"/>
      <c r="Y51" s="203"/>
      <c r="Z51" s="204"/>
      <c r="AA51" s="204"/>
      <c r="AB51" s="644"/>
      <c r="AC51" s="644"/>
      <c r="AD51" s="97"/>
      <c r="AE51" s="97"/>
      <c r="AF51" s="194">
        <f t="shared" si="28"/>
        <v>0</v>
      </c>
      <c r="AG51" s="195" t="e">
        <f t="shared" si="7"/>
        <v>#DIV/0!</v>
      </c>
      <c r="AH51" s="681"/>
    </row>
    <row r="52" spans="1:34" s="196" customFormat="1" ht="18" customHeight="1">
      <c r="A52" s="679"/>
      <c r="B52" s="176">
        <v>0</v>
      </c>
      <c r="C52" s="182"/>
      <c r="D52" s="201"/>
      <c r="E52" s="199"/>
      <c r="F52" s="183" t="s">
        <v>253</v>
      </c>
      <c r="G52" s="184"/>
      <c r="H52" s="205">
        <f>F52*G52</f>
        <v>0</v>
      </c>
      <c r="I52" s="197"/>
      <c r="J52" s="200"/>
      <c r="K52" s="184"/>
      <c r="L52" s="206"/>
      <c r="M52" s="200"/>
      <c r="N52" s="184"/>
      <c r="O52" s="206"/>
      <c r="P52" s="96"/>
      <c r="Q52" s="132"/>
      <c r="R52" s="133"/>
      <c r="S52" s="659"/>
      <c r="T52" s="202"/>
      <c r="U52" s="202"/>
      <c r="V52" s="184"/>
      <c r="W52" s="193">
        <f t="shared" si="29"/>
        <v>0</v>
      </c>
      <c r="X52" s="203"/>
      <c r="Y52" s="203"/>
      <c r="Z52" s="204"/>
      <c r="AA52" s="204"/>
      <c r="AB52" s="644"/>
      <c r="AC52" s="644"/>
      <c r="AD52" s="97"/>
      <c r="AE52" s="97"/>
      <c r="AF52" s="194">
        <f t="shared" si="28"/>
        <v>0</v>
      </c>
      <c r="AG52" s="195" t="e">
        <f t="shared" si="7"/>
        <v>#DIV/0!</v>
      </c>
      <c r="AH52" s="681"/>
    </row>
    <row r="53" spans="1:34" s="196" customFormat="1" ht="18" customHeight="1">
      <c r="A53" s="679"/>
      <c r="B53" s="207">
        <v>0</v>
      </c>
      <c r="C53" s="182"/>
      <c r="D53" s="201"/>
      <c r="E53" s="199"/>
      <c r="F53" s="183" t="s">
        <v>253</v>
      </c>
      <c r="G53" s="184"/>
      <c r="H53" s="205">
        <f>F53*G53</f>
        <v>0</v>
      </c>
      <c r="I53" s="197"/>
      <c r="J53" s="200"/>
      <c r="K53" s="184"/>
      <c r="L53" s="206"/>
      <c r="M53" s="200"/>
      <c r="N53" s="184"/>
      <c r="O53" s="206"/>
      <c r="P53" s="96"/>
      <c r="Q53" s="132"/>
      <c r="R53" s="133"/>
      <c r="S53" s="659"/>
      <c r="T53" s="202"/>
      <c r="U53" s="202"/>
      <c r="V53" s="184"/>
      <c r="W53" s="193">
        <f t="shared" si="29"/>
        <v>0</v>
      </c>
      <c r="X53" s="203"/>
      <c r="Y53" s="203"/>
      <c r="Z53" s="204"/>
      <c r="AA53" s="204"/>
      <c r="AB53" s="644"/>
      <c r="AC53" s="644"/>
      <c r="AD53" s="97"/>
      <c r="AE53" s="97"/>
      <c r="AF53" s="194"/>
      <c r="AG53" s="195"/>
      <c r="AH53" s="681"/>
    </row>
    <row r="54" spans="1:34" s="196" customFormat="1" ht="18" customHeight="1">
      <c r="A54" s="679"/>
      <c r="B54" s="207">
        <v>0</v>
      </c>
      <c r="C54" s="182"/>
      <c r="D54" s="201"/>
      <c r="E54" s="199"/>
      <c r="F54" s="208" t="s">
        <v>253</v>
      </c>
      <c r="G54" s="184"/>
      <c r="H54" s="205">
        <f>F54*G54</f>
        <v>0</v>
      </c>
      <c r="I54" s="197"/>
      <c r="J54" s="200"/>
      <c r="K54" s="184"/>
      <c r="L54" s="206"/>
      <c r="M54" s="200"/>
      <c r="N54" s="184"/>
      <c r="O54" s="206"/>
      <c r="P54" s="96"/>
      <c r="Q54" s="132"/>
      <c r="R54" s="133"/>
      <c r="S54" s="659"/>
      <c r="T54" s="202"/>
      <c r="U54" s="202"/>
      <c r="V54" s="184"/>
      <c r="W54" s="193">
        <f t="shared" si="29"/>
        <v>0</v>
      </c>
      <c r="X54" s="203"/>
      <c r="Y54" s="203"/>
      <c r="Z54" s="204"/>
      <c r="AA54" s="204"/>
      <c r="AB54" s="644"/>
      <c r="AC54" s="644"/>
      <c r="AD54" s="97"/>
      <c r="AE54" s="97"/>
      <c r="AF54" s="194"/>
      <c r="AG54" s="195"/>
      <c r="AH54" s="681"/>
    </row>
    <row r="55" spans="1:34" s="196" customFormat="1" ht="18" customHeight="1">
      <c r="A55" s="679"/>
      <c r="B55" s="207">
        <v>0</v>
      </c>
      <c r="C55" s="182"/>
      <c r="D55" s="201"/>
      <c r="E55" s="199"/>
      <c r="F55" s="208" t="s">
        <v>253</v>
      </c>
      <c r="G55" s="184"/>
      <c r="H55" s="205">
        <f>F55*G55</f>
        <v>0</v>
      </c>
      <c r="I55" s="197"/>
      <c r="J55" s="200"/>
      <c r="K55" s="184"/>
      <c r="L55" s="206"/>
      <c r="M55" s="200"/>
      <c r="N55" s="184"/>
      <c r="O55" s="206"/>
      <c r="P55" s="96"/>
      <c r="Q55" s="132"/>
      <c r="R55" s="133"/>
      <c r="S55" s="659"/>
      <c r="T55" s="202"/>
      <c r="U55" s="202"/>
      <c r="V55" s="184"/>
      <c r="W55" s="193">
        <f t="shared" si="29"/>
        <v>0</v>
      </c>
      <c r="X55" s="203"/>
      <c r="Y55" s="203"/>
      <c r="Z55" s="204"/>
      <c r="AA55" s="204"/>
      <c r="AB55" s="644"/>
      <c r="AC55" s="644"/>
      <c r="AD55" s="97"/>
      <c r="AE55" s="97"/>
      <c r="AF55" s="194"/>
      <c r="AG55" s="195"/>
      <c r="AH55" s="681"/>
    </row>
    <row r="56" spans="1:34" ht="18" customHeight="1">
      <c r="A56" s="680"/>
      <c r="B56" s="209">
        <v>0</v>
      </c>
      <c r="C56" s="138" t="s">
        <v>16</v>
      </c>
      <c r="D56" s="630" t="s">
        <v>220</v>
      </c>
      <c r="E56" s="630"/>
      <c r="F56" s="139"/>
      <c r="G56" s="140"/>
      <c r="H56" s="141"/>
      <c r="I56" s="142"/>
      <c r="J56" s="140">
        <v>5.1428571428571432</v>
      </c>
      <c r="K56" s="140">
        <v>1785.7142857142858</v>
      </c>
      <c r="L56" s="143">
        <v>369.04761904761898</v>
      </c>
      <c r="M56" s="140">
        <f t="shared" ref="M56:O56" si="35">AVERAGE(M44:M55)</f>
        <v>5.7142857142857144</v>
      </c>
      <c r="N56" s="140">
        <f t="shared" si="35"/>
        <v>1731.0070102822458</v>
      </c>
      <c r="O56" s="143">
        <f t="shared" si="35"/>
        <v>311.79547557693712</v>
      </c>
      <c r="P56" s="210">
        <f>M56-J56</f>
        <v>0.57142857142857117</v>
      </c>
      <c r="Q56" s="159">
        <f>N56-K56</f>
        <v>-54.707275432039978</v>
      </c>
      <c r="R56" s="211">
        <f t="shared" ref="R56:R61" si="36">O56/L56</f>
        <v>0.84486515962782982</v>
      </c>
      <c r="S56" s="659"/>
      <c r="T56" s="212"/>
      <c r="U56" s="212"/>
      <c r="V56" s="213"/>
      <c r="W56" s="193">
        <f t="shared" si="29"/>
        <v>0</v>
      </c>
      <c r="X56" s="214"/>
      <c r="Y56" s="214"/>
      <c r="Z56" s="145">
        <f>SUM(Z44:Z55)</f>
        <v>0</v>
      </c>
      <c r="AA56" s="145">
        <f>SUM(AA44:AA55)</f>
        <v>0</v>
      </c>
      <c r="AB56" s="644"/>
      <c r="AC56" s="644"/>
      <c r="AD56" s="146">
        <f>SUM(AD44:AD55)</f>
        <v>0</v>
      </c>
      <c r="AE56" s="146">
        <f>SUM(AE44:AE55)</f>
        <v>2</v>
      </c>
      <c r="AF56" s="215">
        <f>N56-K56</f>
        <v>-54.707275432039978</v>
      </c>
      <c r="AG56" s="133">
        <f>N56/K56</f>
        <v>0.96936392575805763</v>
      </c>
      <c r="AH56" s="681"/>
    </row>
    <row r="57" spans="1:34" ht="18" customHeight="1">
      <c r="A57" s="676" t="s">
        <v>225</v>
      </c>
      <c r="B57" s="176" t="s">
        <v>247</v>
      </c>
      <c r="C57" s="216"/>
      <c r="D57" s="217" t="s">
        <v>131</v>
      </c>
      <c r="E57" s="149"/>
      <c r="F57" s="82">
        <v>28.26</v>
      </c>
      <c r="G57" s="184">
        <v>1542</v>
      </c>
      <c r="H57" s="129">
        <f t="shared" ref="H57:H66" si="37">F57*G57</f>
        <v>43576.920000000006</v>
      </c>
      <c r="I57" s="97"/>
      <c r="J57" s="130">
        <v>6</v>
      </c>
      <c r="K57" s="100">
        <v>1500</v>
      </c>
      <c r="L57" s="131">
        <v>250</v>
      </c>
      <c r="M57" s="137">
        <v>6</v>
      </c>
      <c r="N57" s="100">
        <f t="shared" ref="N57:N61" si="38">G57/W57*60</f>
        <v>1303.0985915492961</v>
      </c>
      <c r="O57" s="131">
        <f t="shared" ref="O57:O61" si="39">N57/M57</f>
        <v>217.18309859154934</v>
      </c>
      <c r="P57" s="218">
        <f t="shared" ref="P57:P61" si="40">M57-J57</f>
        <v>0</v>
      </c>
      <c r="Q57" s="90">
        <f t="shared" ref="Q57:Q61" si="41">O57-L57</f>
        <v>-32.816901408450661</v>
      </c>
      <c r="R57" s="91">
        <f t="shared" si="36"/>
        <v>0.86873239436619731</v>
      </c>
      <c r="S57" s="659">
        <f>R69</f>
        <v>0.93718704056747359</v>
      </c>
      <c r="T57" s="191">
        <v>0.16666666666666666</v>
      </c>
      <c r="U57" s="191">
        <v>0.2159722222222222</v>
      </c>
      <c r="V57" s="65">
        <v>5</v>
      </c>
      <c r="W57" s="85">
        <f>(U57-T57)*24*60</f>
        <v>70.999999999999986</v>
      </c>
      <c r="X57" s="95"/>
      <c r="Y57" s="95"/>
      <c r="Z57" s="96"/>
      <c r="AA57" s="96"/>
      <c r="AB57" s="644"/>
      <c r="AC57" s="644"/>
      <c r="AD57" s="97"/>
      <c r="AE57" s="97"/>
      <c r="AF57" s="89">
        <f t="shared" si="6"/>
        <v>-196.90140845070391</v>
      </c>
      <c r="AG57" s="160">
        <f t="shared" si="7"/>
        <v>0.86873239436619742</v>
      </c>
      <c r="AH57" s="661">
        <f>AG69</f>
        <v>0.93718704056747359</v>
      </c>
    </row>
    <row r="58" spans="1:34" ht="18" customHeight="1">
      <c r="A58" s="677"/>
      <c r="B58" s="176" t="s">
        <v>247</v>
      </c>
      <c r="C58" s="219"/>
      <c r="D58" s="80" t="s">
        <v>132</v>
      </c>
      <c r="E58" s="81"/>
      <c r="F58" s="82">
        <v>27.88</v>
      </c>
      <c r="G58" s="184">
        <v>2271</v>
      </c>
      <c r="H58" s="84">
        <f t="shared" si="37"/>
        <v>63315.479999999996</v>
      </c>
      <c r="I58" s="65"/>
      <c r="J58" s="86">
        <v>6</v>
      </c>
      <c r="K58" s="83">
        <v>1500</v>
      </c>
      <c r="L58" s="131">
        <v>250</v>
      </c>
      <c r="M58" s="88">
        <v>6</v>
      </c>
      <c r="N58" s="83">
        <f t="shared" si="38"/>
        <v>1449.5744680851067</v>
      </c>
      <c r="O58" s="87">
        <f t="shared" si="39"/>
        <v>241.59574468085111</v>
      </c>
      <c r="P58" s="218">
        <f t="shared" si="40"/>
        <v>0</v>
      </c>
      <c r="Q58" s="90">
        <f t="shared" si="41"/>
        <v>-8.4042553191488878</v>
      </c>
      <c r="R58" s="91">
        <f t="shared" si="36"/>
        <v>0.9663829787234044</v>
      </c>
      <c r="S58" s="659"/>
      <c r="T58" s="220">
        <v>0.22152777777777777</v>
      </c>
      <c r="U58" s="220">
        <v>0.28680555555555554</v>
      </c>
      <c r="V58" s="65">
        <v>8</v>
      </c>
      <c r="W58" s="85">
        <f>(U58-T58)*24*60</f>
        <v>93.999999999999986</v>
      </c>
      <c r="X58" s="95"/>
      <c r="Y58" s="95"/>
      <c r="Z58" s="96"/>
      <c r="AA58" s="96"/>
      <c r="AB58" s="641"/>
      <c r="AC58" s="642"/>
      <c r="AD58" s="97"/>
      <c r="AE58" s="97"/>
      <c r="AF58" s="89">
        <f t="shared" si="6"/>
        <v>-50.425531914893327</v>
      </c>
      <c r="AG58" s="91">
        <f t="shared" si="7"/>
        <v>0.9663829787234044</v>
      </c>
      <c r="AH58" s="659"/>
    </row>
    <row r="59" spans="1:34" ht="18" customHeight="1">
      <c r="A59" s="677"/>
      <c r="B59" s="176" t="s">
        <v>247</v>
      </c>
      <c r="C59" s="219"/>
      <c r="D59" s="80" t="s">
        <v>133</v>
      </c>
      <c r="E59" s="81"/>
      <c r="F59" s="82">
        <v>28</v>
      </c>
      <c r="G59" s="184">
        <v>2591</v>
      </c>
      <c r="H59" s="84">
        <f t="shared" si="37"/>
        <v>72548</v>
      </c>
      <c r="I59" s="65"/>
      <c r="J59" s="86">
        <v>6</v>
      </c>
      <c r="K59" s="83">
        <v>1500</v>
      </c>
      <c r="L59" s="131">
        <v>250</v>
      </c>
      <c r="M59" s="88">
        <v>6</v>
      </c>
      <c r="N59" s="83">
        <f t="shared" si="38"/>
        <v>1452.897196261682</v>
      </c>
      <c r="O59" s="87">
        <f t="shared" si="39"/>
        <v>242.14953271028034</v>
      </c>
      <c r="P59" s="218">
        <f t="shared" si="40"/>
        <v>0</v>
      </c>
      <c r="Q59" s="90">
        <f t="shared" si="41"/>
        <v>-7.8504672897196599</v>
      </c>
      <c r="R59" s="91">
        <f t="shared" si="36"/>
        <v>0.96859813084112134</v>
      </c>
      <c r="S59" s="659"/>
      <c r="T59" s="220">
        <v>0.30277777777777776</v>
      </c>
      <c r="U59" s="220">
        <v>0.37708333333333333</v>
      </c>
      <c r="V59" s="192">
        <v>23</v>
      </c>
      <c r="W59" s="85">
        <f>(U59-T59)*24*60</f>
        <v>107.00000000000001</v>
      </c>
      <c r="X59" s="95">
        <v>0.2902777777777778</v>
      </c>
      <c r="Y59" s="95">
        <v>0.3</v>
      </c>
      <c r="Z59" s="96"/>
      <c r="AA59" s="96"/>
      <c r="AB59" s="644"/>
      <c r="AC59" s="644"/>
      <c r="AD59" s="97"/>
      <c r="AE59" s="97"/>
      <c r="AF59" s="89">
        <f t="shared" si="6"/>
        <v>-47.102803738318016</v>
      </c>
      <c r="AG59" s="91">
        <f t="shared" si="7"/>
        <v>0.96859813084112134</v>
      </c>
      <c r="AH59" s="659"/>
    </row>
    <row r="60" spans="1:34" ht="18" customHeight="1">
      <c r="A60" s="677"/>
      <c r="B60" s="176" t="s">
        <v>251</v>
      </c>
      <c r="C60" s="219"/>
      <c r="D60" s="80" t="s">
        <v>129</v>
      </c>
      <c r="E60" s="81"/>
      <c r="F60" s="82">
        <v>10.09</v>
      </c>
      <c r="G60" s="184">
        <v>3839.6400000000003</v>
      </c>
      <c r="H60" s="84">
        <f t="shared" si="37"/>
        <v>38741.967600000004</v>
      </c>
      <c r="I60" s="65"/>
      <c r="J60" s="221">
        <v>6</v>
      </c>
      <c r="K60" s="104">
        <v>1500</v>
      </c>
      <c r="L60" s="131">
        <v>250</v>
      </c>
      <c r="M60" s="106">
        <v>6</v>
      </c>
      <c r="N60" s="83">
        <f t="shared" si="38"/>
        <v>1404.7463414634149</v>
      </c>
      <c r="O60" s="87">
        <f t="shared" si="39"/>
        <v>234.12439024390247</v>
      </c>
      <c r="P60" s="218">
        <f t="shared" si="40"/>
        <v>0</v>
      </c>
      <c r="Q60" s="90">
        <f t="shared" si="41"/>
        <v>-15.875609756097532</v>
      </c>
      <c r="R60" s="91">
        <f t="shared" si="36"/>
        <v>0.93649756097560988</v>
      </c>
      <c r="S60" s="659"/>
      <c r="T60" s="220">
        <v>0.3923611111111111</v>
      </c>
      <c r="U60" s="220">
        <v>0.50624999999999998</v>
      </c>
      <c r="V60" s="192">
        <v>22</v>
      </c>
      <c r="W60" s="85">
        <f>(U60-T60)*24*60</f>
        <v>163.99999999999997</v>
      </c>
      <c r="X60" s="95">
        <v>0.38055555555555554</v>
      </c>
      <c r="Y60" s="95">
        <v>0.38958333333333334</v>
      </c>
      <c r="Z60" s="96"/>
      <c r="AA60" s="96"/>
      <c r="AB60" s="644"/>
      <c r="AC60" s="644"/>
      <c r="AD60" s="97"/>
      <c r="AE60" s="97"/>
      <c r="AF60" s="89">
        <f t="shared" si="6"/>
        <v>-95.253658536585135</v>
      </c>
      <c r="AG60" s="160">
        <f t="shared" si="7"/>
        <v>0.93649756097560988</v>
      </c>
      <c r="AH60" s="659"/>
    </row>
    <row r="61" spans="1:34" ht="18" customHeight="1">
      <c r="A61" s="677"/>
      <c r="B61" s="176" t="s">
        <v>251</v>
      </c>
      <c r="C61" s="219"/>
      <c r="D61" s="80" t="s">
        <v>129</v>
      </c>
      <c r="E61" s="81"/>
      <c r="F61" s="82">
        <v>10.09</v>
      </c>
      <c r="G61" s="184">
        <v>3428.25</v>
      </c>
      <c r="H61" s="84">
        <f t="shared" si="37"/>
        <v>34591.042499999996</v>
      </c>
      <c r="I61" s="65"/>
      <c r="J61" s="86">
        <v>6</v>
      </c>
      <c r="K61" s="83">
        <v>1500</v>
      </c>
      <c r="L61" s="131">
        <v>250</v>
      </c>
      <c r="M61" s="106">
        <v>6</v>
      </c>
      <c r="N61" s="83">
        <f t="shared" si="38"/>
        <v>1418.5862068965521</v>
      </c>
      <c r="O61" s="87">
        <f t="shared" si="39"/>
        <v>236.43103448275869</v>
      </c>
      <c r="P61" s="218">
        <f t="shared" si="40"/>
        <v>0</v>
      </c>
      <c r="Q61" s="90">
        <f t="shared" si="41"/>
        <v>-13.56896551724131</v>
      </c>
      <c r="R61" s="91">
        <f t="shared" si="36"/>
        <v>0.94572413793103471</v>
      </c>
      <c r="S61" s="659"/>
      <c r="T61" s="220">
        <v>0.54652777777777772</v>
      </c>
      <c r="U61" s="220">
        <v>0.64722222222222214</v>
      </c>
      <c r="V61" s="192">
        <v>5</v>
      </c>
      <c r="W61" s="85">
        <f>(U61-T61)*24*60</f>
        <v>144.99999999999997</v>
      </c>
      <c r="X61" s="95"/>
      <c r="Y61" s="95"/>
      <c r="Z61" s="96"/>
      <c r="AA61" s="96"/>
      <c r="AB61" s="644"/>
      <c r="AC61" s="644"/>
      <c r="AD61" s="97"/>
      <c r="AE61" s="97"/>
      <c r="AF61" s="89">
        <f t="shared" si="6"/>
        <v>-81.413793103447915</v>
      </c>
      <c r="AG61" s="160">
        <f t="shared" si="7"/>
        <v>0.94572413793103471</v>
      </c>
      <c r="AH61" s="659"/>
    </row>
    <row r="62" spans="1:34" ht="18" customHeight="1">
      <c r="A62" s="677"/>
      <c r="B62" s="176">
        <v>0</v>
      </c>
      <c r="C62" s="219"/>
      <c r="D62" s="80"/>
      <c r="E62" s="81"/>
      <c r="F62" s="82" t="s">
        <v>253</v>
      </c>
      <c r="G62" s="184"/>
      <c r="H62" s="84">
        <f t="shared" si="37"/>
        <v>0</v>
      </c>
      <c r="I62" s="65"/>
      <c r="J62" s="221"/>
      <c r="K62" s="104"/>
      <c r="L62" s="131"/>
      <c r="M62" s="106"/>
      <c r="N62" s="83"/>
      <c r="O62" s="87"/>
      <c r="P62" s="218"/>
      <c r="Q62" s="90"/>
      <c r="R62" s="91"/>
      <c r="S62" s="659"/>
      <c r="T62" s="220"/>
      <c r="U62" s="220"/>
      <c r="V62" s="192"/>
      <c r="W62" s="85"/>
      <c r="X62" s="95"/>
      <c r="Y62" s="95"/>
      <c r="Z62" s="96"/>
      <c r="AA62" s="96"/>
      <c r="AB62" s="644"/>
      <c r="AC62" s="644"/>
      <c r="AD62" s="97"/>
      <c r="AE62" s="97"/>
      <c r="AF62" s="89">
        <f t="shared" si="6"/>
        <v>0</v>
      </c>
      <c r="AG62" s="160" t="e">
        <f t="shared" si="7"/>
        <v>#DIV/0!</v>
      </c>
      <c r="AH62" s="659"/>
    </row>
    <row r="63" spans="1:34" ht="18" customHeight="1">
      <c r="A63" s="677"/>
      <c r="B63" s="176">
        <v>0</v>
      </c>
      <c r="C63" s="219"/>
      <c r="D63" s="80"/>
      <c r="E63" s="81"/>
      <c r="F63" s="82" t="s">
        <v>253</v>
      </c>
      <c r="G63" s="184"/>
      <c r="H63" s="84">
        <f t="shared" si="37"/>
        <v>0</v>
      </c>
      <c r="I63" s="65"/>
      <c r="J63" s="86"/>
      <c r="K63" s="83"/>
      <c r="L63" s="131"/>
      <c r="M63" s="106"/>
      <c r="N63" s="83"/>
      <c r="O63" s="87"/>
      <c r="P63" s="218"/>
      <c r="Q63" s="90"/>
      <c r="R63" s="91"/>
      <c r="S63" s="659"/>
      <c r="T63" s="220"/>
      <c r="U63" s="220"/>
      <c r="V63" s="192"/>
      <c r="W63" s="85"/>
      <c r="X63" s="95"/>
      <c r="Y63" s="95"/>
      <c r="Z63" s="96"/>
      <c r="AA63" s="96"/>
      <c r="AB63" s="644"/>
      <c r="AC63" s="644"/>
      <c r="AD63" s="97"/>
      <c r="AE63" s="97"/>
      <c r="AF63" s="89">
        <f t="shared" si="6"/>
        <v>0</v>
      </c>
      <c r="AG63" s="160" t="e">
        <f t="shared" si="7"/>
        <v>#DIV/0!</v>
      </c>
      <c r="AH63" s="659"/>
    </row>
    <row r="64" spans="1:34" ht="18" customHeight="1">
      <c r="A64" s="677"/>
      <c r="B64" s="176">
        <v>0</v>
      </c>
      <c r="C64" s="219"/>
      <c r="D64" s="80"/>
      <c r="E64" s="81"/>
      <c r="F64" s="82" t="s">
        <v>253</v>
      </c>
      <c r="G64" s="184"/>
      <c r="H64" s="84">
        <f t="shared" si="37"/>
        <v>0</v>
      </c>
      <c r="I64" s="65"/>
      <c r="J64" s="221"/>
      <c r="K64" s="104"/>
      <c r="L64" s="131"/>
      <c r="M64" s="106"/>
      <c r="N64" s="83"/>
      <c r="O64" s="87"/>
      <c r="P64" s="218"/>
      <c r="Q64" s="90"/>
      <c r="R64" s="91"/>
      <c r="S64" s="659"/>
      <c r="T64" s="220"/>
      <c r="U64" s="220"/>
      <c r="V64" s="192"/>
      <c r="W64" s="85"/>
      <c r="X64" s="65"/>
      <c r="Y64" s="65"/>
      <c r="Z64" s="96"/>
      <c r="AA64" s="96"/>
      <c r="AB64" s="644"/>
      <c r="AC64" s="644"/>
      <c r="AD64" s="97"/>
      <c r="AE64" s="97"/>
      <c r="AF64" s="89">
        <f t="shared" si="6"/>
        <v>0</v>
      </c>
      <c r="AG64" s="160" t="e">
        <f t="shared" si="7"/>
        <v>#DIV/0!</v>
      </c>
      <c r="AH64" s="659"/>
    </row>
    <row r="65" spans="1:34" ht="18" customHeight="1">
      <c r="A65" s="677"/>
      <c r="B65" s="176">
        <v>0</v>
      </c>
      <c r="C65" s="219"/>
      <c r="D65" s="80"/>
      <c r="E65" s="81"/>
      <c r="F65" s="82" t="s">
        <v>253</v>
      </c>
      <c r="G65" s="184"/>
      <c r="H65" s="84">
        <f t="shared" si="37"/>
        <v>0</v>
      </c>
      <c r="I65" s="65"/>
      <c r="J65" s="221"/>
      <c r="K65" s="104"/>
      <c r="L65" s="131"/>
      <c r="M65" s="106"/>
      <c r="N65" s="104"/>
      <c r="O65" s="122"/>
      <c r="P65" s="89"/>
      <c r="Q65" s="90"/>
      <c r="R65" s="91"/>
      <c r="S65" s="659"/>
      <c r="T65" s="220"/>
      <c r="U65" s="220"/>
      <c r="V65" s="192"/>
      <c r="W65" s="85">
        <f t="shared" ref="W65:W69" si="42">(U65-T65)*24*60</f>
        <v>0</v>
      </c>
      <c r="X65" s="65"/>
      <c r="Y65" s="65"/>
      <c r="Z65" s="96"/>
      <c r="AA65" s="96"/>
      <c r="AB65" s="644"/>
      <c r="AC65" s="644"/>
      <c r="AD65" s="97"/>
      <c r="AE65" s="97"/>
      <c r="AF65" s="89">
        <f t="shared" si="6"/>
        <v>0</v>
      </c>
      <c r="AG65" s="160" t="e">
        <f t="shared" si="7"/>
        <v>#DIV/0!</v>
      </c>
      <c r="AH65" s="659"/>
    </row>
    <row r="66" spans="1:34" ht="18" customHeight="1">
      <c r="A66" s="677"/>
      <c r="B66" s="176">
        <v>0</v>
      </c>
      <c r="C66" s="219"/>
      <c r="D66" s="80"/>
      <c r="E66" s="81"/>
      <c r="F66" s="82" t="s">
        <v>253</v>
      </c>
      <c r="G66" s="184"/>
      <c r="H66" s="84">
        <f t="shared" si="37"/>
        <v>0</v>
      </c>
      <c r="I66" s="65"/>
      <c r="J66" s="221"/>
      <c r="K66" s="104"/>
      <c r="L66" s="131"/>
      <c r="M66" s="106"/>
      <c r="N66" s="104"/>
      <c r="O66" s="122"/>
      <c r="P66" s="89"/>
      <c r="Q66" s="90"/>
      <c r="R66" s="91"/>
      <c r="S66" s="659"/>
      <c r="T66" s="220"/>
      <c r="U66" s="220"/>
      <c r="V66" s="192"/>
      <c r="W66" s="85">
        <f t="shared" si="42"/>
        <v>0</v>
      </c>
      <c r="X66" s="65"/>
      <c r="Y66" s="65"/>
      <c r="Z66" s="96"/>
      <c r="AA66" s="96"/>
      <c r="AB66" s="644"/>
      <c r="AC66" s="644"/>
      <c r="AD66" s="97"/>
      <c r="AE66" s="97"/>
      <c r="AF66" s="89">
        <f t="shared" si="6"/>
        <v>0</v>
      </c>
      <c r="AG66" s="160" t="e">
        <f t="shared" si="7"/>
        <v>#DIV/0!</v>
      </c>
      <c r="AH66" s="659"/>
    </row>
    <row r="67" spans="1:34" ht="18" customHeight="1">
      <c r="A67" s="677"/>
      <c r="B67" s="176">
        <v>0</v>
      </c>
      <c r="C67" s="219"/>
      <c r="D67" s="80"/>
      <c r="E67" s="81"/>
      <c r="F67" s="82" t="s">
        <v>253</v>
      </c>
      <c r="G67" s="184"/>
      <c r="H67" s="84">
        <f>F67*G67</f>
        <v>0</v>
      </c>
      <c r="I67" s="65"/>
      <c r="J67" s="221"/>
      <c r="K67" s="104"/>
      <c r="L67" s="131"/>
      <c r="M67" s="106"/>
      <c r="N67" s="104"/>
      <c r="O67" s="122"/>
      <c r="P67" s="89"/>
      <c r="Q67" s="90"/>
      <c r="R67" s="91"/>
      <c r="S67" s="659"/>
      <c r="T67" s="220"/>
      <c r="U67" s="220"/>
      <c r="V67" s="192"/>
      <c r="W67" s="85">
        <f t="shared" si="42"/>
        <v>0</v>
      </c>
      <c r="X67" s="65"/>
      <c r="Y67" s="65"/>
      <c r="Z67" s="96"/>
      <c r="AA67" s="96"/>
      <c r="AB67" s="644"/>
      <c r="AC67" s="644"/>
      <c r="AD67" s="97"/>
      <c r="AE67" s="97"/>
      <c r="AF67" s="89">
        <f t="shared" si="6"/>
        <v>0</v>
      </c>
      <c r="AG67" s="160" t="e">
        <f t="shared" si="7"/>
        <v>#DIV/0!</v>
      </c>
      <c r="AH67" s="659"/>
    </row>
    <row r="68" spans="1:34" ht="18" customHeight="1">
      <c r="A68" s="677"/>
      <c r="B68" s="65">
        <v>0</v>
      </c>
      <c r="C68" s="219"/>
      <c r="D68" s="80"/>
      <c r="E68" s="81"/>
      <c r="F68" s="183" t="s">
        <v>253</v>
      </c>
      <c r="G68" s="184"/>
      <c r="H68" s="84">
        <f>F68*G68</f>
        <v>0</v>
      </c>
      <c r="I68" s="65"/>
      <c r="J68" s="221"/>
      <c r="K68" s="104"/>
      <c r="L68" s="131"/>
      <c r="M68" s="106"/>
      <c r="N68" s="104"/>
      <c r="O68" s="122"/>
      <c r="P68" s="89"/>
      <c r="Q68" s="90"/>
      <c r="R68" s="91"/>
      <c r="S68" s="659"/>
      <c r="T68" s="220"/>
      <c r="U68" s="220"/>
      <c r="V68" s="192"/>
      <c r="W68" s="85">
        <f t="shared" si="42"/>
        <v>0</v>
      </c>
      <c r="X68" s="65"/>
      <c r="Y68" s="65"/>
      <c r="Z68" s="96"/>
      <c r="AA68" s="96"/>
      <c r="AB68" s="644"/>
      <c r="AC68" s="644"/>
      <c r="AD68" s="97"/>
      <c r="AE68" s="97"/>
      <c r="AF68" s="89"/>
      <c r="AG68" s="91"/>
      <c r="AH68" s="659"/>
    </row>
    <row r="69" spans="1:34" ht="18" customHeight="1">
      <c r="A69" s="677"/>
      <c r="B69" s="222">
        <v>0</v>
      </c>
      <c r="C69" s="12" t="s">
        <v>226</v>
      </c>
      <c r="D69" s="630" t="s">
        <v>220</v>
      </c>
      <c r="E69" s="630"/>
      <c r="F69" s="223"/>
      <c r="G69" s="224"/>
      <c r="H69" s="225"/>
      <c r="I69" s="226"/>
      <c r="J69" s="114">
        <v>6</v>
      </c>
      <c r="K69" s="114">
        <v>1500</v>
      </c>
      <c r="L69" s="117">
        <v>250</v>
      </c>
      <c r="M69" s="114">
        <f t="shared" ref="M69:O69" si="43">AVERAGE(M57:M68)</f>
        <v>6</v>
      </c>
      <c r="N69" s="114">
        <f t="shared" si="43"/>
        <v>1405.7805608512103</v>
      </c>
      <c r="O69" s="117">
        <f t="shared" si="43"/>
        <v>234.29676014186839</v>
      </c>
      <c r="P69" s="89">
        <f>M69-J69</f>
        <v>0</v>
      </c>
      <c r="Q69" s="90">
        <f>N69-K69</f>
        <v>-94.219439148789661</v>
      </c>
      <c r="R69" s="227">
        <f t="shared" ref="R69:R70" si="44">O69/L69</f>
        <v>0.93718704056747359</v>
      </c>
      <c r="S69" s="659"/>
      <c r="T69" s="191"/>
      <c r="U69" s="191"/>
      <c r="V69" s="83"/>
      <c r="W69" s="85">
        <f t="shared" si="42"/>
        <v>0</v>
      </c>
      <c r="X69" s="87"/>
      <c r="Y69" s="87"/>
      <c r="Z69" s="145">
        <f>SUM(Z57:Z68)</f>
        <v>0</v>
      </c>
      <c r="AA69" s="145">
        <f>SUM(AA57:AA68)</f>
        <v>0</v>
      </c>
      <c r="AB69" s="644"/>
      <c r="AC69" s="644"/>
      <c r="AD69" s="146">
        <f>SUM(AD57:AD68)</f>
        <v>0</v>
      </c>
      <c r="AE69" s="146">
        <f>SUM(AE57:AE68)</f>
        <v>0</v>
      </c>
      <c r="AF69" s="89">
        <f t="shared" si="6"/>
        <v>-94.219439148789661</v>
      </c>
      <c r="AG69" s="91">
        <f t="shared" si="7"/>
        <v>0.93718704056747359</v>
      </c>
      <c r="AH69" s="659"/>
    </row>
    <row r="70" spans="1:34" ht="15.65" customHeight="1">
      <c r="A70" s="674" t="s">
        <v>227</v>
      </c>
      <c r="B70" s="65" t="s">
        <v>248</v>
      </c>
      <c r="C70" s="176"/>
      <c r="D70" s="80" t="s">
        <v>134</v>
      </c>
      <c r="E70" s="81"/>
      <c r="F70" s="82">
        <v>62.13</v>
      </c>
      <c r="G70" s="83">
        <v>671</v>
      </c>
      <c r="H70" s="84">
        <f>F70*G70</f>
        <v>41689.230000000003</v>
      </c>
      <c r="I70" s="65"/>
      <c r="J70" s="86">
        <v>14</v>
      </c>
      <c r="K70" s="83">
        <v>1500</v>
      </c>
      <c r="L70" s="87">
        <v>107.14285714285714</v>
      </c>
      <c r="M70" s="88">
        <v>13</v>
      </c>
      <c r="N70" s="83">
        <f t="shared" ref="N70:N77" si="45">G70/W70*60</f>
        <v>1298.709677419356</v>
      </c>
      <c r="O70" s="87">
        <f t="shared" ref="O70:O77" si="46">N70/M70</f>
        <v>99.900744416873536</v>
      </c>
      <c r="P70" s="89">
        <f t="shared" ref="P70:P77" si="47">M70-J70</f>
        <v>-1</v>
      </c>
      <c r="Q70" s="90">
        <f t="shared" ref="Q70" si="48">O70-L70</f>
        <v>-7.2421127259836027</v>
      </c>
      <c r="R70" s="91">
        <f t="shared" si="44"/>
        <v>0.93240694789081968</v>
      </c>
      <c r="S70" s="659">
        <f>R82</f>
        <v>0.85061745699820202</v>
      </c>
      <c r="T70" s="92">
        <v>0.29166666666666669</v>
      </c>
      <c r="U70" s="92">
        <v>0.31319444444444444</v>
      </c>
      <c r="V70" s="65">
        <v>5</v>
      </c>
      <c r="W70" s="85">
        <f>(U70-T70)*24*60</f>
        <v>30.999999999999972</v>
      </c>
      <c r="X70" s="65"/>
      <c r="Y70" s="65"/>
      <c r="Z70" s="96"/>
      <c r="AA70" s="96"/>
      <c r="AB70" s="644"/>
      <c r="AC70" s="644"/>
      <c r="AD70" s="97"/>
      <c r="AE70" s="97"/>
      <c r="AF70" s="89">
        <f t="shared" si="6"/>
        <v>-201.29032258064399</v>
      </c>
      <c r="AG70" s="91">
        <f t="shared" si="7"/>
        <v>0.86580645161290404</v>
      </c>
      <c r="AH70" s="659">
        <f>AG82</f>
        <v>0.84485568272019196</v>
      </c>
    </row>
    <row r="71" spans="1:34" ht="17.399999999999999" customHeight="1">
      <c r="A71" s="674"/>
      <c r="B71" s="65" t="s">
        <v>252</v>
      </c>
      <c r="C71" s="79"/>
      <c r="D71" s="228" t="s">
        <v>135</v>
      </c>
      <c r="E71" s="81"/>
      <c r="F71" s="82">
        <v>47.65</v>
      </c>
      <c r="G71" s="83">
        <v>1676.25</v>
      </c>
      <c r="H71" s="84">
        <f>F71*G71</f>
        <v>79873.3125</v>
      </c>
      <c r="I71" s="65"/>
      <c r="J71" s="86">
        <v>18</v>
      </c>
      <c r="K71" s="229">
        <v>1440</v>
      </c>
      <c r="L71" s="87">
        <v>80</v>
      </c>
      <c r="M71" s="137">
        <v>18</v>
      </c>
      <c r="N71" s="83">
        <f t="shared" si="45"/>
        <v>1289.4230769230776</v>
      </c>
      <c r="O71" s="87">
        <f t="shared" si="46"/>
        <v>71.634615384615415</v>
      </c>
      <c r="P71" s="89">
        <f t="shared" si="47"/>
        <v>0</v>
      </c>
      <c r="Q71" s="90">
        <f>O71-L71</f>
        <v>-8.3653846153845848</v>
      </c>
      <c r="R71" s="91">
        <f>O71/L71</f>
        <v>0.89543269230769273</v>
      </c>
      <c r="S71" s="659"/>
      <c r="T71" s="92">
        <v>0.32916666666666666</v>
      </c>
      <c r="U71" s="92">
        <v>0.3833333333333333</v>
      </c>
      <c r="V71" s="65">
        <v>23</v>
      </c>
      <c r="W71" s="85">
        <f t="shared" ref="W71:W81" si="49">(U71-T71)*24*60</f>
        <v>77.999999999999957</v>
      </c>
      <c r="X71" s="95">
        <v>0.31666666666666665</v>
      </c>
      <c r="Y71" s="95">
        <v>0.3263888888888889</v>
      </c>
      <c r="Z71" s="96"/>
      <c r="AA71" s="96"/>
      <c r="AB71" s="644"/>
      <c r="AC71" s="644"/>
      <c r="AD71" s="97"/>
      <c r="AE71" s="97"/>
      <c r="AF71" s="89">
        <f>N71-K71</f>
        <v>-150.57692307692241</v>
      </c>
      <c r="AG71" s="91">
        <f>N71/K71</f>
        <v>0.89543269230769273</v>
      </c>
      <c r="AH71" s="659"/>
    </row>
    <row r="72" spans="1:34" ht="17.399999999999999" customHeight="1">
      <c r="A72" s="674"/>
      <c r="B72" s="65" t="s">
        <v>252</v>
      </c>
      <c r="C72" s="109"/>
      <c r="D72" s="228" t="s">
        <v>136</v>
      </c>
      <c r="E72" s="81"/>
      <c r="F72" s="82">
        <v>47.51</v>
      </c>
      <c r="G72" s="100">
        <v>2699</v>
      </c>
      <c r="H72" s="84">
        <f t="shared" ref="H72:H80" si="50">F72*G72</f>
        <v>128229.48999999999</v>
      </c>
      <c r="I72" s="65"/>
      <c r="J72" s="130">
        <v>17</v>
      </c>
      <c r="K72" s="100">
        <v>1440</v>
      </c>
      <c r="L72" s="131">
        <v>84.705882352941174</v>
      </c>
      <c r="M72" s="88">
        <v>17</v>
      </c>
      <c r="N72" s="83">
        <f t="shared" si="45"/>
        <v>1275.1181102362202</v>
      </c>
      <c r="O72" s="87">
        <f t="shared" si="46"/>
        <v>75.006947660954125</v>
      </c>
      <c r="P72" s="89">
        <f t="shared" si="47"/>
        <v>0</v>
      </c>
      <c r="Q72" s="90">
        <f>O72-L72</f>
        <v>-9.6989346919870485</v>
      </c>
      <c r="R72" s="91">
        <f>O72/L72</f>
        <v>0.88549868766404183</v>
      </c>
      <c r="S72" s="659"/>
      <c r="T72" s="92">
        <v>0.39861111111111108</v>
      </c>
      <c r="U72" s="92">
        <v>0.48680555555555555</v>
      </c>
      <c r="V72" s="65">
        <v>22</v>
      </c>
      <c r="W72" s="85">
        <f t="shared" si="49"/>
        <v>127.00000000000003</v>
      </c>
      <c r="X72" s="95">
        <v>0.38680555555555557</v>
      </c>
      <c r="Y72" s="95">
        <v>0.39583333333333331</v>
      </c>
      <c r="Z72" s="96"/>
      <c r="AA72" s="96"/>
      <c r="AB72" s="644"/>
      <c r="AC72" s="644"/>
      <c r="AD72" s="97"/>
      <c r="AE72" s="97"/>
      <c r="AF72" s="89">
        <f>N72-K72</f>
        <v>-164.88188976377978</v>
      </c>
      <c r="AG72" s="91">
        <f>N72/K72</f>
        <v>0.88549868766404183</v>
      </c>
      <c r="AH72" s="659"/>
    </row>
    <row r="73" spans="1:34" ht="17.399999999999999" customHeight="1">
      <c r="A73" s="674"/>
      <c r="B73" s="65" t="s">
        <v>252</v>
      </c>
      <c r="C73" s="230"/>
      <c r="D73" s="231" t="s">
        <v>137</v>
      </c>
      <c r="E73" s="232"/>
      <c r="F73" s="82">
        <v>64.97</v>
      </c>
      <c r="G73" s="100">
        <v>325</v>
      </c>
      <c r="H73" s="84">
        <f t="shared" si="50"/>
        <v>21115.25</v>
      </c>
      <c r="I73" s="97"/>
      <c r="J73" s="233">
        <v>16</v>
      </c>
      <c r="K73" s="234">
        <v>1440</v>
      </c>
      <c r="L73" s="131">
        <v>90</v>
      </c>
      <c r="M73" s="137">
        <v>17</v>
      </c>
      <c r="N73" s="83">
        <f t="shared" si="45"/>
        <v>1083.3333333333374</v>
      </c>
      <c r="O73" s="87">
        <f t="shared" si="46"/>
        <v>63.725490196078667</v>
      </c>
      <c r="P73" s="89">
        <f t="shared" si="47"/>
        <v>1</v>
      </c>
      <c r="Q73" s="90">
        <f>O73-L73</f>
        <v>-26.274509803921333</v>
      </c>
      <c r="R73" s="91">
        <f>O73/L73</f>
        <v>0.70806100217865187</v>
      </c>
      <c r="S73" s="659"/>
      <c r="T73" s="92">
        <v>0.52777777777777768</v>
      </c>
      <c r="U73" s="92">
        <v>0.54027777777777763</v>
      </c>
      <c r="V73" s="65">
        <v>6</v>
      </c>
      <c r="W73" s="85">
        <f t="shared" si="49"/>
        <v>17.999999999999936</v>
      </c>
      <c r="X73" s="235"/>
      <c r="Y73" s="235"/>
      <c r="Z73" s="167"/>
      <c r="AA73" s="167"/>
      <c r="AB73" s="644"/>
      <c r="AC73" s="644"/>
      <c r="AD73" s="97"/>
      <c r="AE73" s="97"/>
      <c r="AF73" s="89">
        <f>N73-K73</f>
        <v>-356.66666666666265</v>
      </c>
      <c r="AG73" s="91">
        <f>N73/K73</f>
        <v>0.75231481481481766</v>
      </c>
      <c r="AH73" s="659"/>
    </row>
    <row r="74" spans="1:34" ht="17.399999999999999" customHeight="1">
      <c r="A74" s="674"/>
      <c r="B74" s="65" t="s">
        <v>252</v>
      </c>
      <c r="C74" s="230"/>
      <c r="D74" s="231" t="s">
        <v>138</v>
      </c>
      <c r="E74" s="232"/>
      <c r="F74" s="82">
        <v>59.54</v>
      </c>
      <c r="G74" s="229">
        <v>1319</v>
      </c>
      <c r="H74" s="84">
        <f t="shared" si="50"/>
        <v>78533.259999999995</v>
      </c>
      <c r="I74" s="65"/>
      <c r="J74" s="130">
        <v>17</v>
      </c>
      <c r="K74" s="100">
        <v>1385</v>
      </c>
      <c r="L74" s="131">
        <v>81.470588235294116</v>
      </c>
      <c r="M74" s="88">
        <v>17</v>
      </c>
      <c r="N74" s="83">
        <f t="shared" si="45"/>
        <v>1199.0909090909104</v>
      </c>
      <c r="O74" s="87">
        <f t="shared" si="46"/>
        <v>70.534759358288852</v>
      </c>
      <c r="P74" s="89">
        <f t="shared" si="47"/>
        <v>0</v>
      </c>
      <c r="Q74" s="90">
        <f>O74-L74</f>
        <v>-10.935828877005264</v>
      </c>
      <c r="R74" s="91">
        <f>O74/L74</f>
        <v>0.86576960945192094</v>
      </c>
      <c r="S74" s="659"/>
      <c r="T74" s="92">
        <v>0.54513888888888873</v>
      </c>
      <c r="U74" s="92">
        <v>0.59097222222222201</v>
      </c>
      <c r="V74" s="65">
        <v>7</v>
      </c>
      <c r="W74" s="85">
        <f t="shared" si="49"/>
        <v>65.999999999999929</v>
      </c>
      <c r="X74" s="235"/>
      <c r="Y74" s="235"/>
      <c r="Z74" s="167"/>
      <c r="AA74" s="167"/>
      <c r="AB74" s="644"/>
      <c r="AC74" s="644"/>
      <c r="AD74" s="97"/>
      <c r="AE74" s="97"/>
      <c r="AF74" s="89">
        <f>N74-K74</f>
        <v>-185.90909090908963</v>
      </c>
      <c r="AG74" s="91">
        <f>N74/K74</f>
        <v>0.86576960945192083</v>
      </c>
      <c r="AH74" s="659"/>
    </row>
    <row r="75" spans="1:34" ht="17.399999999999999" customHeight="1">
      <c r="A75" s="674"/>
      <c r="B75" s="65" t="s">
        <v>252</v>
      </c>
      <c r="C75" s="109"/>
      <c r="D75" s="228" t="s">
        <v>139</v>
      </c>
      <c r="E75" s="81"/>
      <c r="F75" s="82">
        <v>71.55</v>
      </c>
      <c r="G75" s="100">
        <v>751</v>
      </c>
      <c r="H75" s="84">
        <f t="shared" si="50"/>
        <v>53734.049999999996</v>
      </c>
      <c r="I75" s="65"/>
      <c r="J75" s="233">
        <v>19</v>
      </c>
      <c r="K75" s="234">
        <v>1385</v>
      </c>
      <c r="L75" s="131">
        <v>72.89473684210526</v>
      </c>
      <c r="M75" s="88">
        <v>19</v>
      </c>
      <c r="N75" s="83">
        <f t="shared" si="45"/>
        <v>1217.8378378378368</v>
      </c>
      <c r="O75" s="87">
        <f t="shared" si="46"/>
        <v>64.096728307254565</v>
      </c>
      <c r="P75" s="89">
        <f t="shared" si="47"/>
        <v>0</v>
      </c>
      <c r="Q75" s="90">
        <f>O75-L75</f>
        <v>-8.7980085348506947</v>
      </c>
      <c r="R75" s="91">
        <f>O75/L75</f>
        <v>0.87930529807786051</v>
      </c>
      <c r="S75" s="659"/>
      <c r="T75" s="92">
        <v>0.59652777777777755</v>
      </c>
      <c r="U75" s="92">
        <v>0.62222222222222201</v>
      </c>
      <c r="V75" s="65">
        <v>8</v>
      </c>
      <c r="W75" s="85">
        <f t="shared" si="49"/>
        <v>37.000000000000028</v>
      </c>
      <c r="X75" s="235"/>
      <c r="Y75" s="235"/>
      <c r="Z75" s="167"/>
      <c r="AA75" s="167"/>
      <c r="AB75" s="644"/>
      <c r="AC75" s="644"/>
      <c r="AD75" s="97"/>
      <c r="AE75" s="97"/>
      <c r="AF75" s="89">
        <f>N75-K75</f>
        <v>-167.16216216216321</v>
      </c>
      <c r="AG75" s="91">
        <f>N75/K75</f>
        <v>0.87930529807786051</v>
      </c>
      <c r="AH75" s="659"/>
    </row>
    <row r="76" spans="1:34" ht="17.399999999999999" customHeight="1">
      <c r="A76" s="674"/>
      <c r="B76" s="65" t="s">
        <v>252</v>
      </c>
      <c r="C76" s="230"/>
      <c r="D76" s="231" t="s">
        <v>135</v>
      </c>
      <c r="E76" s="232"/>
      <c r="F76" s="82">
        <v>47.65</v>
      </c>
      <c r="G76" s="229">
        <v>558.75</v>
      </c>
      <c r="H76" s="84">
        <f t="shared" si="50"/>
        <v>26624.4375</v>
      </c>
      <c r="I76" s="65"/>
      <c r="J76" s="130">
        <v>18</v>
      </c>
      <c r="K76" s="100">
        <v>1440</v>
      </c>
      <c r="L76" s="131">
        <v>80</v>
      </c>
      <c r="M76" s="137">
        <v>18</v>
      </c>
      <c r="N76" s="83">
        <f t="shared" si="45"/>
        <v>1289.4230769230735</v>
      </c>
      <c r="O76" s="87">
        <f t="shared" si="46"/>
        <v>71.634615384615188</v>
      </c>
      <c r="P76" s="89">
        <f t="shared" si="47"/>
        <v>0</v>
      </c>
      <c r="Q76" s="90">
        <f t="shared" ref="Q76:Q77" si="51">O76-L76</f>
        <v>-8.3653846153848122</v>
      </c>
      <c r="R76" s="91">
        <f t="shared" ref="R76:R77" si="52">O76/L76</f>
        <v>0.89543269230768985</v>
      </c>
      <c r="S76" s="659"/>
      <c r="T76" s="92">
        <v>0.62569444444444422</v>
      </c>
      <c r="U76" s="92">
        <v>0.64374999999999982</v>
      </c>
      <c r="V76" s="65">
        <v>5</v>
      </c>
      <c r="W76" s="85">
        <f t="shared" si="49"/>
        <v>26.000000000000068</v>
      </c>
      <c r="X76" s="235"/>
      <c r="Y76" s="235"/>
      <c r="Z76" s="167"/>
      <c r="AA76" s="167"/>
      <c r="AB76" s="644"/>
      <c r="AC76" s="644"/>
      <c r="AD76" s="97"/>
      <c r="AE76" s="97"/>
      <c r="AF76" s="89">
        <f t="shared" ref="AF76:AF80" si="53">N76-K76</f>
        <v>-150.57692307692651</v>
      </c>
      <c r="AG76" s="91">
        <f t="shared" ref="AG76:AG80" si="54">N76/K76</f>
        <v>0.89543269230768996</v>
      </c>
      <c r="AH76" s="659"/>
    </row>
    <row r="77" spans="1:34" ht="17.399999999999999" customHeight="1">
      <c r="A77" s="674"/>
      <c r="B77" s="65" t="s">
        <v>251</v>
      </c>
      <c r="C77" s="219"/>
      <c r="D77" s="236" t="s">
        <v>140</v>
      </c>
      <c r="E77" s="81"/>
      <c r="F77" s="82">
        <v>53.68</v>
      </c>
      <c r="G77" s="229">
        <v>1451</v>
      </c>
      <c r="H77" s="84">
        <f t="shared" si="50"/>
        <v>77889.679999999993</v>
      </c>
      <c r="I77" s="97"/>
      <c r="J77" s="233">
        <v>20</v>
      </c>
      <c r="K77" s="234">
        <v>1500</v>
      </c>
      <c r="L77" s="131">
        <v>75</v>
      </c>
      <c r="M77" s="88">
        <v>20</v>
      </c>
      <c r="N77" s="83">
        <f t="shared" si="45"/>
        <v>1088.2499999999995</v>
      </c>
      <c r="O77" s="87">
        <f t="shared" si="46"/>
        <v>54.41249999999998</v>
      </c>
      <c r="P77" s="89">
        <f t="shared" si="47"/>
        <v>0</v>
      </c>
      <c r="Q77" s="90">
        <f t="shared" si="51"/>
        <v>-20.58750000000002</v>
      </c>
      <c r="R77" s="91">
        <f t="shared" si="52"/>
        <v>0.7254999999999997</v>
      </c>
      <c r="S77" s="659"/>
      <c r="T77" s="92">
        <v>0.70833333333333337</v>
      </c>
      <c r="U77" s="92">
        <v>0.76388888888888895</v>
      </c>
      <c r="V77" s="65">
        <v>5</v>
      </c>
      <c r="W77" s="85">
        <f t="shared" si="49"/>
        <v>80.000000000000028</v>
      </c>
      <c r="X77" s="235"/>
      <c r="Y77" s="235"/>
      <c r="Z77" s="167"/>
      <c r="AA77" s="167"/>
      <c r="AB77" s="644"/>
      <c r="AC77" s="644"/>
      <c r="AD77" s="97"/>
      <c r="AE77" s="97"/>
      <c r="AF77" s="89">
        <f t="shared" si="53"/>
        <v>-411.75000000000045</v>
      </c>
      <c r="AG77" s="91">
        <f t="shared" si="54"/>
        <v>0.7254999999999997</v>
      </c>
      <c r="AH77" s="659"/>
    </row>
    <row r="78" spans="1:34" ht="17.399999999999999" customHeight="1">
      <c r="A78" s="674"/>
      <c r="B78" s="65">
        <v>0</v>
      </c>
      <c r="C78" s="219"/>
      <c r="D78" s="80"/>
      <c r="E78" s="81"/>
      <c r="F78" s="82" t="s">
        <v>253</v>
      </c>
      <c r="G78" s="100"/>
      <c r="H78" s="84">
        <f t="shared" si="50"/>
        <v>0</v>
      </c>
      <c r="I78" s="97"/>
      <c r="J78" s="130"/>
      <c r="K78" s="100"/>
      <c r="L78" s="131"/>
      <c r="M78" s="137"/>
      <c r="N78" s="83"/>
      <c r="O78" s="87"/>
      <c r="P78" s="89"/>
      <c r="Q78" s="90"/>
      <c r="R78" s="91"/>
      <c r="S78" s="659"/>
      <c r="T78" s="92"/>
      <c r="U78" s="92"/>
      <c r="V78" s="65"/>
      <c r="W78" s="85"/>
      <c r="X78" s="235"/>
      <c r="Y78" s="235"/>
      <c r="Z78" s="167"/>
      <c r="AA78" s="167"/>
      <c r="AB78" s="644"/>
      <c r="AC78" s="644"/>
      <c r="AD78" s="97"/>
      <c r="AE78" s="97"/>
      <c r="AF78" s="89">
        <f t="shared" si="53"/>
        <v>0</v>
      </c>
      <c r="AG78" s="91" t="e">
        <f t="shared" si="54"/>
        <v>#DIV/0!</v>
      </c>
      <c r="AH78" s="659"/>
    </row>
    <row r="79" spans="1:34" ht="17.399999999999999" customHeight="1">
      <c r="A79" s="674"/>
      <c r="B79" s="65">
        <v>0</v>
      </c>
      <c r="C79" s="230"/>
      <c r="D79" s="231"/>
      <c r="E79" s="232"/>
      <c r="F79" s="82" t="s">
        <v>253</v>
      </c>
      <c r="G79" s="100"/>
      <c r="H79" s="84">
        <f t="shared" si="50"/>
        <v>0</v>
      </c>
      <c r="I79" s="97"/>
      <c r="J79" s="130"/>
      <c r="K79" s="100"/>
      <c r="L79" s="131"/>
      <c r="M79" s="137"/>
      <c r="N79" s="100"/>
      <c r="O79" s="237"/>
      <c r="P79" s="238"/>
      <c r="Q79" s="239"/>
      <c r="R79" s="240"/>
      <c r="S79" s="659"/>
      <c r="T79" s="92"/>
      <c r="U79" s="92"/>
      <c r="V79" s="65"/>
      <c r="W79" s="85">
        <f t="shared" si="49"/>
        <v>0</v>
      </c>
      <c r="X79" s="235"/>
      <c r="Y79" s="235"/>
      <c r="Z79" s="167"/>
      <c r="AA79" s="167"/>
      <c r="AB79" s="644"/>
      <c r="AC79" s="644"/>
      <c r="AD79" s="97"/>
      <c r="AE79" s="97"/>
      <c r="AF79" s="89">
        <f t="shared" si="53"/>
        <v>0</v>
      </c>
      <c r="AG79" s="91" t="e">
        <f t="shared" si="54"/>
        <v>#DIV/0!</v>
      </c>
      <c r="AH79" s="659"/>
    </row>
    <row r="80" spans="1:34" ht="17.399999999999999" customHeight="1">
      <c r="A80" s="674"/>
      <c r="B80" s="65">
        <v>0</v>
      </c>
      <c r="C80" s="219"/>
      <c r="D80" s="80"/>
      <c r="E80" s="81"/>
      <c r="F80" s="82"/>
      <c r="G80" s="100"/>
      <c r="H80" s="84">
        <f t="shared" si="50"/>
        <v>0</v>
      </c>
      <c r="I80" s="97"/>
      <c r="J80" s="130"/>
      <c r="K80" s="100"/>
      <c r="L80" s="131"/>
      <c r="M80" s="137"/>
      <c r="N80" s="100"/>
      <c r="O80" s="241"/>
      <c r="P80" s="96"/>
      <c r="Q80" s="132"/>
      <c r="R80" s="242"/>
      <c r="S80" s="659"/>
      <c r="T80" s="92"/>
      <c r="U80" s="92"/>
      <c r="V80" s="65"/>
      <c r="W80" s="85">
        <f t="shared" si="49"/>
        <v>0</v>
      </c>
      <c r="X80" s="235"/>
      <c r="Y80" s="235"/>
      <c r="Z80" s="167"/>
      <c r="AA80" s="167"/>
      <c r="AB80" s="644"/>
      <c r="AC80" s="644"/>
      <c r="AD80" s="97"/>
      <c r="AE80" s="97"/>
      <c r="AF80" s="89">
        <f t="shared" si="53"/>
        <v>0</v>
      </c>
      <c r="AG80" s="91" t="e">
        <f t="shared" si="54"/>
        <v>#DIV/0!</v>
      </c>
      <c r="AH80" s="659"/>
    </row>
    <row r="81" spans="1:34" ht="17.399999999999999" customHeight="1">
      <c r="A81" s="674"/>
      <c r="B81" s="65">
        <v>0</v>
      </c>
      <c r="C81" s="219"/>
      <c r="D81" s="80"/>
      <c r="E81" s="81"/>
      <c r="F81" s="183"/>
      <c r="G81" s="100"/>
      <c r="H81" s="129"/>
      <c r="I81" s="97"/>
      <c r="J81" s="130"/>
      <c r="K81" s="100"/>
      <c r="L81" s="131"/>
      <c r="M81" s="137"/>
      <c r="N81" s="100"/>
      <c r="O81" s="241"/>
      <c r="P81" s="96"/>
      <c r="Q81" s="132"/>
      <c r="R81" s="242"/>
      <c r="S81" s="659"/>
      <c r="T81" s="92"/>
      <c r="U81" s="92"/>
      <c r="V81" s="65"/>
      <c r="W81" s="85">
        <f t="shared" si="49"/>
        <v>0</v>
      </c>
      <c r="X81" s="235"/>
      <c r="Y81" s="235"/>
      <c r="Z81" s="167"/>
      <c r="AA81" s="167"/>
      <c r="AB81" s="644"/>
      <c r="AC81" s="644"/>
      <c r="AD81" s="97"/>
      <c r="AE81" s="97"/>
      <c r="AF81" s="89"/>
      <c r="AG81" s="170"/>
      <c r="AH81" s="659"/>
    </row>
    <row r="82" spans="1:34" ht="18" customHeight="1">
      <c r="A82" s="675"/>
      <c r="B82" s="222">
        <v>0</v>
      </c>
      <c r="C82" s="138" t="s">
        <v>18</v>
      </c>
      <c r="D82" s="630" t="s">
        <v>220</v>
      </c>
      <c r="E82" s="630"/>
      <c r="F82" s="243"/>
      <c r="G82" s="140"/>
      <c r="H82" s="141"/>
      <c r="I82" s="142"/>
      <c r="J82" s="140">
        <v>17.375</v>
      </c>
      <c r="K82" s="140">
        <v>1441.25</v>
      </c>
      <c r="L82" s="143">
        <v>83.901758071649709</v>
      </c>
      <c r="M82" s="140">
        <f t="shared" ref="M82:O82" si="55">AVERAGE(M70:M81)</f>
        <v>17.375</v>
      </c>
      <c r="N82" s="140">
        <f t="shared" si="55"/>
        <v>1217.6482527204766</v>
      </c>
      <c r="O82" s="244">
        <f t="shared" si="55"/>
        <v>71.368300088585045</v>
      </c>
      <c r="P82" s="158">
        <f>M82-J82</f>
        <v>0</v>
      </c>
      <c r="Q82" s="159">
        <f>N82-K82</f>
        <v>-223.60174727952335</v>
      </c>
      <c r="R82" s="227">
        <f>O82/L82</f>
        <v>0.85061745699820202</v>
      </c>
      <c r="S82" s="659"/>
      <c r="T82" s="92"/>
      <c r="U82" s="92"/>
      <c r="V82" s="65"/>
      <c r="W82" s="83"/>
      <c r="X82" s="87"/>
      <c r="Y82" s="87"/>
      <c r="Z82" s="145">
        <f>SUM(Z70:Z81)</f>
        <v>0</v>
      </c>
      <c r="AA82" s="145">
        <f>SUM(AA70:AA81)</f>
        <v>0</v>
      </c>
      <c r="AB82" s="644"/>
      <c r="AC82" s="644"/>
      <c r="AD82" s="146">
        <f>SUM(AD70:AD81)</f>
        <v>0</v>
      </c>
      <c r="AE82" s="146">
        <f>SUM(AE70:AE81)</f>
        <v>0</v>
      </c>
      <c r="AF82" s="89">
        <f>N82-K82</f>
        <v>-223.60174727952335</v>
      </c>
      <c r="AG82" s="91">
        <f>N82/K82</f>
        <v>0.84485568272019196</v>
      </c>
      <c r="AH82" s="659"/>
    </row>
    <row r="83" spans="1:34" ht="18" customHeight="1">
      <c r="A83" s="672" t="s">
        <v>228</v>
      </c>
      <c r="B83" s="147" t="s">
        <v>247</v>
      </c>
      <c r="C83" s="109"/>
      <c r="D83" s="245" t="s">
        <v>112</v>
      </c>
      <c r="E83" s="81"/>
      <c r="F83" s="183">
        <v>54.25</v>
      </c>
      <c r="G83" s="100">
        <v>1853.3400000000001</v>
      </c>
      <c r="H83" s="129">
        <f t="shared" ref="H83:H94" si="56">F83*G83</f>
        <v>100543.69500000001</v>
      </c>
      <c r="I83" s="97"/>
      <c r="J83" s="130">
        <v>21</v>
      </c>
      <c r="K83" s="100">
        <v>1385</v>
      </c>
      <c r="L83" s="131">
        <v>65.952380952380949</v>
      </c>
      <c r="M83" s="137">
        <v>20</v>
      </c>
      <c r="N83" s="100">
        <f t="shared" ref="N83:N91" si="57">G83/W83*60</f>
        <v>1100.9940594059412</v>
      </c>
      <c r="O83" s="241">
        <f t="shared" ref="O83:O91" si="58">N83/M83</f>
        <v>55.049702970297062</v>
      </c>
      <c r="P83" s="96">
        <f t="shared" ref="P83:P91" si="59">M83-J83</f>
        <v>-1</v>
      </c>
      <c r="Q83" s="132">
        <f t="shared" ref="Q83:Q91" si="60">O83-L83</f>
        <v>-10.902677982083887</v>
      </c>
      <c r="R83" s="246">
        <f t="shared" ref="R83:R91" si="61">O83/L83</f>
        <v>0.83468863709475694</v>
      </c>
      <c r="S83" s="659">
        <f>R95</f>
        <v>0.79170036006449618</v>
      </c>
      <c r="T83" s="92">
        <v>0.375</v>
      </c>
      <c r="U83" s="92">
        <v>0.44513888888888886</v>
      </c>
      <c r="V83" s="65">
        <v>5</v>
      </c>
      <c r="W83" s="85">
        <f t="shared" ref="W83:W93" si="62">(U83-T83)*24*60</f>
        <v>100.99999999999996</v>
      </c>
      <c r="X83" s="95"/>
      <c r="Y83" s="95"/>
      <c r="Z83" s="96"/>
      <c r="AA83" s="96"/>
      <c r="AB83" s="644"/>
      <c r="AC83" s="644"/>
      <c r="AD83" s="97"/>
      <c r="AE83" s="97"/>
      <c r="AF83" s="89">
        <f t="shared" ref="AF83:AF173" si="63">N83-K83</f>
        <v>-284.00594059405876</v>
      </c>
      <c r="AG83" s="91">
        <f t="shared" ref="AG83:AG173" si="64">N83/K83</f>
        <v>0.79494155913786368</v>
      </c>
      <c r="AH83" s="659">
        <f>AG95</f>
        <v>0.7720842497098932</v>
      </c>
    </row>
    <row r="84" spans="1:34" ht="18" customHeight="1">
      <c r="A84" s="673"/>
      <c r="B84" s="147" t="s">
        <v>247</v>
      </c>
      <c r="C84" s="219"/>
      <c r="D84" s="236" t="s">
        <v>141</v>
      </c>
      <c r="E84" s="81"/>
      <c r="F84" s="183">
        <v>57.73</v>
      </c>
      <c r="G84" s="83">
        <v>748</v>
      </c>
      <c r="H84" s="129">
        <f t="shared" si="56"/>
        <v>43182.04</v>
      </c>
      <c r="I84" s="65"/>
      <c r="J84" s="130">
        <v>21</v>
      </c>
      <c r="K84" s="100">
        <v>1385</v>
      </c>
      <c r="L84" s="131">
        <v>65.952380952380949</v>
      </c>
      <c r="M84" s="137">
        <v>20</v>
      </c>
      <c r="N84" s="100">
        <f t="shared" si="57"/>
        <v>1068.5714285714282</v>
      </c>
      <c r="O84" s="241">
        <f t="shared" si="58"/>
        <v>53.428571428571409</v>
      </c>
      <c r="P84" s="96">
        <f t="shared" si="59"/>
        <v>-1</v>
      </c>
      <c r="Q84" s="132">
        <f t="shared" si="60"/>
        <v>-12.52380952380954</v>
      </c>
      <c r="R84" s="246">
        <f t="shared" si="61"/>
        <v>0.81010830324909722</v>
      </c>
      <c r="S84" s="659"/>
      <c r="T84" s="92">
        <v>0.46111111111111108</v>
      </c>
      <c r="U84" s="92">
        <v>0.49027777777777776</v>
      </c>
      <c r="V84" s="65">
        <v>23</v>
      </c>
      <c r="W84" s="85">
        <f t="shared" si="62"/>
        <v>42.000000000000014</v>
      </c>
      <c r="X84" s="95">
        <v>0.44861111111111113</v>
      </c>
      <c r="Y84" s="95">
        <v>0.45833333333333331</v>
      </c>
      <c r="Z84" s="96"/>
      <c r="AA84" s="96"/>
      <c r="AB84" s="644"/>
      <c r="AC84" s="644"/>
      <c r="AD84" s="97"/>
      <c r="AE84" s="97"/>
      <c r="AF84" s="89">
        <f t="shared" si="63"/>
        <v>-316.42857142857179</v>
      </c>
      <c r="AG84" s="91">
        <f t="shared" si="64"/>
        <v>0.77153171738009252</v>
      </c>
      <c r="AH84" s="659"/>
    </row>
    <row r="85" spans="1:34" ht="18" customHeight="1">
      <c r="A85" s="673"/>
      <c r="B85" s="147" t="s">
        <v>247</v>
      </c>
      <c r="C85" s="164"/>
      <c r="D85" s="236" t="s">
        <v>142</v>
      </c>
      <c r="E85" s="81"/>
      <c r="F85" s="183">
        <v>57.73</v>
      </c>
      <c r="G85" s="83">
        <v>525</v>
      </c>
      <c r="H85" s="129">
        <f t="shared" si="56"/>
        <v>30308.25</v>
      </c>
      <c r="I85" s="97"/>
      <c r="J85" s="130">
        <v>21</v>
      </c>
      <c r="K85" s="100">
        <v>1385</v>
      </c>
      <c r="L85" s="131">
        <v>65.952380952380949</v>
      </c>
      <c r="M85" s="137">
        <v>20</v>
      </c>
      <c r="N85" s="100">
        <f t="shared" si="57"/>
        <v>899.99999999999909</v>
      </c>
      <c r="O85" s="241">
        <f t="shared" si="58"/>
        <v>44.999999999999957</v>
      </c>
      <c r="P85" s="96">
        <f t="shared" si="59"/>
        <v>-1</v>
      </c>
      <c r="Q85" s="132">
        <f t="shared" si="60"/>
        <v>-20.952380952380992</v>
      </c>
      <c r="R85" s="246">
        <f t="shared" si="61"/>
        <v>0.68231046931407879</v>
      </c>
      <c r="S85" s="659"/>
      <c r="T85" s="92">
        <v>0.53125</v>
      </c>
      <c r="U85" s="92">
        <v>0.55555555555555558</v>
      </c>
      <c r="V85" s="65">
        <v>6</v>
      </c>
      <c r="W85" s="85">
        <f t="shared" si="62"/>
        <v>35.000000000000036</v>
      </c>
      <c r="X85" s="95"/>
      <c r="Y85" s="95"/>
      <c r="Z85" s="96"/>
      <c r="AA85" s="96"/>
      <c r="AB85" s="641" t="s">
        <v>191</v>
      </c>
      <c r="AC85" s="642"/>
      <c r="AD85" s="97"/>
      <c r="AE85" s="97"/>
      <c r="AF85" s="89">
        <f t="shared" si="63"/>
        <v>-485.00000000000091</v>
      </c>
      <c r="AG85" s="91">
        <f t="shared" si="64"/>
        <v>0.6498194945848369</v>
      </c>
      <c r="AH85" s="659"/>
    </row>
    <row r="86" spans="1:34" ht="18" customHeight="1">
      <c r="A86" s="673"/>
      <c r="B86" s="147" t="s">
        <v>248</v>
      </c>
      <c r="C86" s="176"/>
      <c r="D86" s="236" t="s">
        <v>143</v>
      </c>
      <c r="E86" s="81"/>
      <c r="F86" s="183">
        <v>71.84</v>
      </c>
      <c r="G86" s="83">
        <v>541</v>
      </c>
      <c r="H86" s="129">
        <f t="shared" si="56"/>
        <v>38865.440000000002</v>
      </c>
      <c r="I86" s="97"/>
      <c r="J86" s="130">
        <v>21</v>
      </c>
      <c r="K86" s="100">
        <v>1385</v>
      </c>
      <c r="L86" s="131">
        <v>65.952380952380949</v>
      </c>
      <c r="M86" s="137">
        <v>20</v>
      </c>
      <c r="N86" s="100">
        <f t="shared" si="57"/>
        <v>983.63636363636238</v>
      </c>
      <c r="O86" s="241">
        <f t="shared" si="58"/>
        <v>49.181818181818116</v>
      </c>
      <c r="P86" s="96">
        <f t="shared" si="59"/>
        <v>-1</v>
      </c>
      <c r="Q86" s="132">
        <f t="shared" si="60"/>
        <v>-16.770562770562833</v>
      </c>
      <c r="R86" s="246">
        <f t="shared" si="61"/>
        <v>0.74571709878568992</v>
      </c>
      <c r="S86" s="659"/>
      <c r="T86" s="92">
        <v>0.56041666666666667</v>
      </c>
      <c r="U86" s="92">
        <v>0.58333333333333337</v>
      </c>
      <c r="V86" s="65">
        <v>7</v>
      </c>
      <c r="W86" s="85">
        <f t="shared" si="62"/>
        <v>33.000000000000043</v>
      </c>
      <c r="X86" s="95"/>
      <c r="Y86" s="95"/>
      <c r="Z86" s="96"/>
      <c r="AA86" s="96"/>
      <c r="AB86" s="641" t="s">
        <v>191</v>
      </c>
      <c r="AC86" s="642"/>
      <c r="AD86" s="97"/>
      <c r="AE86" s="97"/>
      <c r="AF86" s="89">
        <f t="shared" si="63"/>
        <v>-401.36363636363762</v>
      </c>
      <c r="AG86" s="91">
        <f t="shared" si="64"/>
        <v>0.71020676074827604</v>
      </c>
      <c r="AH86" s="659"/>
    </row>
    <row r="87" spans="1:34" ht="18" customHeight="1">
      <c r="A87" s="673"/>
      <c r="B87" s="147" t="s">
        <v>248</v>
      </c>
      <c r="C87" s="176"/>
      <c r="D87" s="236" t="s">
        <v>144</v>
      </c>
      <c r="E87" s="81"/>
      <c r="F87" s="183">
        <v>72.400000000000006</v>
      </c>
      <c r="G87" s="83">
        <v>307</v>
      </c>
      <c r="H87" s="129">
        <f t="shared" si="56"/>
        <v>22226.800000000003</v>
      </c>
      <c r="I87" s="97"/>
      <c r="J87" s="130">
        <v>21</v>
      </c>
      <c r="K87" s="100">
        <v>1385</v>
      </c>
      <c r="L87" s="131">
        <v>65.952380952380949</v>
      </c>
      <c r="M87" s="137">
        <v>20</v>
      </c>
      <c r="N87" s="100">
        <f t="shared" si="57"/>
        <v>1023.333333333337</v>
      </c>
      <c r="O87" s="241">
        <f t="shared" si="58"/>
        <v>51.166666666666849</v>
      </c>
      <c r="P87" s="96">
        <f t="shared" si="59"/>
        <v>-1</v>
      </c>
      <c r="Q87" s="132">
        <f t="shared" si="60"/>
        <v>-14.7857142857141</v>
      </c>
      <c r="R87" s="246">
        <f t="shared" si="61"/>
        <v>0.77581227436823386</v>
      </c>
      <c r="S87" s="659"/>
      <c r="T87" s="92">
        <v>0.58750000000000002</v>
      </c>
      <c r="U87" s="92">
        <v>0.6</v>
      </c>
      <c r="V87" s="65">
        <v>6</v>
      </c>
      <c r="W87" s="85">
        <f t="shared" si="62"/>
        <v>17.999999999999936</v>
      </c>
      <c r="X87" s="95"/>
      <c r="Y87" s="95"/>
      <c r="Z87" s="96"/>
      <c r="AA87" s="96"/>
      <c r="AB87" s="641" t="s">
        <v>191</v>
      </c>
      <c r="AC87" s="642"/>
      <c r="AD87" s="97"/>
      <c r="AE87" s="97"/>
      <c r="AF87" s="89">
        <f t="shared" si="63"/>
        <v>-361.66666666666299</v>
      </c>
      <c r="AG87" s="91">
        <f t="shared" si="64"/>
        <v>0.73886883273165127</v>
      </c>
      <c r="AH87" s="659"/>
    </row>
    <row r="88" spans="1:34" ht="18" customHeight="1">
      <c r="A88" s="673"/>
      <c r="B88" s="147" t="s">
        <v>248</v>
      </c>
      <c r="C88" s="219"/>
      <c r="D88" s="236" t="s">
        <v>145</v>
      </c>
      <c r="E88" s="81"/>
      <c r="F88" s="183">
        <v>72.400000000000006</v>
      </c>
      <c r="G88" s="100">
        <v>512</v>
      </c>
      <c r="H88" s="129">
        <f t="shared" si="56"/>
        <v>37068.800000000003</v>
      </c>
      <c r="I88" s="97"/>
      <c r="J88" s="130">
        <v>21</v>
      </c>
      <c r="K88" s="100">
        <v>1385</v>
      </c>
      <c r="L88" s="131">
        <v>65.952380952380949</v>
      </c>
      <c r="M88" s="137">
        <v>20</v>
      </c>
      <c r="N88" s="100">
        <f t="shared" si="57"/>
        <v>959.99999999999875</v>
      </c>
      <c r="O88" s="241">
        <f t="shared" si="58"/>
        <v>47.999999999999936</v>
      </c>
      <c r="P88" s="96">
        <f t="shared" si="59"/>
        <v>-1</v>
      </c>
      <c r="Q88" s="132">
        <f t="shared" si="60"/>
        <v>-17.952380952381013</v>
      </c>
      <c r="R88" s="246">
        <f t="shared" si="61"/>
        <v>0.72779783393501707</v>
      </c>
      <c r="S88" s="659"/>
      <c r="T88" s="92">
        <v>0.60486111111111107</v>
      </c>
      <c r="U88" s="92">
        <v>0.62708333333333333</v>
      </c>
      <c r="V88" s="65">
        <v>7</v>
      </c>
      <c r="W88" s="85">
        <f t="shared" si="62"/>
        <v>32.000000000000043</v>
      </c>
      <c r="X88" s="95"/>
      <c r="Y88" s="95"/>
      <c r="Z88" s="96"/>
      <c r="AA88" s="96"/>
      <c r="AB88" s="641" t="s">
        <v>191</v>
      </c>
      <c r="AC88" s="642"/>
      <c r="AD88" s="97"/>
      <c r="AE88" s="97"/>
      <c r="AF88" s="89">
        <f t="shared" si="63"/>
        <v>-425.00000000000125</v>
      </c>
      <c r="AG88" s="91">
        <f t="shared" si="64"/>
        <v>0.6931407942238258</v>
      </c>
      <c r="AH88" s="659"/>
    </row>
    <row r="89" spans="1:34" ht="18" customHeight="1">
      <c r="A89" s="673"/>
      <c r="B89" s="147" t="s">
        <v>251</v>
      </c>
      <c r="C89" s="219"/>
      <c r="D89" s="80" t="s">
        <v>146</v>
      </c>
      <c r="E89" s="81"/>
      <c r="F89" s="183">
        <v>55.56</v>
      </c>
      <c r="G89" s="156">
        <v>784</v>
      </c>
      <c r="H89" s="129">
        <f t="shared" si="56"/>
        <v>43559.040000000001</v>
      </c>
      <c r="I89" s="247"/>
      <c r="J89" s="130">
        <v>16</v>
      </c>
      <c r="K89" s="100">
        <v>1440</v>
      </c>
      <c r="L89" s="131">
        <v>90</v>
      </c>
      <c r="M89" s="137">
        <v>16</v>
      </c>
      <c r="N89" s="100">
        <f t="shared" si="57"/>
        <v>1306.6666666666656</v>
      </c>
      <c r="O89" s="241">
        <f t="shared" si="58"/>
        <v>81.6666666666666</v>
      </c>
      <c r="P89" s="96">
        <f t="shared" si="59"/>
        <v>0</v>
      </c>
      <c r="Q89" s="132">
        <f t="shared" si="60"/>
        <v>-8.3333333333333997</v>
      </c>
      <c r="R89" s="246">
        <f t="shared" si="61"/>
        <v>0.90740740740740666</v>
      </c>
      <c r="S89" s="659"/>
      <c r="T89" s="92">
        <v>0.70833333333333337</v>
      </c>
      <c r="U89" s="92">
        <v>0.73333333333333339</v>
      </c>
      <c r="V89" s="65">
        <v>5</v>
      </c>
      <c r="W89" s="85">
        <f t="shared" si="62"/>
        <v>36.000000000000028</v>
      </c>
      <c r="X89" s="95"/>
      <c r="Y89" s="95"/>
      <c r="Z89" s="96"/>
      <c r="AA89" s="96"/>
      <c r="AB89" s="641" t="s">
        <v>191</v>
      </c>
      <c r="AC89" s="642"/>
      <c r="AD89" s="97"/>
      <c r="AE89" s="97"/>
      <c r="AF89" s="89">
        <f t="shared" si="63"/>
        <v>-133.33333333333439</v>
      </c>
      <c r="AG89" s="91">
        <f t="shared" si="64"/>
        <v>0.90740740740740666</v>
      </c>
      <c r="AH89" s="659"/>
    </row>
    <row r="90" spans="1:34" ht="18" customHeight="1">
      <c r="A90" s="673"/>
      <c r="B90" s="147" t="s">
        <v>251</v>
      </c>
      <c r="C90" s="219"/>
      <c r="D90" s="80" t="s">
        <v>147</v>
      </c>
      <c r="E90" s="81"/>
      <c r="F90" s="183">
        <v>55.32</v>
      </c>
      <c r="G90" s="172">
        <v>487</v>
      </c>
      <c r="H90" s="129">
        <f t="shared" si="56"/>
        <v>26940.84</v>
      </c>
      <c r="I90" s="248"/>
      <c r="J90" s="130">
        <v>14</v>
      </c>
      <c r="K90" s="100">
        <v>1440</v>
      </c>
      <c r="L90" s="131">
        <v>102.85714285714286</v>
      </c>
      <c r="M90" s="137">
        <v>15</v>
      </c>
      <c r="N90" s="100">
        <f t="shared" si="57"/>
        <v>1082.2222222222197</v>
      </c>
      <c r="O90" s="241">
        <f t="shared" si="58"/>
        <v>72.148148148147982</v>
      </c>
      <c r="P90" s="96">
        <f t="shared" si="59"/>
        <v>1</v>
      </c>
      <c r="Q90" s="132">
        <f t="shared" si="60"/>
        <v>-30.708994708994879</v>
      </c>
      <c r="R90" s="246">
        <f t="shared" si="61"/>
        <v>0.7014403292181054</v>
      </c>
      <c r="S90" s="659"/>
      <c r="T90" s="92">
        <v>0.73888888888888893</v>
      </c>
      <c r="U90" s="92">
        <v>0.75763888888888897</v>
      </c>
      <c r="V90" s="65">
        <v>8</v>
      </c>
      <c r="W90" s="85">
        <f t="shared" si="62"/>
        <v>27.000000000000064</v>
      </c>
      <c r="X90" s="249"/>
      <c r="Y90" s="249"/>
      <c r="Z90" s="96"/>
      <c r="AA90" s="96"/>
      <c r="AB90" s="641" t="s">
        <v>191</v>
      </c>
      <c r="AC90" s="642"/>
      <c r="AD90" s="97"/>
      <c r="AE90" s="97"/>
      <c r="AF90" s="89">
        <f t="shared" si="63"/>
        <v>-357.77777777778033</v>
      </c>
      <c r="AG90" s="91">
        <f t="shared" si="64"/>
        <v>0.75154320987654144</v>
      </c>
      <c r="AH90" s="659"/>
    </row>
    <row r="91" spans="1:34" ht="18" customHeight="1">
      <c r="A91" s="673"/>
      <c r="B91" s="147" t="s">
        <v>251</v>
      </c>
      <c r="C91" s="219"/>
      <c r="D91" s="80" t="s">
        <v>148</v>
      </c>
      <c r="E91" s="81"/>
      <c r="F91" s="183">
        <v>50.98</v>
      </c>
      <c r="G91" s="83">
        <v>1547</v>
      </c>
      <c r="H91" s="129">
        <f t="shared" si="56"/>
        <v>78866.06</v>
      </c>
      <c r="I91" s="250"/>
      <c r="J91" s="130">
        <v>18</v>
      </c>
      <c r="K91" s="100">
        <v>1440</v>
      </c>
      <c r="L91" s="131">
        <v>80</v>
      </c>
      <c r="M91" s="137">
        <v>18</v>
      </c>
      <c r="N91" s="100">
        <f t="shared" si="57"/>
        <v>1325.9999999999986</v>
      </c>
      <c r="O91" s="241">
        <f t="shared" si="58"/>
        <v>73.666666666666586</v>
      </c>
      <c r="P91" s="96">
        <f t="shared" si="59"/>
        <v>0</v>
      </c>
      <c r="Q91" s="132">
        <f t="shared" si="60"/>
        <v>-6.3333333333334139</v>
      </c>
      <c r="R91" s="246">
        <f t="shared" si="61"/>
        <v>0.92083333333333228</v>
      </c>
      <c r="S91" s="662"/>
      <c r="T91" s="92">
        <v>0.76250000000000007</v>
      </c>
      <c r="U91" s="92">
        <v>0.81111111111111123</v>
      </c>
      <c r="V91" s="65">
        <v>7</v>
      </c>
      <c r="W91" s="85">
        <f t="shared" si="62"/>
        <v>70.000000000000071</v>
      </c>
      <c r="X91" s="157"/>
      <c r="Y91" s="157"/>
      <c r="Z91" s="96"/>
      <c r="AA91" s="96"/>
      <c r="AB91" s="654"/>
      <c r="AC91" s="654"/>
      <c r="AD91" s="97"/>
      <c r="AE91" s="97"/>
      <c r="AF91" s="89">
        <f t="shared" si="63"/>
        <v>-114.00000000000136</v>
      </c>
      <c r="AG91" s="91">
        <f t="shared" si="64"/>
        <v>0.92083333333333239</v>
      </c>
      <c r="AH91" s="662"/>
    </row>
    <row r="92" spans="1:34" ht="18" customHeight="1">
      <c r="A92" s="673"/>
      <c r="B92" s="147">
        <v>0</v>
      </c>
      <c r="C92" s="219"/>
      <c r="D92" s="80"/>
      <c r="E92" s="81"/>
      <c r="F92" s="183" t="s">
        <v>253</v>
      </c>
      <c r="G92" s="83"/>
      <c r="H92" s="129">
        <f t="shared" si="56"/>
        <v>0</v>
      </c>
      <c r="I92" s="250"/>
      <c r="J92" s="251"/>
      <c r="K92" s="252"/>
      <c r="L92" s="253"/>
      <c r="M92" s="106"/>
      <c r="N92" s="252"/>
      <c r="O92" s="253"/>
      <c r="P92" s="254"/>
      <c r="Q92" s="255"/>
      <c r="R92" s="256"/>
      <c r="S92" s="662"/>
      <c r="T92" s="92"/>
      <c r="U92" s="92"/>
      <c r="V92" s="65"/>
      <c r="W92" s="85">
        <f t="shared" si="62"/>
        <v>0</v>
      </c>
      <c r="X92" s="235"/>
      <c r="Y92" s="235"/>
      <c r="Z92" s="167"/>
      <c r="AA92" s="167"/>
      <c r="AB92" s="644"/>
      <c r="AC92" s="644"/>
      <c r="AD92" s="97"/>
      <c r="AE92" s="97"/>
      <c r="AF92" s="89">
        <f t="shared" si="63"/>
        <v>0</v>
      </c>
      <c r="AG92" s="91" t="e">
        <f t="shared" si="64"/>
        <v>#DIV/0!</v>
      </c>
      <c r="AH92" s="662"/>
    </row>
    <row r="93" spans="1:34" ht="18" customHeight="1">
      <c r="A93" s="673"/>
      <c r="B93" s="105">
        <v>0</v>
      </c>
      <c r="C93" s="257"/>
      <c r="D93" s="102"/>
      <c r="E93" s="103"/>
      <c r="F93" s="183" t="s">
        <v>253</v>
      </c>
      <c r="G93" s="83"/>
      <c r="H93" s="129">
        <f t="shared" si="56"/>
        <v>0</v>
      </c>
      <c r="I93" s="258"/>
      <c r="J93" s="130"/>
      <c r="K93" s="100"/>
      <c r="L93" s="253"/>
      <c r="M93" s="137"/>
      <c r="N93" s="100"/>
      <c r="O93" s="131"/>
      <c r="P93" s="96"/>
      <c r="Q93" s="132"/>
      <c r="R93" s="133"/>
      <c r="S93" s="670"/>
      <c r="T93" s="107"/>
      <c r="U93" s="107"/>
      <c r="V93" s="105"/>
      <c r="W93" s="85">
        <f t="shared" si="62"/>
        <v>0</v>
      </c>
      <c r="X93" s="259"/>
      <c r="Y93" s="259"/>
      <c r="Z93" s="167"/>
      <c r="AA93" s="167"/>
      <c r="AB93" s="644"/>
      <c r="AC93" s="644"/>
      <c r="AD93" s="97"/>
      <c r="AE93" s="97"/>
      <c r="AF93" s="89">
        <f t="shared" si="63"/>
        <v>0</v>
      </c>
      <c r="AG93" s="91" t="e">
        <f t="shared" si="64"/>
        <v>#DIV/0!</v>
      </c>
      <c r="AH93" s="662"/>
    </row>
    <row r="94" spans="1:34" ht="18" customHeight="1">
      <c r="A94" s="673"/>
      <c r="B94" s="105">
        <v>0</v>
      </c>
      <c r="C94" s="257"/>
      <c r="D94" s="80"/>
      <c r="E94" s="81"/>
      <c r="F94" s="183" t="s">
        <v>253</v>
      </c>
      <c r="G94" s="83"/>
      <c r="H94" s="129">
        <f t="shared" si="56"/>
        <v>0</v>
      </c>
      <c r="I94" s="250"/>
      <c r="J94" s="130"/>
      <c r="K94" s="260"/>
      <c r="L94" s="87"/>
      <c r="M94" s="261"/>
      <c r="N94" s="100"/>
      <c r="O94" s="131"/>
      <c r="P94" s="96"/>
      <c r="Q94" s="132"/>
      <c r="R94" s="133"/>
      <c r="S94" s="670"/>
      <c r="T94" s="107"/>
      <c r="U94" s="107"/>
      <c r="V94" s="105"/>
      <c r="W94" s="85">
        <f>(U94-T94)*24*60</f>
        <v>0</v>
      </c>
      <c r="X94" s="259"/>
      <c r="Y94" s="259"/>
      <c r="Z94" s="167"/>
      <c r="AA94" s="167"/>
      <c r="AB94" s="644"/>
      <c r="AC94" s="644"/>
      <c r="AD94" s="97"/>
      <c r="AE94" s="97"/>
      <c r="AF94" s="89">
        <f t="shared" si="63"/>
        <v>0</v>
      </c>
      <c r="AG94" s="91" t="e">
        <f t="shared" si="64"/>
        <v>#DIV/0!</v>
      </c>
      <c r="AH94" s="662"/>
    </row>
    <row r="95" spans="1:34" ht="18" customHeight="1">
      <c r="A95" s="673"/>
      <c r="B95" s="262">
        <v>0</v>
      </c>
      <c r="C95" s="138" t="s">
        <v>19</v>
      </c>
      <c r="D95" s="630" t="s">
        <v>220</v>
      </c>
      <c r="E95" s="630"/>
      <c r="F95" s="113"/>
      <c r="G95" s="114"/>
      <c r="H95" s="263"/>
      <c r="I95" s="142"/>
      <c r="J95" s="264">
        <v>19.333333333333332</v>
      </c>
      <c r="K95" s="264">
        <v>1403.3333333333333</v>
      </c>
      <c r="L95" s="265">
        <v>74.285714285714278</v>
      </c>
      <c r="M95" s="264">
        <f t="shared" ref="M95:O95" si="65">AVERAGE(M83:M94)</f>
        <v>18.777777777777779</v>
      </c>
      <c r="N95" s="264">
        <f t="shared" si="65"/>
        <v>1083.49156375955</v>
      </c>
      <c r="O95" s="265">
        <f t="shared" si="65"/>
        <v>58.812026747648282</v>
      </c>
      <c r="P95" s="266">
        <f>M95-J95</f>
        <v>-0.55555555555555358</v>
      </c>
      <c r="Q95" s="267">
        <f t="shared" ref="Q95:Q104" si="66">O95-L95</f>
        <v>-15.473687538065995</v>
      </c>
      <c r="R95" s="268">
        <f>O95/L95</f>
        <v>0.79170036006449618</v>
      </c>
      <c r="S95" s="662"/>
      <c r="T95" s="107"/>
      <c r="U95" s="107"/>
      <c r="V95" s="104"/>
      <c r="W95" s="104"/>
      <c r="X95" s="122"/>
      <c r="Y95" s="122"/>
      <c r="Z95" s="145">
        <f>SUM(Z83:Z94)</f>
        <v>0</v>
      </c>
      <c r="AA95" s="145">
        <f>SUM(AA83:AA94)</f>
        <v>0</v>
      </c>
      <c r="AB95" s="637"/>
      <c r="AC95" s="637"/>
      <c r="AD95" s="146">
        <f>SUM(AD83:AD94)</f>
        <v>0</v>
      </c>
      <c r="AE95" s="146">
        <f>SUM(AE83:AE94)</f>
        <v>0</v>
      </c>
      <c r="AF95" s="118">
        <f t="shared" si="63"/>
        <v>-319.84176957378327</v>
      </c>
      <c r="AG95" s="125">
        <f t="shared" si="64"/>
        <v>0.7720842497098932</v>
      </c>
      <c r="AH95" s="662"/>
    </row>
    <row r="96" spans="1:34" ht="18" customHeight="1">
      <c r="A96" s="669" t="s">
        <v>229</v>
      </c>
      <c r="B96" s="65" t="s">
        <v>247</v>
      </c>
      <c r="C96" s="176"/>
      <c r="D96" s="80" t="s">
        <v>149</v>
      </c>
      <c r="E96" s="81"/>
      <c r="F96" s="82">
        <v>28.47</v>
      </c>
      <c r="G96" s="83">
        <v>1142</v>
      </c>
      <c r="H96" s="84">
        <f t="shared" ref="H96:H106" si="67">F96*G96</f>
        <v>32512.739999999998</v>
      </c>
      <c r="I96" s="65"/>
      <c r="J96" s="86">
        <v>19</v>
      </c>
      <c r="K96" s="83">
        <v>1440</v>
      </c>
      <c r="L96" s="87">
        <v>75.78947368421052</v>
      </c>
      <c r="M96" s="88">
        <v>18</v>
      </c>
      <c r="N96" s="83">
        <f t="shared" ref="N96:N104" si="68">G96/W96*60</f>
        <v>1268.8888888888896</v>
      </c>
      <c r="O96" s="87">
        <f t="shared" ref="O96:O104" si="69">N96/M96</f>
        <v>70.493827160493865</v>
      </c>
      <c r="P96" s="89">
        <f t="shared" ref="P96:P104" si="70">M96-J96</f>
        <v>-1</v>
      </c>
      <c r="Q96" s="90">
        <f t="shared" si="66"/>
        <v>-5.2956465237166555</v>
      </c>
      <c r="R96" s="91">
        <f t="shared" ref="R96:R104" si="71">O96/L96</f>
        <v>0.93012688614540528</v>
      </c>
      <c r="S96" s="659">
        <f>R108</f>
        <v>0.84246969149953999</v>
      </c>
      <c r="T96" s="134">
        <v>0.375</v>
      </c>
      <c r="U96" s="134">
        <v>0.41249999999999998</v>
      </c>
      <c r="V96" s="97">
        <v>5</v>
      </c>
      <c r="W96" s="135">
        <f t="shared" ref="W96:W122" si="72">(U96-T96)*24*60</f>
        <v>53.999999999999972</v>
      </c>
      <c r="X96" s="136"/>
      <c r="Y96" s="136"/>
      <c r="Z96" s="96"/>
      <c r="AA96" s="96"/>
      <c r="AB96" s="629"/>
      <c r="AC96" s="629"/>
      <c r="AD96" s="97"/>
      <c r="AE96" s="97"/>
      <c r="AF96" s="96">
        <f t="shared" si="63"/>
        <v>-171.1111111111104</v>
      </c>
      <c r="AG96" s="133">
        <f t="shared" si="64"/>
        <v>0.88117283950617331</v>
      </c>
      <c r="AH96" s="632">
        <f>AG108</f>
        <v>0.83352510245171652</v>
      </c>
    </row>
    <row r="97" spans="1:34" s="282" customFormat="1" ht="18" customHeight="1">
      <c r="A97" s="669"/>
      <c r="B97" s="65" t="s">
        <v>251</v>
      </c>
      <c r="C97" s="269"/>
      <c r="D97" s="270" t="s">
        <v>150</v>
      </c>
      <c r="E97" s="99"/>
      <c r="F97" s="271">
        <v>53.27</v>
      </c>
      <c r="G97" s="272">
        <v>1354</v>
      </c>
      <c r="H97" s="273">
        <f t="shared" si="67"/>
        <v>72127.58</v>
      </c>
      <c r="I97" s="192"/>
      <c r="J97" s="274">
        <v>17</v>
      </c>
      <c r="K97" s="100">
        <v>1500</v>
      </c>
      <c r="L97" s="87">
        <v>88.235294117647058</v>
      </c>
      <c r="M97" s="130">
        <v>17</v>
      </c>
      <c r="N97" s="100">
        <f t="shared" si="68"/>
        <v>1310.322580645161</v>
      </c>
      <c r="O97" s="131">
        <f t="shared" si="69"/>
        <v>77.077798861480062</v>
      </c>
      <c r="P97" s="275">
        <f t="shared" si="70"/>
        <v>0</v>
      </c>
      <c r="Q97" s="276">
        <f t="shared" si="66"/>
        <v>-11.157495256166996</v>
      </c>
      <c r="R97" s="277">
        <f t="shared" si="71"/>
        <v>0.87354838709677407</v>
      </c>
      <c r="S97" s="659"/>
      <c r="T97" s="278">
        <v>0.41597222222222219</v>
      </c>
      <c r="U97" s="278">
        <v>0.45902777777777776</v>
      </c>
      <c r="V97" s="279">
        <v>5</v>
      </c>
      <c r="W97" s="135">
        <f t="shared" si="72"/>
        <v>62.000000000000021</v>
      </c>
      <c r="X97" s="95"/>
      <c r="Y97" s="95"/>
      <c r="Z97" s="96"/>
      <c r="AA97" s="96"/>
      <c r="AB97" s="671"/>
      <c r="AC97" s="671"/>
      <c r="AD97" s="279"/>
      <c r="AE97" s="279"/>
      <c r="AF97" s="280">
        <f t="shared" si="63"/>
        <v>-189.677419354839</v>
      </c>
      <c r="AG97" s="281">
        <f t="shared" si="64"/>
        <v>0.87354838709677396</v>
      </c>
      <c r="AH97" s="632"/>
    </row>
    <row r="98" spans="1:34" s="286" customFormat="1" ht="18" customHeight="1">
      <c r="A98" s="669"/>
      <c r="B98" s="65" t="s">
        <v>251</v>
      </c>
      <c r="C98" s="98"/>
      <c r="D98" s="80" t="s">
        <v>151</v>
      </c>
      <c r="E98" s="169"/>
      <c r="F98" s="271">
        <v>53.68</v>
      </c>
      <c r="G98" s="100">
        <v>992</v>
      </c>
      <c r="H98" s="273">
        <f t="shared" si="67"/>
        <v>53250.559999999998</v>
      </c>
      <c r="I98" s="97"/>
      <c r="J98" s="274">
        <v>16</v>
      </c>
      <c r="K98" s="100">
        <v>1500</v>
      </c>
      <c r="L98" s="87">
        <v>93.75</v>
      </c>
      <c r="M98" s="130">
        <v>16</v>
      </c>
      <c r="N98" s="100">
        <f t="shared" si="68"/>
        <v>1293.9130434782608</v>
      </c>
      <c r="O98" s="131">
        <f t="shared" si="69"/>
        <v>80.869565217391298</v>
      </c>
      <c r="P98" s="96">
        <f t="shared" si="70"/>
        <v>0</v>
      </c>
      <c r="Q98" s="132">
        <f t="shared" si="66"/>
        <v>-12.880434782608702</v>
      </c>
      <c r="R98" s="91">
        <f t="shared" si="71"/>
        <v>0.8626086956521738</v>
      </c>
      <c r="S98" s="659"/>
      <c r="T98" s="134">
        <v>0.47499999999999998</v>
      </c>
      <c r="U98" s="134">
        <v>0.50694444444444442</v>
      </c>
      <c r="V98" s="97">
        <v>23</v>
      </c>
      <c r="W98" s="135">
        <f t="shared" si="72"/>
        <v>46</v>
      </c>
      <c r="X98" s="283">
        <v>0.46249999999999997</v>
      </c>
      <c r="Y98" s="283">
        <v>0.47222222222222227</v>
      </c>
      <c r="Z98" s="284"/>
      <c r="AA98" s="284"/>
      <c r="AB98" s="644"/>
      <c r="AC98" s="644"/>
      <c r="AD98" s="97"/>
      <c r="AE98" s="97"/>
      <c r="AF98" s="285">
        <f t="shared" si="63"/>
        <v>-206.08695652173924</v>
      </c>
      <c r="AG98" s="91">
        <f t="shared" si="64"/>
        <v>0.8626086956521738</v>
      </c>
      <c r="AH98" s="632"/>
    </row>
    <row r="99" spans="1:34" ht="18" customHeight="1">
      <c r="A99" s="669"/>
      <c r="B99" s="65" t="s">
        <v>252</v>
      </c>
      <c r="C99" s="127"/>
      <c r="D99" s="168" t="s">
        <v>152</v>
      </c>
      <c r="E99" s="169"/>
      <c r="F99" s="271">
        <v>59.34</v>
      </c>
      <c r="G99" s="100">
        <v>541</v>
      </c>
      <c r="H99" s="273">
        <f t="shared" si="67"/>
        <v>32102.940000000002</v>
      </c>
      <c r="I99" s="97"/>
      <c r="J99" s="86">
        <v>17</v>
      </c>
      <c r="K99" s="83">
        <v>1440</v>
      </c>
      <c r="L99" s="87">
        <v>84.705882352941174</v>
      </c>
      <c r="M99" s="88">
        <v>18</v>
      </c>
      <c r="N99" s="100">
        <f t="shared" si="68"/>
        <v>1047.0967741935467</v>
      </c>
      <c r="O99" s="131">
        <f t="shared" si="69"/>
        <v>58.172043010752596</v>
      </c>
      <c r="P99" s="275">
        <f t="shared" si="70"/>
        <v>1</v>
      </c>
      <c r="Q99" s="276">
        <f t="shared" si="66"/>
        <v>-26.533839342188578</v>
      </c>
      <c r="R99" s="277">
        <f t="shared" si="71"/>
        <v>0.68675328554360704</v>
      </c>
      <c r="S99" s="659"/>
      <c r="T99" s="134">
        <v>0.54791666666666661</v>
      </c>
      <c r="U99" s="134">
        <v>0.56944444444444442</v>
      </c>
      <c r="V99" s="97">
        <v>6</v>
      </c>
      <c r="W99" s="135">
        <f t="shared" si="72"/>
        <v>31.00000000000005</v>
      </c>
      <c r="X99" s="235"/>
      <c r="Y99" s="235"/>
      <c r="Z99" s="167"/>
      <c r="AA99" s="167"/>
      <c r="AB99" s="641" t="s">
        <v>191</v>
      </c>
      <c r="AC99" s="642"/>
      <c r="AD99" s="97"/>
      <c r="AE99" s="97"/>
      <c r="AF99" s="89">
        <f t="shared" si="63"/>
        <v>-392.90322580645329</v>
      </c>
      <c r="AG99" s="170">
        <f t="shared" si="64"/>
        <v>0.7271505376344074</v>
      </c>
      <c r="AH99" s="632"/>
    </row>
    <row r="100" spans="1:34" s="286" customFormat="1" ht="18" customHeight="1">
      <c r="A100" s="669"/>
      <c r="B100" s="65" t="s">
        <v>252</v>
      </c>
      <c r="C100" s="98"/>
      <c r="D100" s="80" t="s">
        <v>153</v>
      </c>
      <c r="E100" s="169"/>
      <c r="F100" s="271">
        <v>47.37</v>
      </c>
      <c r="G100" s="100">
        <v>590</v>
      </c>
      <c r="H100" s="273">
        <f t="shared" si="67"/>
        <v>27948.3</v>
      </c>
      <c r="I100" s="97"/>
      <c r="J100" s="274">
        <v>17</v>
      </c>
      <c r="K100" s="100">
        <v>1636</v>
      </c>
      <c r="L100" s="87">
        <v>96.235294117647058</v>
      </c>
      <c r="M100" s="130">
        <v>17</v>
      </c>
      <c r="N100" s="100">
        <f t="shared" si="68"/>
        <v>1220.6896551724114</v>
      </c>
      <c r="O100" s="131">
        <f t="shared" si="69"/>
        <v>71.805273833671265</v>
      </c>
      <c r="P100" s="96">
        <f t="shared" si="70"/>
        <v>0</v>
      </c>
      <c r="Q100" s="132">
        <f t="shared" si="66"/>
        <v>-24.430020283975793</v>
      </c>
      <c r="R100" s="91">
        <f t="shared" si="71"/>
        <v>0.74614282101003149</v>
      </c>
      <c r="S100" s="659"/>
      <c r="T100" s="278">
        <v>0.57430555555555551</v>
      </c>
      <c r="U100" s="278">
        <v>0.59444444444444444</v>
      </c>
      <c r="V100" s="279">
        <v>7</v>
      </c>
      <c r="W100" s="135">
        <f t="shared" si="72"/>
        <v>29.000000000000057</v>
      </c>
      <c r="X100" s="287"/>
      <c r="Y100" s="287"/>
      <c r="Z100" s="284"/>
      <c r="AA100" s="284"/>
      <c r="AB100" s="641" t="s">
        <v>191</v>
      </c>
      <c r="AC100" s="642"/>
      <c r="AD100" s="97"/>
      <c r="AE100" s="97"/>
      <c r="AF100" s="285">
        <f t="shared" si="63"/>
        <v>-415.31034482758855</v>
      </c>
      <c r="AG100" s="91">
        <f t="shared" si="64"/>
        <v>0.74614282101003149</v>
      </c>
      <c r="AH100" s="632"/>
    </row>
    <row r="101" spans="1:34" s="286" customFormat="1" ht="18" customHeight="1">
      <c r="A101" s="669"/>
      <c r="B101" s="65" t="s">
        <v>252</v>
      </c>
      <c r="C101" s="98"/>
      <c r="D101" s="168" t="s">
        <v>154</v>
      </c>
      <c r="E101" s="169"/>
      <c r="F101" s="271">
        <v>77.34</v>
      </c>
      <c r="G101" s="100">
        <v>603</v>
      </c>
      <c r="H101" s="273">
        <f t="shared" si="67"/>
        <v>46636.020000000004</v>
      </c>
      <c r="I101" s="97"/>
      <c r="J101" s="274">
        <v>19</v>
      </c>
      <c r="K101" s="100">
        <v>1440</v>
      </c>
      <c r="L101" s="87">
        <v>75.78947368421052</v>
      </c>
      <c r="M101" s="130">
        <v>18</v>
      </c>
      <c r="N101" s="100">
        <f t="shared" si="68"/>
        <v>1247.5862068965494</v>
      </c>
      <c r="O101" s="131">
        <f t="shared" si="69"/>
        <v>69.310344827586079</v>
      </c>
      <c r="P101" s="275">
        <f t="shared" si="70"/>
        <v>-1</v>
      </c>
      <c r="Q101" s="276">
        <f t="shared" si="66"/>
        <v>-6.4791288566244418</v>
      </c>
      <c r="R101" s="277">
        <f t="shared" si="71"/>
        <v>0.91451149425287193</v>
      </c>
      <c r="S101" s="659"/>
      <c r="T101" s="278">
        <v>0.59861111111111109</v>
      </c>
      <c r="U101" s="134">
        <v>0.61875000000000002</v>
      </c>
      <c r="V101" s="279">
        <v>6</v>
      </c>
      <c r="W101" s="135">
        <f t="shared" si="72"/>
        <v>29.000000000000057</v>
      </c>
      <c r="X101" s="288"/>
      <c r="Y101" s="288"/>
      <c r="Z101" s="284"/>
      <c r="AA101" s="284"/>
      <c r="AB101" s="641" t="s">
        <v>191</v>
      </c>
      <c r="AC101" s="642"/>
      <c r="AD101" s="97"/>
      <c r="AE101" s="97"/>
      <c r="AF101" s="89">
        <f t="shared" si="63"/>
        <v>-192.41379310345064</v>
      </c>
      <c r="AG101" s="170">
        <f t="shared" si="64"/>
        <v>0.86637931034482596</v>
      </c>
      <c r="AH101" s="632"/>
    </row>
    <row r="102" spans="1:34" s="286" customFormat="1" ht="18" customHeight="1">
      <c r="A102" s="669"/>
      <c r="B102" s="65" t="s">
        <v>251</v>
      </c>
      <c r="C102" s="230"/>
      <c r="D102" s="231" t="s">
        <v>155</v>
      </c>
      <c r="E102" s="232"/>
      <c r="F102" s="271">
        <v>56.43</v>
      </c>
      <c r="G102" s="100">
        <v>1030</v>
      </c>
      <c r="H102" s="273">
        <f t="shared" si="67"/>
        <v>58122.9</v>
      </c>
      <c r="I102" s="65"/>
      <c r="J102" s="86">
        <v>19</v>
      </c>
      <c r="K102" s="83">
        <v>1500</v>
      </c>
      <c r="L102" s="87">
        <v>78.94736842105263</v>
      </c>
      <c r="M102" s="130">
        <v>18</v>
      </c>
      <c r="N102" s="100">
        <f t="shared" si="68"/>
        <v>1314.8936170212769</v>
      </c>
      <c r="O102" s="131">
        <f t="shared" si="69"/>
        <v>73.049645390070935</v>
      </c>
      <c r="P102" s="275">
        <f t="shared" si="70"/>
        <v>-1</v>
      </c>
      <c r="Q102" s="276">
        <f t="shared" si="66"/>
        <v>-5.8977230309816946</v>
      </c>
      <c r="R102" s="277">
        <f t="shared" si="71"/>
        <v>0.9252955082742319</v>
      </c>
      <c r="S102" s="659"/>
      <c r="T102" s="278">
        <v>0.62361111111111112</v>
      </c>
      <c r="U102" s="278">
        <v>0.65625</v>
      </c>
      <c r="V102" s="279">
        <v>7</v>
      </c>
      <c r="W102" s="135">
        <f t="shared" si="72"/>
        <v>46.999999999999993</v>
      </c>
      <c r="X102" s="288"/>
      <c r="Y102" s="288"/>
      <c r="Z102" s="284"/>
      <c r="AA102" s="284"/>
      <c r="AB102" s="637"/>
      <c r="AC102" s="637"/>
      <c r="AD102" s="97"/>
      <c r="AE102" s="97"/>
      <c r="AF102" s="285">
        <f t="shared" si="63"/>
        <v>-185.1063829787231</v>
      </c>
      <c r="AG102" s="91">
        <f t="shared" si="64"/>
        <v>0.87659574468085122</v>
      </c>
      <c r="AH102" s="632"/>
    </row>
    <row r="103" spans="1:34" s="286" customFormat="1" ht="18" customHeight="1">
      <c r="A103" s="669"/>
      <c r="B103" s="65" t="s">
        <v>251</v>
      </c>
      <c r="C103" s="289"/>
      <c r="D103" s="168" t="s">
        <v>156</v>
      </c>
      <c r="E103" s="169"/>
      <c r="F103" s="271">
        <v>50.67</v>
      </c>
      <c r="G103" s="100">
        <v>481</v>
      </c>
      <c r="H103" s="273">
        <f t="shared" si="67"/>
        <v>24372.27</v>
      </c>
      <c r="I103" s="290"/>
      <c r="J103" s="274">
        <v>17</v>
      </c>
      <c r="K103" s="100">
        <v>1440</v>
      </c>
      <c r="L103" s="87">
        <v>84.705882352941174</v>
      </c>
      <c r="M103" s="130">
        <v>17</v>
      </c>
      <c r="N103" s="100">
        <f t="shared" si="68"/>
        <v>1109.999999999997</v>
      </c>
      <c r="O103" s="131">
        <f t="shared" si="69"/>
        <v>65.294117647058656</v>
      </c>
      <c r="P103" s="275">
        <f t="shared" si="70"/>
        <v>0</v>
      </c>
      <c r="Q103" s="276">
        <f t="shared" si="66"/>
        <v>-19.411764705882518</v>
      </c>
      <c r="R103" s="277">
        <f t="shared" si="71"/>
        <v>0.77083333333333137</v>
      </c>
      <c r="S103" s="659"/>
      <c r="T103" s="278">
        <v>0.70833333333333337</v>
      </c>
      <c r="U103" s="278">
        <v>0.72638888888888897</v>
      </c>
      <c r="V103" s="279">
        <v>5</v>
      </c>
      <c r="W103" s="135">
        <f t="shared" si="72"/>
        <v>26.000000000000068</v>
      </c>
      <c r="X103" s="288"/>
      <c r="Y103" s="288"/>
      <c r="Z103" s="284"/>
      <c r="AA103" s="284"/>
      <c r="AB103" s="641" t="s">
        <v>191</v>
      </c>
      <c r="AC103" s="642"/>
      <c r="AD103" s="97"/>
      <c r="AE103" s="97"/>
      <c r="AF103" s="89">
        <f t="shared" si="63"/>
        <v>-330.00000000000296</v>
      </c>
      <c r="AG103" s="170">
        <f t="shared" si="64"/>
        <v>0.77083333333333126</v>
      </c>
      <c r="AH103" s="632"/>
    </row>
    <row r="104" spans="1:34" s="286" customFormat="1" ht="18" customHeight="1">
      <c r="A104" s="669"/>
      <c r="B104" s="65" t="s">
        <v>251</v>
      </c>
      <c r="C104" s="291"/>
      <c r="D104" s="168" t="s">
        <v>157</v>
      </c>
      <c r="E104" s="169"/>
      <c r="F104" s="271">
        <v>54.09</v>
      </c>
      <c r="G104" s="272">
        <v>2084</v>
      </c>
      <c r="H104" s="273">
        <f t="shared" si="67"/>
        <v>112723.56000000001</v>
      </c>
      <c r="I104" s="289"/>
      <c r="J104" s="86">
        <v>17</v>
      </c>
      <c r="K104" s="83">
        <v>1440</v>
      </c>
      <c r="L104" s="87">
        <v>84.705882352941174</v>
      </c>
      <c r="M104" s="130">
        <v>17</v>
      </c>
      <c r="N104" s="100">
        <f t="shared" si="68"/>
        <v>1302.5000000000005</v>
      </c>
      <c r="O104" s="131">
        <f t="shared" si="69"/>
        <v>76.61764705882355</v>
      </c>
      <c r="P104" s="275">
        <f t="shared" si="70"/>
        <v>0</v>
      </c>
      <c r="Q104" s="276">
        <f t="shared" si="66"/>
        <v>-8.0882352941176237</v>
      </c>
      <c r="R104" s="277">
        <f t="shared" si="71"/>
        <v>0.90451388888888917</v>
      </c>
      <c r="S104" s="662"/>
      <c r="T104" s="278">
        <v>0.73194444444444451</v>
      </c>
      <c r="U104" s="278">
        <v>0.79861111111111116</v>
      </c>
      <c r="V104" s="279">
        <v>8</v>
      </c>
      <c r="W104" s="135">
        <f t="shared" si="72"/>
        <v>95.999999999999972</v>
      </c>
      <c r="X104" s="288"/>
      <c r="Y104" s="288"/>
      <c r="Z104" s="284"/>
      <c r="AA104" s="284"/>
      <c r="AB104" s="637"/>
      <c r="AC104" s="637"/>
      <c r="AD104" s="97"/>
      <c r="AE104" s="97"/>
      <c r="AF104" s="285">
        <f t="shared" si="63"/>
        <v>-137.49999999999955</v>
      </c>
      <c r="AG104" s="91">
        <f t="shared" si="64"/>
        <v>0.90451388888888917</v>
      </c>
      <c r="AH104" s="632"/>
    </row>
    <row r="105" spans="1:34" s="286" customFormat="1" ht="18" customHeight="1">
      <c r="A105" s="669"/>
      <c r="B105" s="65">
        <v>0</v>
      </c>
      <c r="C105" s="291"/>
      <c r="D105" s="168"/>
      <c r="E105" s="169"/>
      <c r="F105" s="271" t="s">
        <v>253</v>
      </c>
      <c r="G105" s="272"/>
      <c r="H105" s="273">
        <f t="shared" si="67"/>
        <v>0</v>
      </c>
      <c r="I105" s="289"/>
      <c r="J105" s="274"/>
      <c r="K105" s="100"/>
      <c r="L105" s="87"/>
      <c r="M105" s="130"/>
      <c r="N105" s="100"/>
      <c r="O105" s="131"/>
      <c r="P105" s="96"/>
      <c r="Q105" s="132"/>
      <c r="R105" s="91"/>
      <c r="S105" s="662"/>
      <c r="T105" s="278"/>
      <c r="U105" s="278"/>
      <c r="V105" s="279"/>
      <c r="W105" s="135">
        <f t="shared" si="72"/>
        <v>0</v>
      </c>
      <c r="X105" s="288"/>
      <c r="Y105" s="288"/>
      <c r="Z105" s="284"/>
      <c r="AA105" s="284"/>
      <c r="AB105" s="637"/>
      <c r="AC105" s="637"/>
      <c r="AD105" s="97"/>
      <c r="AE105" s="97"/>
      <c r="AF105" s="284"/>
      <c r="AG105" s="133"/>
      <c r="AH105" s="632"/>
    </row>
    <row r="106" spans="1:34" s="286" customFormat="1" ht="18" customHeight="1">
      <c r="A106" s="669"/>
      <c r="B106" s="65">
        <v>0</v>
      </c>
      <c r="C106" s="291"/>
      <c r="D106" s="168"/>
      <c r="E106" s="169"/>
      <c r="F106" s="82" t="s">
        <v>253</v>
      </c>
      <c r="G106" s="272"/>
      <c r="H106" s="273">
        <f t="shared" si="67"/>
        <v>0</v>
      </c>
      <c r="I106" s="289"/>
      <c r="J106" s="233"/>
      <c r="K106" s="234"/>
      <c r="L106" s="122"/>
      <c r="M106" s="130"/>
      <c r="N106" s="234"/>
      <c r="O106" s="292"/>
      <c r="P106" s="96"/>
      <c r="Q106" s="132"/>
      <c r="R106" s="133"/>
      <c r="S106" s="670"/>
      <c r="T106" s="278"/>
      <c r="U106" s="278"/>
      <c r="V106" s="279"/>
      <c r="W106" s="135">
        <f t="shared" si="72"/>
        <v>0</v>
      </c>
      <c r="X106" s="288"/>
      <c r="Y106" s="288"/>
      <c r="Z106" s="284"/>
      <c r="AA106" s="284"/>
      <c r="AB106" s="637"/>
      <c r="AC106" s="637"/>
      <c r="AD106" s="97"/>
      <c r="AE106" s="97"/>
      <c r="AF106" s="284"/>
      <c r="AG106" s="133"/>
      <c r="AH106" s="632"/>
    </row>
    <row r="107" spans="1:34" s="286" customFormat="1" ht="18" customHeight="1">
      <c r="A107" s="669"/>
      <c r="B107" s="289">
        <v>0</v>
      </c>
      <c r="C107" s="291"/>
      <c r="D107" s="168"/>
      <c r="E107" s="169"/>
      <c r="F107" s="82" t="s">
        <v>253</v>
      </c>
      <c r="G107" s="272"/>
      <c r="H107" s="293">
        <f>F107*G107</f>
        <v>0</v>
      </c>
      <c r="I107" s="289"/>
      <c r="J107" s="233"/>
      <c r="K107" s="234"/>
      <c r="L107" s="122"/>
      <c r="M107" s="130"/>
      <c r="N107" s="234"/>
      <c r="O107" s="292"/>
      <c r="P107" s="96"/>
      <c r="Q107" s="132"/>
      <c r="R107" s="133"/>
      <c r="S107" s="670"/>
      <c r="T107" s="278"/>
      <c r="U107" s="278"/>
      <c r="V107" s="279"/>
      <c r="W107" s="135">
        <f t="shared" si="72"/>
        <v>0</v>
      </c>
      <c r="X107" s="288"/>
      <c r="Y107" s="288"/>
      <c r="Z107" s="284"/>
      <c r="AA107" s="284"/>
      <c r="AB107" s="637"/>
      <c r="AC107" s="637"/>
      <c r="AD107" s="97"/>
      <c r="AE107" s="97"/>
      <c r="AF107" s="284"/>
      <c r="AG107" s="133"/>
      <c r="AH107" s="632"/>
    </row>
    <row r="108" spans="1:34" ht="18" customHeight="1">
      <c r="A108" s="669"/>
      <c r="B108" s="147">
        <v>0</v>
      </c>
      <c r="C108" s="138" t="s">
        <v>20</v>
      </c>
      <c r="D108" s="630" t="s">
        <v>220</v>
      </c>
      <c r="E108" s="630"/>
      <c r="F108" s="294"/>
      <c r="G108" s="140"/>
      <c r="H108" s="141"/>
      <c r="I108" s="142"/>
      <c r="J108" s="140">
        <v>17.555555555555557</v>
      </c>
      <c r="K108" s="140">
        <v>1481.7777777777778</v>
      </c>
      <c r="L108" s="143">
        <v>84.76272789817682</v>
      </c>
      <c r="M108" s="140">
        <f t="shared" ref="M108:O108" si="73">AVERAGE(M96:M107)</f>
        <v>17.333333333333332</v>
      </c>
      <c r="N108" s="140">
        <f t="shared" si="73"/>
        <v>1235.0989740328992</v>
      </c>
      <c r="O108" s="143">
        <f t="shared" si="73"/>
        <v>71.410029223036474</v>
      </c>
      <c r="P108" s="96">
        <f t="shared" ref="P108:P113" si="74">M108-J108</f>
        <v>-0.22222222222222499</v>
      </c>
      <c r="Q108" s="132">
        <f t="shared" ref="Q108:Q113" si="75">O108-L108</f>
        <v>-13.352698675140346</v>
      </c>
      <c r="R108" s="144">
        <f t="shared" ref="R108:R113" si="76">O108/L108</f>
        <v>0.84246969149953999</v>
      </c>
      <c r="S108" s="662"/>
      <c r="T108" s="134"/>
      <c r="U108" s="134"/>
      <c r="V108" s="100"/>
      <c r="W108" s="135">
        <f t="shared" si="72"/>
        <v>0</v>
      </c>
      <c r="X108" s="131"/>
      <c r="Y108" s="131"/>
      <c r="Z108" s="145">
        <f>SUM(Z96:Z107)</f>
        <v>0</v>
      </c>
      <c r="AA108" s="145">
        <f>SUM(AA96:AA107)</f>
        <v>0</v>
      </c>
      <c r="AB108" s="629"/>
      <c r="AC108" s="629"/>
      <c r="AD108" s="146">
        <f>SUM(AD96:AD107)</f>
        <v>0</v>
      </c>
      <c r="AE108" s="146">
        <f>SUM(AE96:AE107)</f>
        <v>0</v>
      </c>
      <c r="AF108" s="96">
        <f t="shared" si="63"/>
        <v>-246.67880374487868</v>
      </c>
      <c r="AG108" s="133">
        <f t="shared" si="64"/>
        <v>0.83352510245171652</v>
      </c>
      <c r="AH108" s="632"/>
    </row>
    <row r="109" spans="1:34" ht="18" customHeight="1">
      <c r="A109" s="665" t="s">
        <v>230</v>
      </c>
      <c r="B109" s="65" t="s">
        <v>251</v>
      </c>
      <c r="C109" s="219"/>
      <c r="D109" s="231" t="s">
        <v>158</v>
      </c>
      <c r="E109" s="81"/>
      <c r="F109" s="82">
        <v>51.86</v>
      </c>
      <c r="G109" s="83">
        <v>928</v>
      </c>
      <c r="H109" s="84">
        <f t="shared" ref="H109:H118" si="77">F109*G109</f>
        <v>48126.080000000002</v>
      </c>
      <c r="I109" s="65"/>
      <c r="J109" s="86">
        <v>21</v>
      </c>
      <c r="K109" s="83">
        <v>1500</v>
      </c>
      <c r="L109" s="87">
        <v>71.428571428571431</v>
      </c>
      <c r="M109" s="88">
        <v>20</v>
      </c>
      <c r="N109" s="83">
        <f t="shared" ref="N109:N113" si="78">G109/W109*60</f>
        <v>1294.8837209302324</v>
      </c>
      <c r="O109" s="87">
        <f t="shared" ref="O109:O113" si="79">N109/M109</f>
        <v>64.744186046511615</v>
      </c>
      <c r="P109" s="89">
        <f t="shared" si="74"/>
        <v>-1</v>
      </c>
      <c r="Q109" s="90">
        <f t="shared" si="75"/>
        <v>-6.6843853820598156</v>
      </c>
      <c r="R109" s="91">
        <f t="shared" si="76"/>
        <v>0.90641860465116253</v>
      </c>
      <c r="S109" s="668">
        <f>R121</f>
        <v>0.84030820898220915</v>
      </c>
      <c r="T109" s="295">
        <v>0.5</v>
      </c>
      <c r="U109" s="295">
        <v>0.52986111111111112</v>
      </c>
      <c r="V109" s="296">
        <v>5</v>
      </c>
      <c r="W109" s="85">
        <f t="shared" si="72"/>
        <v>43.000000000000007</v>
      </c>
      <c r="X109" s="95"/>
      <c r="Y109" s="95"/>
      <c r="Z109" s="96"/>
      <c r="AA109" s="96"/>
      <c r="AB109" s="644"/>
      <c r="AC109" s="644"/>
      <c r="AD109" s="97"/>
      <c r="AE109" s="97"/>
      <c r="AF109" s="89">
        <f t="shared" si="63"/>
        <v>-205.11627906976764</v>
      </c>
      <c r="AG109" s="170">
        <f t="shared" si="64"/>
        <v>0.86325581395348827</v>
      </c>
      <c r="AH109" s="632">
        <f>AG121</f>
        <v>0.83958708594288745</v>
      </c>
    </row>
    <row r="110" spans="1:34" ht="18" customHeight="1">
      <c r="A110" s="666"/>
      <c r="B110" s="65" t="s">
        <v>252</v>
      </c>
      <c r="C110" s="230"/>
      <c r="D110" s="80" t="s">
        <v>159</v>
      </c>
      <c r="E110" s="232"/>
      <c r="F110" s="82">
        <v>53.76</v>
      </c>
      <c r="G110" s="229">
        <v>2404</v>
      </c>
      <c r="H110" s="84">
        <f t="shared" si="77"/>
        <v>129239.03999999999</v>
      </c>
      <c r="I110" s="65"/>
      <c r="J110" s="86">
        <v>16</v>
      </c>
      <c r="K110" s="83">
        <v>1440</v>
      </c>
      <c r="L110" s="87">
        <v>90</v>
      </c>
      <c r="M110" s="88">
        <v>16</v>
      </c>
      <c r="N110" s="83">
        <f t="shared" si="78"/>
        <v>1299.4594594594585</v>
      </c>
      <c r="O110" s="87">
        <f t="shared" si="79"/>
        <v>81.216216216216154</v>
      </c>
      <c r="P110" s="89">
        <f t="shared" si="74"/>
        <v>0</v>
      </c>
      <c r="Q110" s="90">
        <f t="shared" si="75"/>
        <v>-8.7837837837838464</v>
      </c>
      <c r="R110" s="91">
        <f t="shared" si="76"/>
        <v>0.90240240240240166</v>
      </c>
      <c r="S110" s="651"/>
      <c r="T110" s="295">
        <v>0.54583333333333339</v>
      </c>
      <c r="U110" s="295">
        <v>0.62291666666666679</v>
      </c>
      <c r="V110" s="296">
        <v>23</v>
      </c>
      <c r="W110" s="85">
        <f t="shared" si="72"/>
        <v>111.00000000000009</v>
      </c>
      <c r="X110" s="249">
        <v>0.53333333333333333</v>
      </c>
      <c r="Y110" s="249">
        <v>0.54305555555555551</v>
      </c>
      <c r="Z110" s="96"/>
      <c r="AA110" s="96"/>
      <c r="AB110" s="657"/>
      <c r="AC110" s="657"/>
      <c r="AD110" s="97"/>
      <c r="AE110" s="97"/>
      <c r="AF110" s="238">
        <f t="shared" si="63"/>
        <v>-140.54054054054154</v>
      </c>
      <c r="AG110" s="170">
        <f t="shared" si="64"/>
        <v>0.90240240240240166</v>
      </c>
      <c r="AH110" s="632"/>
    </row>
    <row r="111" spans="1:34" ht="18" customHeight="1">
      <c r="A111" s="666"/>
      <c r="B111" s="65" t="s">
        <v>251</v>
      </c>
      <c r="C111" s="230"/>
      <c r="D111" s="80" t="s">
        <v>150</v>
      </c>
      <c r="E111" s="232"/>
      <c r="F111" s="82">
        <v>53.27</v>
      </c>
      <c r="G111" s="100">
        <v>270.8</v>
      </c>
      <c r="H111" s="84">
        <f t="shared" si="77"/>
        <v>14425.516000000001</v>
      </c>
      <c r="I111" s="65"/>
      <c r="J111" s="86">
        <v>17</v>
      </c>
      <c r="K111" s="83">
        <v>1500</v>
      </c>
      <c r="L111" s="87">
        <v>88.235294117647058</v>
      </c>
      <c r="M111" s="155">
        <v>17</v>
      </c>
      <c r="N111" s="83">
        <f t="shared" si="78"/>
        <v>1249.8461538461584</v>
      </c>
      <c r="O111" s="87">
        <f t="shared" si="79"/>
        <v>73.520361990950491</v>
      </c>
      <c r="P111" s="89">
        <f t="shared" si="74"/>
        <v>0</v>
      </c>
      <c r="Q111" s="90">
        <f t="shared" si="75"/>
        <v>-14.714932126696567</v>
      </c>
      <c r="R111" s="91">
        <f t="shared" si="76"/>
        <v>0.83323076923077222</v>
      </c>
      <c r="S111" s="651"/>
      <c r="T111" s="295">
        <v>0.62708333333333344</v>
      </c>
      <c r="U111" s="295">
        <v>0.63611111111111118</v>
      </c>
      <c r="V111" s="296">
        <v>6</v>
      </c>
      <c r="W111" s="85">
        <f t="shared" si="72"/>
        <v>12.999999999999954</v>
      </c>
      <c r="X111" s="95"/>
      <c r="Y111" s="95"/>
      <c r="Z111" s="96"/>
      <c r="AA111" s="96"/>
      <c r="AB111" s="644"/>
      <c r="AC111" s="644"/>
      <c r="AD111" s="97"/>
      <c r="AE111" s="97"/>
      <c r="AF111" s="89">
        <f t="shared" si="63"/>
        <v>-250.15384615384164</v>
      </c>
      <c r="AG111" s="170">
        <f t="shared" si="64"/>
        <v>0.83323076923077222</v>
      </c>
      <c r="AH111" s="632"/>
    </row>
    <row r="112" spans="1:34" ht="18" customHeight="1">
      <c r="A112" s="666"/>
      <c r="B112" s="65" t="s">
        <v>251</v>
      </c>
      <c r="C112" s="230"/>
      <c r="D112" s="231" t="s">
        <v>160</v>
      </c>
      <c r="E112" s="232"/>
      <c r="F112" s="82">
        <v>58.17</v>
      </c>
      <c r="G112" s="100">
        <v>1575.2</v>
      </c>
      <c r="H112" s="84">
        <f t="shared" si="77"/>
        <v>91629.384000000005</v>
      </c>
      <c r="I112" s="97"/>
      <c r="J112" s="86">
        <v>18</v>
      </c>
      <c r="K112" s="83">
        <v>1385</v>
      </c>
      <c r="L112" s="87">
        <v>76.944444444444443</v>
      </c>
      <c r="M112" s="155">
        <v>19</v>
      </c>
      <c r="N112" s="83">
        <f t="shared" si="78"/>
        <v>1061.9325842696628</v>
      </c>
      <c r="O112" s="87">
        <f t="shared" si="79"/>
        <v>55.891188645771727</v>
      </c>
      <c r="P112" s="89">
        <f t="shared" si="74"/>
        <v>1</v>
      </c>
      <c r="Q112" s="90">
        <f t="shared" si="75"/>
        <v>-21.053255798672716</v>
      </c>
      <c r="R112" s="91">
        <f t="shared" si="76"/>
        <v>0.72638367915082391</v>
      </c>
      <c r="S112" s="651"/>
      <c r="T112" s="295">
        <v>0.70833333333333337</v>
      </c>
      <c r="U112" s="295">
        <v>0.77013888888888893</v>
      </c>
      <c r="V112" s="296">
        <v>5</v>
      </c>
      <c r="W112" s="85">
        <f t="shared" si="72"/>
        <v>89</v>
      </c>
      <c r="X112" s="95"/>
      <c r="Y112" s="95"/>
      <c r="Z112" s="96"/>
      <c r="AA112" s="96"/>
      <c r="AB112" s="644"/>
      <c r="AC112" s="644"/>
      <c r="AD112" s="97"/>
      <c r="AE112" s="97">
        <v>1</v>
      </c>
      <c r="AF112" s="89">
        <f t="shared" si="63"/>
        <v>-323.06741573033719</v>
      </c>
      <c r="AG112" s="170">
        <f t="shared" si="64"/>
        <v>0.76673832799253627</v>
      </c>
      <c r="AH112" s="632"/>
    </row>
    <row r="113" spans="1:34" s="286" customFormat="1" ht="18" customHeight="1">
      <c r="A113" s="666"/>
      <c r="B113" s="65" t="s">
        <v>251</v>
      </c>
      <c r="C113" s="230"/>
      <c r="D113" s="231" t="s">
        <v>161</v>
      </c>
      <c r="E113" s="232"/>
      <c r="F113" s="82">
        <v>57.73</v>
      </c>
      <c r="G113" s="100">
        <v>915</v>
      </c>
      <c r="H113" s="84">
        <f t="shared" si="77"/>
        <v>52822.95</v>
      </c>
      <c r="I113" s="97"/>
      <c r="J113" s="86">
        <v>18</v>
      </c>
      <c r="K113" s="83">
        <v>1440</v>
      </c>
      <c r="L113" s="87">
        <v>80</v>
      </c>
      <c r="M113" s="88">
        <v>18</v>
      </c>
      <c r="N113" s="83">
        <f t="shared" si="78"/>
        <v>1193.4782608695652</v>
      </c>
      <c r="O113" s="87">
        <f t="shared" si="79"/>
        <v>66.304347826086953</v>
      </c>
      <c r="P113" s="89">
        <f t="shared" si="74"/>
        <v>0</v>
      </c>
      <c r="Q113" s="90">
        <f t="shared" si="75"/>
        <v>-13.695652173913047</v>
      </c>
      <c r="R113" s="91">
        <f t="shared" si="76"/>
        <v>0.82880434782608692</v>
      </c>
      <c r="S113" s="651"/>
      <c r="T113" s="295">
        <v>0.78541666666666665</v>
      </c>
      <c r="U113" s="295">
        <v>0.81736111111111109</v>
      </c>
      <c r="V113" s="296">
        <v>22</v>
      </c>
      <c r="W113" s="85">
        <f t="shared" si="72"/>
        <v>46</v>
      </c>
      <c r="X113" s="283">
        <v>0.77361111111111114</v>
      </c>
      <c r="Y113" s="283">
        <v>0.78263888888888899</v>
      </c>
      <c r="Z113" s="284"/>
      <c r="AA113" s="284"/>
      <c r="AB113" s="633"/>
      <c r="AC113" s="633"/>
      <c r="AD113" s="289"/>
      <c r="AE113" s="289"/>
      <c r="AF113" s="238">
        <f t="shared" si="63"/>
        <v>-246.52173913043475</v>
      </c>
      <c r="AG113" s="170">
        <f t="shared" si="64"/>
        <v>0.82880434782608703</v>
      </c>
      <c r="AH113" s="632"/>
    </row>
    <row r="114" spans="1:34" s="286" customFormat="1" ht="18" customHeight="1">
      <c r="A114" s="666"/>
      <c r="B114" s="65">
        <v>0</v>
      </c>
      <c r="C114" s="230"/>
      <c r="D114" s="231"/>
      <c r="E114" s="232"/>
      <c r="F114" s="82" t="s">
        <v>253</v>
      </c>
      <c r="G114" s="100"/>
      <c r="H114" s="84">
        <f t="shared" si="77"/>
        <v>0</v>
      </c>
      <c r="I114" s="97"/>
      <c r="J114" s="86"/>
      <c r="K114" s="83"/>
      <c r="L114" s="87"/>
      <c r="M114" s="155"/>
      <c r="N114" s="83"/>
      <c r="O114" s="87"/>
      <c r="P114" s="89"/>
      <c r="Q114" s="90"/>
      <c r="R114" s="91"/>
      <c r="S114" s="651"/>
      <c r="T114" s="295"/>
      <c r="U114" s="295"/>
      <c r="V114" s="296"/>
      <c r="W114" s="85"/>
      <c r="X114" s="283"/>
      <c r="Y114" s="283"/>
      <c r="Z114" s="284"/>
      <c r="AA114" s="284"/>
      <c r="AB114" s="633"/>
      <c r="AC114" s="633"/>
      <c r="AD114" s="289"/>
      <c r="AE114" s="289"/>
      <c r="AF114" s="89">
        <f t="shared" si="63"/>
        <v>0</v>
      </c>
      <c r="AG114" s="170" t="e">
        <f t="shared" si="64"/>
        <v>#DIV/0!</v>
      </c>
      <c r="AH114" s="632"/>
    </row>
    <row r="115" spans="1:34" s="286" customFormat="1" ht="18" customHeight="1">
      <c r="A115" s="666"/>
      <c r="B115" s="65">
        <v>0</v>
      </c>
      <c r="C115" s="230"/>
      <c r="D115" s="231"/>
      <c r="E115" s="232"/>
      <c r="F115" s="82" t="s">
        <v>253</v>
      </c>
      <c r="G115" s="229"/>
      <c r="H115" s="84">
        <f t="shared" si="77"/>
        <v>0</v>
      </c>
      <c r="I115" s="97"/>
      <c r="J115" s="86"/>
      <c r="K115" s="83"/>
      <c r="L115" s="87"/>
      <c r="M115" s="88"/>
      <c r="N115" s="83"/>
      <c r="O115" s="87"/>
      <c r="P115" s="89"/>
      <c r="Q115" s="90"/>
      <c r="R115" s="91"/>
      <c r="S115" s="651"/>
      <c r="T115" s="295"/>
      <c r="U115" s="295"/>
      <c r="V115" s="296"/>
      <c r="W115" s="85">
        <f t="shared" si="72"/>
        <v>0</v>
      </c>
      <c r="X115" s="283"/>
      <c r="Y115" s="283"/>
      <c r="Z115" s="284"/>
      <c r="AA115" s="284"/>
      <c r="AB115" s="633"/>
      <c r="AC115" s="633"/>
      <c r="AD115" s="289"/>
      <c r="AE115" s="289"/>
      <c r="AF115" s="89">
        <f t="shared" si="63"/>
        <v>0</v>
      </c>
      <c r="AG115" s="170" t="e">
        <f t="shared" si="64"/>
        <v>#DIV/0!</v>
      </c>
      <c r="AH115" s="632"/>
    </row>
    <row r="116" spans="1:34" s="286" customFormat="1" ht="18" customHeight="1">
      <c r="A116" s="666"/>
      <c r="B116" s="65">
        <v>0</v>
      </c>
      <c r="C116" s="98"/>
      <c r="D116" s="168"/>
      <c r="E116" s="169"/>
      <c r="F116" s="82"/>
      <c r="G116" s="100"/>
      <c r="H116" s="84">
        <f t="shared" si="77"/>
        <v>0</v>
      </c>
      <c r="I116" s="97"/>
      <c r="J116" s="86"/>
      <c r="K116" s="83"/>
      <c r="L116" s="87"/>
      <c r="M116" s="137"/>
      <c r="N116" s="83"/>
      <c r="O116" s="87"/>
      <c r="P116" s="89"/>
      <c r="Q116" s="90"/>
      <c r="R116" s="91"/>
      <c r="S116" s="651"/>
      <c r="T116" s="295"/>
      <c r="U116" s="295"/>
      <c r="V116" s="296"/>
      <c r="W116" s="85">
        <f t="shared" si="72"/>
        <v>0</v>
      </c>
      <c r="X116" s="283"/>
      <c r="Y116" s="283"/>
      <c r="Z116" s="284"/>
      <c r="AA116" s="284"/>
      <c r="AB116" s="633"/>
      <c r="AC116" s="633"/>
      <c r="AD116" s="289"/>
      <c r="AE116" s="289"/>
      <c r="AF116" s="238">
        <f t="shared" si="63"/>
        <v>0</v>
      </c>
      <c r="AG116" s="170" t="e">
        <f t="shared" si="64"/>
        <v>#DIV/0!</v>
      </c>
      <c r="AH116" s="632"/>
    </row>
    <row r="117" spans="1:34" s="286" customFormat="1" ht="18" customHeight="1">
      <c r="A117" s="666"/>
      <c r="B117" s="65">
        <v>0</v>
      </c>
      <c r="C117" s="98"/>
      <c r="D117" s="231"/>
      <c r="E117" s="169"/>
      <c r="F117" s="82" t="s">
        <v>253</v>
      </c>
      <c r="G117" s="100"/>
      <c r="H117" s="84">
        <f t="shared" si="77"/>
        <v>0</v>
      </c>
      <c r="I117" s="97"/>
      <c r="J117" s="86"/>
      <c r="K117" s="83"/>
      <c r="L117" s="131"/>
      <c r="M117" s="137"/>
      <c r="N117" s="100"/>
      <c r="O117" s="131"/>
      <c r="P117" s="96"/>
      <c r="Q117" s="132"/>
      <c r="R117" s="133"/>
      <c r="S117" s="651"/>
      <c r="T117" s="295"/>
      <c r="U117" s="295"/>
      <c r="V117" s="296"/>
      <c r="W117" s="85">
        <f t="shared" si="72"/>
        <v>0</v>
      </c>
      <c r="X117" s="283"/>
      <c r="Y117" s="283"/>
      <c r="Z117" s="284"/>
      <c r="AA117" s="284"/>
      <c r="AB117" s="633"/>
      <c r="AC117" s="633"/>
      <c r="AD117" s="289"/>
      <c r="AE117" s="289"/>
      <c r="AF117" s="89">
        <f t="shared" si="63"/>
        <v>0</v>
      </c>
      <c r="AG117" s="170" t="e">
        <f t="shared" si="64"/>
        <v>#DIV/0!</v>
      </c>
      <c r="AH117" s="632"/>
    </row>
    <row r="118" spans="1:34" s="286" customFormat="1" ht="18" customHeight="1">
      <c r="A118" s="666"/>
      <c r="B118" s="65">
        <v>0</v>
      </c>
      <c r="C118" s="216"/>
      <c r="D118" s="231"/>
      <c r="E118" s="81"/>
      <c r="F118" s="183" t="s">
        <v>253</v>
      </c>
      <c r="G118" s="83"/>
      <c r="H118" s="84">
        <f t="shared" si="77"/>
        <v>0</v>
      </c>
      <c r="I118" s="97"/>
      <c r="J118" s="86"/>
      <c r="K118" s="83"/>
      <c r="L118" s="87"/>
      <c r="M118" s="137"/>
      <c r="N118" s="83"/>
      <c r="O118" s="87"/>
      <c r="P118" s="89"/>
      <c r="Q118" s="90"/>
      <c r="R118" s="91"/>
      <c r="S118" s="651"/>
      <c r="T118" s="295"/>
      <c r="U118" s="295"/>
      <c r="V118" s="296"/>
      <c r="W118" s="85">
        <f t="shared" si="72"/>
        <v>0</v>
      </c>
      <c r="X118" s="283"/>
      <c r="Y118" s="283"/>
      <c r="Z118" s="284"/>
      <c r="AA118" s="284"/>
      <c r="AB118" s="633"/>
      <c r="AC118" s="633"/>
      <c r="AD118" s="289"/>
      <c r="AE118" s="289"/>
      <c r="AF118" s="285"/>
      <c r="AG118" s="170"/>
      <c r="AH118" s="632"/>
    </row>
    <row r="119" spans="1:34" s="286" customFormat="1" ht="18" customHeight="1">
      <c r="A119" s="666"/>
      <c r="B119" s="289">
        <v>0</v>
      </c>
      <c r="C119" s="291"/>
      <c r="D119" s="168"/>
      <c r="E119" s="169"/>
      <c r="F119" s="183" t="s">
        <v>253</v>
      </c>
      <c r="G119" s="297"/>
      <c r="H119" s="298">
        <f>F119*G119</f>
        <v>0</v>
      </c>
      <c r="I119" s="97"/>
      <c r="J119" s="233"/>
      <c r="K119" s="299"/>
      <c r="L119" s="87"/>
      <c r="M119" s="137"/>
      <c r="N119" s="234"/>
      <c r="O119" s="292"/>
      <c r="P119" s="218"/>
      <c r="Q119" s="90"/>
      <c r="R119" s="91"/>
      <c r="S119" s="651"/>
      <c r="T119" s="295"/>
      <c r="U119" s="295"/>
      <c r="V119" s="296"/>
      <c r="W119" s="85">
        <f t="shared" si="72"/>
        <v>0</v>
      </c>
      <c r="X119" s="283"/>
      <c r="Y119" s="283"/>
      <c r="Z119" s="284"/>
      <c r="AA119" s="284"/>
      <c r="AB119" s="633"/>
      <c r="AC119" s="633"/>
      <c r="AD119" s="289"/>
      <c r="AE119" s="289"/>
      <c r="AF119" s="285"/>
      <c r="AG119" s="170"/>
      <c r="AH119" s="632"/>
    </row>
    <row r="120" spans="1:34" s="286" customFormat="1" ht="18" customHeight="1">
      <c r="A120" s="666"/>
      <c r="B120" s="289">
        <v>0</v>
      </c>
      <c r="C120" s="291"/>
      <c r="D120" s="168"/>
      <c r="E120" s="169"/>
      <c r="F120" s="183" t="s">
        <v>253</v>
      </c>
      <c r="G120" s="297"/>
      <c r="H120" s="298">
        <f>F120*G120</f>
        <v>0</v>
      </c>
      <c r="I120" s="97"/>
      <c r="J120" s="233"/>
      <c r="K120" s="299"/>
      <c r="L120" s="87"/>
      <c r="M120" s="137"/>
      <c r="N120" s="234"/>
      <c r="O120" s="292"/>
      <c r="P120" s="218"/>
      <c r="Q120" s="90"/>
      <c r="R120" s="91"/>
      <c r="S120" s="651"/>
      <c r="T120" s="295"/>
      <c r="U120" s="295"/>
      <c r="V120" s="296"/>
      <c r="W120" s="85">
        <f t="shared" si="72"/>
        <v>0</v>
      </c>
      <c r="X120" s="283"/>
      <c r="Y120" s="283"/>
      <c r="Z120" s="284"/>
      <c r="AA120" s="284"/>
      <c r="AB120" s="633"/>
      <c r="AC120" s="633"/>
      <c r="AD120" s="289"/>
      <c r="AE120" s="289"/>
      <c r="AF120" s="285"/>
      <c r="AG120" s="170"/>
      <c r="AH120" s="632"/>
    </row>
    <row r="121" spans="1:34" ht="18" customHeight="1">
      <c r="A121" s="667"/>
      <c r="B121" s="126">
        <v>0</v>
      </c>
      <c r="C121" s="138" t="s">
        <v>21</v>
      </c>
      <c r="D121" s="300" t="s">
        <v>220</v>
      </c>
      <c r="E121" s="301"/>
      <c r="F121" s="223"/>
      <c r="G121" s="302"/>
      <c r="H121" s="303"/>
      <c r="I121" s="304"/>
      <c r="J121" s="264">
        <v>18</v>
      </c>
      <c r="K121" s="264">
        <v>1453</v>
      </c>
      <c r="L121" s="265">
        <v>81.321661998132598</v>
      </c>
      <c r="M121" s="264">
        <f t="shared" ref="M121:O121" si="80">AVERAGE(M109:M120)</f>
        <v>18</v>
      </c>
      <c r="N121" s="264">
        <f t="shared" si="80"/>
        <v>1219.9200358750154</v>
      </c>
      <c r="O121" s="265">
        <f t="shared" si="80"/>
        <v>68.335260145107384</v>
      </c>
      <c r="P121" s="89">
        <f t="shared" ref="P121:P128" si="81">M121-J121</f>
        <v>0</v>
      </c>
      <c r="Q121" s="90">
        <f t="shared" ref="Q121:Q128" si="82">O121-L121</f>
        <v>-12.986401853025214</v>
      </c>
      <c r="R121" s="227">
        <f t="shared" ref="R121:R128" si="83">O121/L121</f>
        <v>0.84030820898220915</v>
      </c>
      <c r="S121" s="661"/>
      <c r="T121" s="92"/>
      <c r="U121" s="92"/>
      <c r="V121" s="83"/>
      <c r="W121" s="85">
        <f t="shared" si="72"/>
        <v>0</v>
      </c>
      <c r="X121" s="87"/>
      <c r="Y121" s="87"/>
      <c r="Z121" s="145">
        <f>SUM(Z109:Z120)</f>
        <v>0</v>
      </c>
      <c r="AA121" s="145">
        <f>SUM(AA109:AA120)</f>
        <v>0</v>
      </c>
      <c r="AB121" s="663"/>
      <c r="AC121" s="664"/>
      <c r="AD121" s="146">
        <f>SUM(AD109:AD120)</f>
        <v>0</v>
      </c>
      <c r="AE121" s="146">
        <f>SUM(AE109:AE120)</f>
        <v>1</v>
      </c>
      <c r="AF121" s="89">
        <f>N121-K121</f>
        <v>-233.0799641249846</v>
      </c>
      <c r="AG121" s="170">
        <f>N121/K121</f>
        <v>0.83958708594288745</v>
      </c>
      <c r="AH121" s="632"/>
    </row>
    <row r="122" spans="1:34" ht="18" customHeight="1">
      <c r="A122" s="658" t="s">
        <v>231</v>
      </c>
      <c r="B122" s="175" t="s">
        <v>252</v>
      </c>
      <c r="C122" s="216"/>
      <c r="D122" s="231" t="s">
        <v>163</v>
      </c>
      <c r="E122" s="81"/>
      <c r="F122" s="82">
        <v>59.52</v>
      </c>
      <c r="G122" s="83">
        <v>1715</v>
      </c>
      <c r="H122" s="84">
        <f t="shared" ref="H122:H132" si="84">F122*G122</f>
        <v>102076.8</v>
      </c>
      <c r="I122" s="65"/>
      <c r="J122" s="86">
        <v>19</v>
      </c>
      <c r="K122" s="83">
        <v>1385</v>
      </c>
      <c r="L122" s="87">
        <v>72.89473684210526</v>
      </c>
      <c r="M122" s="88">
        <v>19</v>
      </c>
      <c r="N122" s="229">
        <f t="shared" ref="N122:N128" si="85">G122/W122*60</f>
        <v>1254.8780487804875</v>
      </c>
      <c r="O122" s="305">
        <f t="shared" ref="O122:O128" si="86">N122/M122</f>
        <v>66.046213093709866</v>
      </c>
      <c r="P122" s="238">
        <f t="shared" si="81"/>
        <v>0</v>
      </c>
      <c r="Q122" s="239">
        <f t="shared" si="82"/>
        <v>-6.8485237483953938</v>
      </c>
      <c r="R122" s="240">
        <f t="shared" si="83"/>
        <v>0.90604913269349274</v>
      </c>
      <c r="S122" s="659">
        <f>R134</f>
        <v>0.83310487353719032</v>
      </c>
      <c r="T122" s="92">
        <v>0.5</v>
      </c>
      <c r="U122" s="92">
        <v>0.55694444444444446</v>
      </c>
      <c r="V122" s="296">
        <v>5</v>
      </c>
      <c r="W122" s="85">
        <f t="shared" si="72"/>
        <v>82.000000000000028</v>
      </c>
      <c r="X122" s="95"/>
      <c r="Y122" s="95"/>
      <c r="Z122" s="96"/>
      <c r="AA122" s="96"/>
      <c r="AB122" s="644"/>
      <c r="AC122" s="644"/>
      <c r="AD122" s="97"/>
      <c r="AE122" s="97"/>
      <c r="AF122" s="89">
        <f t="shared" si="63"/>
        <v>-130.12195121951254</v>
      </c>
      <c r="AG122" s="91">
        <f t="shared" si="64"/>
        <v>0.90604913269349274</v>
      </c>
      <c r="AH122" s="661">
        <f>AG134</f>
        <v>0.82179002759954833</v>
      </c>
    </row>
    <row r="123" spans="1:34" ht="18" customHeight="1">
      <c r="A123" s="658"/>
      <c r="B123" s="175" t="s">
        <v>252</v>
      </c>
      <c r="C123" s="176"/>
      <c r="D123" s="80" t="s">
        <v>164</v>
      </c>
      <c r="E123" s="232"/>
      <c r="F123" s="82">
        <v>58.67</v>
      </c>
      <c r="G123" s="83">
        <v>1236</v>
      </c>
      <c r="H123" s="84">
        <f t="shared" si="84"/>
        <v>72516.12</v>
      </c>
      <c r="I123" s="97"/>
      <c r="J123" s="130">
        <v>19</v>
      </c>
      <c r="K123" s="100">
        <v>1440</v>
      </c>
      <c r="L123" s="131">
        <v>75.78947368421052</v>
      </c>
      <c r="M123" s="137">
        <v>19</v>
      </c>
      <c r="N123" s="100">
        <f t="shared" si="85"/>
        <v>1278.6206896551735</v>
      </c>
      <c r="O123" s="131">
        <f t="shared" si="86"/>
        <v>67.295825771324914</v>
      </c>
      <c r="P123" s="96">
        <f t="shared" si="81"/>
        <v>0</v>
      </c>
      <c r="Q123" s="132">
        <f t="shared" si="82"/>
        <v>-8.4936479128856064</v>
      </c>
      <c r="R123" s="133">
        <f t="shared" si="83"/>
        <v>0.88793103448275934</v>
      </c>
      <c r="S123" s="659"/>
      <c r="T123" s="92">
        <v>0.57152777777777775</v>
      </c>
      <c r="U123" s="92">
        <v>0.61180555555555549</v>
      </c>
      <c r="V123" s="296">
        <v>21</v>
      </c>
      <c r="W123" s="85">
        <f>(U123-T123)*24*60</f>
        <v>57.999999999999957</v>
      </c>
      <c r="X123" s="95">
        <v>0.56041666666666667</v>
      </c>
      <c r="Y123" s="95">
        <v>0.56874999999999998</v>
      </c>
      <c r="Z123" s="96"/>
      <c r="AA123" s="96"/>
      <c r="AB123" s="644"/>
      <c r="AC123" s="644"/>
      <c r="AD123" s="97"/>
      <c r="AE123" s="97"/>
      <c r="AF123" s="89">
        <f t="shared" si="63"/>
        <v>-161.37931034482654</v>
      </c>
      <c r="AG123" s="91">
        <f t="shared" si="64"/>
        <v>0.88793103448275934</v>
      </c>
      <c r="AH123" s="659"/>
    </row>
    <row r="124" spans="1:34" ht="18" customHeight="1">
      <c r="A124" s="658"/>
      <c r="B124" s="175" t="s">
        <v>251</v>
      </c>
      <c r="C124" s="230"/>
      <c r="D124" s="231" t="s">
        <v>165</v>
      </c>
      <c r="E124" s="232"/>
      <c r="F124" s="82">
        <v>56.79</v>
      </c>
      <c r="G124" s="229">
        <v>1185</v>
      </c>
      <c r="H124" s="84">
        <f t="shared" si="84"/>
        <v>67296.149999999994</v>
      </c>
      <c r="I124" s="306"/>
      <c r="J124" s="130">
        <v>18</v>
      </c>
      <c r="K124" s="100">
        <v>1636</v>
      </c>
      <c r="L124" s="131">
        <v>90.888888888888886</v>
      </c>
      <c r="M124" s="88">
        <v>18</v>
      </c>
      <c r="N124" s="229">
        <f t="shared" si="85"/>
        <v>1292.7272727272737</v>
      </c>
      <c r="O124" s="305">
        <f t="shared" si="86"/>
        <v>71.81818181818187</v>
      </c>
      <c r="P124" s="238">
        <f t="shared" si="81"/>
        <v>0</v>
      </c>
      <c r="Q124" s="239">
        <f t="shared" si="82"/>
        <v>-19.070707070707016</v>
      </c>
      <c r="R124" s="240">
        <f t="shared" si="83"/>
        <v>0.79017559457657316</v>
      </c>
      <c r="S124" s="660"/>
      <c r="T124" s="92">
        <v>0.70833333333333337</v>
      </c>
      <c r="U124" s="92">
        <v>0.74652777777777779</v>
      </c>
      <c r="V124" s="296">
        <v>5</v>
      </c>
      <c r="W124" s="307">
        <f>(U124-T124)*24*60</f>
        <v>54.999999999999964</v>
      </c>
      <c r="X124" s="249"/>
      <c r="Y124" s="249"/>
      <c r="Z124" s="96"/>
      <c r="AA124" s="96"/>
      <c r="AB124" s="657"/>
      <c r="AC124" s="657"/>
      <c r="AD124" s="97"/>
      <c r="AE124" s="97"/>
      <c r="AF124" s="238">
        <f t="shared" si="63"/>
        <v>-343.27272727272634</v>
      </c>
      <c r="AG124" s="240">
        <f t="shared" si="64"/>
        <v>0.79017559457657316</v>
      </c>
      <c r="AH124" s="659"/>
    </row>
    <row r="125" spans="1:34" ht="18" customHeight="1">
      <c r="A125" s="658"/>
      <c r="B125" s="175" t="s">
        <v>251</v>
      </c>
      <c r="C125" s="176"/>
      <c r="D125" s="80" t="s">
        <v>166</v>
      </c>
      <c r="E125" s="81"/>
      <c r="F125" s="82">
        <v>56.87</v>
      </c>
      <c r="G125" s="83">
        <v>842</v>
      </c>
      <c r="H125" s="84">
        <f t="shared" si="84"/>
        <v>47884.54</v>
      </c>
      <c r="I125" s="65"/>
      <c r="J125" s="130">
        <v>18</v>
      </c>
      <c r="K125" s="100">
        <v>1636</v>
      </c>
      <c r="L125" s="131">
        <v>90.888888888888886</v>
      </c>
      <c r="M125" s="88">
        <v>18</v>
      </c>
      <c r="N125" s="100">
        <f t="shared" si="85"/>
        <v>1295.3846153846146</v>
      </c>
      <c r="O125" s="131">
        <f t="shared" si="86"/>
        <v>71.965811965811923</v>
      </c>
      <c r="P125" s="96">
        <f t="shared" si="81"/>
        <v>0</v>
      </c>
      <c r="Q125" s="132">
        <f t="shared" si="82"/>
        <v>-18.923076923076962</v>
      </c>
      <c r="R125" s="133">
        <f t="shared" si="83"/>
        <v>0.79179988715440996</v>
      </c>
      <c r="S125" s="660"/>
      <c r="T125" s="92">
        <v>0.75069444444444444</v>
      </c>
      <c r="U125" s="92">
        <v>0.77777777777777779</v>
      </c>
      <c r="V125" s="296">
        <v>6</v>
      </c>
      <c r="W125" s="307">
        <f t="shared" ref="W125:W133" si="87">(U125-T125)*24*60</f>
        <v>39.000000000000021</v>
      </c>
      <c r="X125" s="108"/>
      <c r="Y125" s="108"/>
      <c r="Z125" s="96"/>
      <c r="AA125" s="96"/>
      <c r="AB125" s="657"/>
      <c r="AC125" s="657"/>
      <c r="AD125" s="97"/>
      <c r="AE125" s="97"/>
      <c r="AF125" s="89">
        <f t="shared" si="63"/>
        <v>-340.61538461538544</v>
      </c>
      <c r="AG125" s="91">
        <f t="shared" si="64"/>
        <v>0.79179988715440985</v>
      </c>
      <c r="AH125" s="662"/>
    </row>
    <row r="126" spans="1:34" ht="18" customHeight="1">
      <c r="A126" s="658"/>
      <c r="B126" s="175" t="s">
        <v>251</v>
      </c>
      <c r="C126" s="97"/>
      <c r="D126" s="80" t="s">
        <v>167</v>
      </c>
      <c r="E126" s="232"/>
      <c r="F126" s="82">
        <v>47.6</v>
      </c>
      <c r="G126" s="100">
        <v>1190</v>
      </c>
      <c r="H126" s="84">
        <f t="shared" si="84"/>
        <v>56644</v>
      </c>
      <c r="I126" s="97"/>
      <c r="J126" s="130">
        <v>18</v>
      </c>
      <c r="K126" s="100">
        <v>1440</v>
      </c>
      <c r="L126" s="131">
        <v>80</v>
      </c>
      <c r="M126" s="137">
        <v>17</v>
      </c>
      <c r="N126" s="100">
        <f t="shared" si="85"/>
        <v>1298.1818181818192</v>
      </c>
      <c r="O126" s="131">
        <f t="shared" si="86"/>
        <v>76.363636363636417</v>
      </c>
      <c r="P126" s="96">
        <f t="shared" si="81"/>
        <v>-1</v>
      </c>
      <c r="Q126" s="132">
        <f t="shared" si="82"/>
        <v>-3.6363636363635834</v>
      </c>
      <c r="R126" s="133">
        <f t="shared" si="83"/>
        <v>0.95454545454545525</v>
      </c>
      <c r="S126" s="660"/>
      <c r="T126" s="92">
        <v>0.78333333333333333</v>
      </c>
      <c r="U126" s="92">
        <v>0.82152777777777775</v>
      </c>
      <c r="V126" s="296">
        <v>8</v>
      </c>
      <c r="W126" s="307">
        <f t="shared" si="87"/>
        <v>54.999999999999964</v>
      </c>
      <c r="X126" s="108"/>
      <c r="Y126" s="108"/>
      <c r="Z126" s="96"/>
      <c r="AA126" s="96"/>
      <c r="AB126" s="657"/>
      <c r="AC126" s="657"/>
      <c r="AD126" s="97"/>
      <c r="AE126" s="97"/>
      <c r="AF126" s="238">
        <f t="shared" si="63"/>
        <v>-141.81818181818085</v>
      </c>
      <c r="AG126" s="240">
        <f t="shared" si="64"/>
        <v>0.90151515151515216</v>
      </c>
      <c r="AH126" s="662"/>
    </row>
    <row r="127" spans="1:34" ht="18" customHeight="1">
      <c r="A127" s="658"/>
      <c r="B127" s="175" t="s">
        <v>251</v>
      </c>
      <c r="C127" s="291"/>
      <c r="D127" s="168" t="s">
        <v>168</v>
      </c>
      <c r="E127" s="169"/>
      <c r="F127" s="82">
        <v>44.3</v>
      </c>
      <c r="G127" s="272">
        <v>444</v>
      </c>
      <c r="H127" s="84">
        <f t="shared" si="84"/>
        <v>19669.199999999997</v>
      </c>
      <c r="I127" s="289"/>
      <c r="J127" s="130">
        <v>17</v>
      </c>
      <c r="K127" s="100">
        <v>1636</v>
      </c>
      <c r="L127" s="131">
        <v>96.235294117647058</v>
      </c>
      <c r="M127" s="88">
        <v>17</v>
      </c>
      <c r="N127" s="100">
        <f t="shared" si="85"/>
        <v>1109.9999999999966</v>
      </c>
      <c r="O127" s="131">
        <f t="shared" si="86"/>
        <v>65.294117647058627</v>
      </c>
      <c r="P127" s="96">
        <f t="shared" si="81"/>
        <v>0</v>
      </c>
      <c r="Q127" s="132">
        <f t="shared" si="82"/>
        <v>-30.941176470588431</v>
      </c>
      <c r="R127" s="133">
        <f t="shared" si="83"/>
        <v>0.67848410757946009</v>
      </c>
      <c r="S127" s="660"/>
      <c r="T127" s="92">
        <v>0.82499999999999996</v>
      </c>
      <c r="U127" s="92">
        <v>0.84166666666666667</v>
      </c>
      <c r="V127" s="65">
        <v>5</v>
      </c>
      <c r="W127" s="307">
        <f t="shared" si="87"/>
        <v>24.000000000000075</v>
      </c>
      <c r="X127" s="108"/>
      <c r="Y127" s="108"/>
      <c r="Z127" s="96"/>
      <c r="AA127" s="96"/>
      <c r="AB127" s="657"/>
      <c r="AC127" s="657"/>
      <c r="AD127" s="97"/>
      <c r="AE127" s="97"/>
      <c r="AF127" s="238">
        <f t="shared" si="63"/>
        <v>-526.00000000000341</v>
      </c>
      <c r="AG127" s="240">
        <f t="shared" si="64"/>
        <v>0.67848410757945998</v>
      </c>
      <c r="AH127" s="662"/>
    </row>
    <row r="128" spans="1:34" ht="18" customHeight="1">
      <c r="A128" s="658"/>
      <c r="B128" s="175" t="s">
        <v>251</v>
      </c>
      <c r="C128" s="209"/>
      <c r="D128" s="102" t="s">
        <v>169</v>
      </c>
      <c r="E128" s="169"/>
      <c r="F128" s="82">
        <v>57.3</v>
      </c>
      <c r="G128" s="100">
        <v>860</v>
      </c>
      <c r="H128" s="84">
        <f t="shared" si="84"/>
        <v>49278</v>
      </c>
      <c r="I128" s="97"/>
      <c r="J128" s="130">
        <v>18</v>
      </c>
      <c r="K128" s="100">
        <v>1385</v>
      </c>
      <c r="L128" s="131">
        <v>76.944444444444443</v>
      </c>
      <c r="M128" s="130">
        <v>17</v>
      </c>
      <c r="N128" s="100">
        <f t="shared" si="85"/>
        <v>1146.6666666666667</v>
      </c>
      <c r="O128" s="131">
        <f t="shared" si="86"/>
        <v>67.450980392156865</v>
      </c>
      <c r="P128" s="96">
        <f t="shared" si="81"/>
        <v>-1</v>
      </c>
      <c r="Q128" s="132">
        <f t="shared" si="82"/>
        <v>-9.4934640522875782</v>
      </c>
      <c r="R128" s="133">
        <f t="shared" si="83"/>
        <v>0.87661923975366329</v>
      </c>
      <c r="S128" s="660"/>
      <c r="T128" s="92">
        <v>0.84722222222222221</v>
      </c>
      <c r="U128" s="92">
        <v>0.87847222222222221</v>
      </c>
      <c r="V128" s="65">
        <v>8</v>
      </c>
      <c r="W128" s="307">
        <f t="shared" si="87"/>
        <v>45</v>
      </c>
      <c r="X128" s="108"/>
      <c r="Y128" s="108"/>
      <c r="Z128" s="96"/>
      <c r="AA128" s="96"/>
      <c r="AB128" s="657"/>
      <c r="AC128" s="657"/>
      <c r="AD128" s="97"/>
      <c r="AE128" s="97"/>
      <c r="AF128" s="238">
        <f t="shared" si="63"/>
        <v>-238.33333333333326</v>
      </c>
      <c r="AG128" s="240">
        <f t="shared" si="64"/>
        <v>0.82791817087845976</v>
      </c>
      <c r="AH128" s="662"/>
    </row>
    <row r="129" spans="1:34" ht="18" customHeight="1">
      <c r="A129" s="658"/>
      <c r="B129" s="175">
        <v>0</v>
      </c>
      <c r="C129" s="209"/>
      <c r="D129" s="102"/>
      <c r="E129" s="103"/>
      <c r="F129" s="82" t="s">
        <v>253</v>
      </c>
      <c r="G129" s="100"/>
      <c r="H129" s="84">
        <f t="shared" si="84"/>
        <v>0</v>
      </c>
      <c r="I129" s="97"/>
      <c r="J129" s="130"/>
      <c r="K129" s="100"/>
      <c r="L129" s="131"/>
      <c r="M129" s="137"/>
      <c r="N129" s="100"/>
      <c r="O129" s="131"/>
      <c r="P129" s="96"/>
      <c r="Q129" s="132"/>
      <c r="R129" s="133"/>
      <c r="S129" s="660"/>
      <c r="T129" s="92"/>
      <c r="U129" s="92"/>
      <c r="V129" s="65"/>
      <c r="W129" s="307"/>
      <c r="X129" s="108"/>
      <c r="Y129" s="108"/>
      <c r="Z129" s="96"/>
      <c r="AA129" s="96"/>
      <c r="AB129" s="657"/>
      <c r="AC129" s="657"/>
      <c r="AD129" s="97"/>
      <c r="AE129" s="97"/>
      <c r="AF129" s="238"/>
      <c r="AG129" s="240"/>
      <c r="AH129" s="662"/>
    </row>
    <row r="130" spans="1:34" ht="18" customHeight="1">
      <c r="A130" s="658"/>
      <c r="B130" s="262">
        <v>0</v>
      </c>
      <c r="C130" s="209"/>
      <c r="D130" s="102"/>
      <c r="E130" s="103"/>
      <c r="F130" s="82" t="s">
        <v>253</v>
      </c>
      <c r="G130" s="100"/>
      <c r="H130" s="84">
        <f t="shared" si="84"/>
        <v>0</v>
      </c>
      <c r="I130" s="97"/>
      <c r="J130" s="86"/>
      <c r="K130" s="100"/>
      <c r="L130" s="131"/>
      <c r="M130" s="137"/>
      <c r="N130" s="83"/>
      <c r="O130" s="87"/>
      <c r="P130" s="89"/>
      <c r="Q130" s="90"/>
      <c r="R130" s="91"/>
      <c r="S130" s="660"/>
      <c r="T130" s="92"/>
      <c r="U130" s="92"/>
      <c r="V130" s="65"/>
      <c r="W130" s="307">
        <f t="shared" si="87"/>
        <v>0</v>
      </c>
      <c r="X130" s="108"/>
      <c r="Y130" s="108"/>
      <c r="Z130" s="96"/>
      <c r="AA130" s="96"/>
      <c r="AB130" s="657"/>
      <c r="AC130" s="657"/>
      <c r="AD130" s="97"/>
      <c r="AE130" s="97"/>
      <c r="AF130" s="118"/>
      <c r="AG130" s="125"/>
      <c r="AH130" s="662"/>
    </row>
    <row r="131" spans="1:34" ht="18" customHeight="1">
      <c r="A131" s="658"/>
      <c r="B131" s="262">
        <v>0</v>
      </c>
      <c r="C131" s="209"/>
      <c r="D131" s="102"/>
      <c r="E131" s="169"/>
      <c r="F131" s="82" t="s">
        <v>253</v>
      </c>
      <c r="G131" s="272"/>
      <c r="H131" s="84">
        <f t="shared" si="84"/>
        <v>0</v>
      </c>
      <c r="I131" s="289"/>
      <c r="J131" s="86"/>
      <c r="K131" s="83"/>
      <c r="L131" s="87"/>
      <c r="M131" s="130"/>
      <c r="N131" s="83"/>
      <c r="O131" s="87"/>
      <c r="P131" s="89"/>
      <c r="Q131" s="90"/>
      <c r="R131" s="91"/>
      <c r="S131" s="660"/>
      <c r="T131" s="92"/>
      <c r="U131" s="92"/>
      <c r="V131" s="65"/>
      <c r="W131" s="307">
        <f t="shared" si="87"/>
        <v>0</v>
      </c>
      <c r="X131" s="108"/>
      <c r="Y131" s="108"/>
      <c r="Z131" s="96"/>
      <c r="AA131" s="96"/>
      <c r="AB131" s="657"/>
      <c r="AC131" s="657"/>
      <c r="AD131" s="97"/>
      <c r="AE131" s="97"/>
      <c r="AF131" s="118"/>
      <c r="AG131" s="125"/>
      <c r="AH131" s="662"/>
    </row>
    <row r="132" spans="1:34" ht="18" customHeight="1">
      <c r="A132" s="658"/>
      <c r="B132" s="262">
        <v>0</v>
      </c>
      <c r="C132" s="209"/>
      <c r="D132" s="102"/>
      <c r="E132" s="103"/>
      <c r="F132" s="82" t="s">
        <v>253</v>
      </c>
      <c r="G132" s="100"/>
      <c r="H132" s="84">
        <f t="shared" si="84"/>
        <v>0</v>
      </c>
      <c r="I132" s="97"/>
      <c r="J132" s="130"/>
      <c r="K132" s="100"/>
      <c r="L132" s="131"/>
      <c r="M132" s="137"/>
      <c r="N132" s="100"/>
      <c r="O132" s="131"/>
      <c r="P132" s="96"/>
      <c r="Q132" s="132"/>
      <c r="R132" s="133"/>
      <c r="S132" s="660"/>
      <c r="T132" s="92"/>
      <c r="U132" s="92"/>
      <c r="V132" s="65"/>
      <c r="W132" s="307">
        <f t="shared" si="87"/>
        <v>0</v>
      </c>
      <c r="X132" s="108"/>
      <c r="Y132" s="108"/>
      <c r="Z132" s="96"/>
      <c r="AA132" s="96"/>
      <c r="AB132" s="657"/>
      <c r="AC132" s="657"/>
      <c r="AD132" s="97"/>
      <c r="AE132" s="97"/>
      <c r="AF132" s="118"/>
      <c r="AG132" s="125"/>
      <c r="AH132" s="662"/>
    </row>
    <row r="133" spans="1:34" ht="18" customHeight="1">
      <c r="A133" s="658"/>
      <c r="B133" s="262">
        <v>0</v>
      </c>
      <c r="C133" s="209"/>
      <c r="D133" s="102"/>
      <c r="E133" s="103"/>
      <c r="F133" s="308" t="s">
        <v>253</v>
      </c>
      <c r="G133" s="100"/>
      <c r="H133" s="309">
        <f>F133*G133</f>
        <v>0</v>
      </c>
      <c r="I133" s="97"/>
      <c r="J133" s="130"/>
      <c r="K133" s="100"/>
      <c r="L133" s="131"/>
      <c r="M133" s="137"/>
      <c r="N133" s="100"/>
      <c r="O133" s="131"/>
      <c r="P133" s="96"/>
      <c r="Q133" s="132"/>
      <c r="R133" s="133"/>
      <c r="S133" s="660"/>
      <c r="T133" s="92"/>
      <c r="U133" s="92"/>
      <c r="V133" s="65"/>
      <c r="W133" s="307">
        <f t="shared" si="87"/>
        <v>0</v>
      </c>
      <c r="X133" s="108"/>
      <c r="Y133" s="108"/>
      <c r="Z133" s="96"/>
      <c r="AA133" s="96"/>
      <c r="AB133" s="657"/>
      <c r="AC133" s="657"/>
      <c r="AD133" s="97"/>
      <c r="AE133" s="97"/>
      <c r="AF133" s="118"/>
      <c r="AG133" s="125"/>
      <c r="AH133" s="662"/>
    </row>
    <row r="134" spans="1:34" ht="18" customHeight="1">
      <c r="A134" s="658"/>
      <c r="B134" s="222">
        <v>0</v>
      </c>
      <c r="C134" s="138" t="s">
        <v>22</v>
      </c>
      <c r="D134" s="630" t="s">
        <v>220</v>
      </c>
      <c r="E134" s="630"/>
      <c r="F134" s="243"/>
      <c r="G134" s="140"/>
      <c r="H134" s="141"/>
      <c r="I134" s="310"/>
      <c r="J134" s="311">
        <v>18.142857142857142</v>
      </c>
      <c r="K134" s="311">
        <v>1508.2857142857142</v>
      </c>
      <c r="L134" s="312">
        <v>83.377389552312152</v>
      </c>
      <c r="M134" s="311">
        <f t="shared" ref="M134:O134" si="88">AVERAGE(M122:M133)</f>
        <v>17.857142857142858</v>
      </c>
      <c r="N134" s="311">
        <f t="shared" si="88"/>
        <v>1239.4941587708615</v>
      </c>
      <c r="O134" s="312">
        <f t="shared" si="88"/>
        <v>69.462109578840071</v>
      </c>
      <c r="P134" s="93">
        <f t="shared" ref="P134:P142" si="89">M134-J134</f>
        <v>-0.2857142857142847</v>
      </c>
      <c r="Q134" s="189">
        <f t="shared" ref="Q134:Q142" si="90">O134-L134</f>
        <v>-13.915279973472082</v>
      </c>
      <c r="R134" s="313">
        <f t="shared" ref="R134:R142" si="91">O134/L134</f>
        <v>0.83310487353719032</v>
      </c>
      <c r="S134" s="659"/>
      <c r="T134" s="92"/>
      <c r="U134" s="92"/>
      <c r="V134" s="65"/>
      <c r="W134" s="65"/>
      <c r="X134" s="95"/>
      <c r="Y134" s="95"/>
      <c r="Z134" s="145">
        <f>SUM(Z122:Z133)</f>
        <v>0</v>
      </c>
      <c r="AA134" s="145">
        <f>SUM(AA122:AA133)</f>
        <v>0</v>
      </c>
      <c r="AB134" s="644"/>
      <c r="AC134" s="644"/>
      <c r="AD134" s="146">
        <f>SUM(AD122:AD133)</f>
        <v>0</v>
      </c>
      <c r="AE134" s="146">
        <f>SUM(AE122:AE133)</f>
        <v>0</v>
      </c>
      <c r="AF134" s="89">
        <f t="shared" si="63"/>
        <v>-268.79155551485269</v>
      </c>
      <c r="AG134" s="91">
        <f t="shared" si="64"/>
        <v>0.82179002759954833</v>
      </c>
      <c r="AH134" s="662"/>
    </row>
    <row r="135" spans="1:34" ht="18" customHeight="1">
      <c r="A135" s="647" t="s">
        <v>232</v>
      </c>
      <c r="B135" s="65" t="s">
        <v>251</v>
      </c>
      <c r="C135" s="97"/>
      <c r="D135" s="168" t="s">
        <v>170</v>
      </c>
      <c r="E135" s="169"/>
      <c r="F135" s="82">
        <v>49.91</v>
      </c>
      <c r="G135" s="100">
        <v>442</v>
      </c>
      <c r="H135" s="314">
        <f t="shared" ref="H135:H146" si="92">F135*G135</f>
        <v>22060.219999999998</v>
      </c>
      <c r="I135" s="97"/>
      <c r="J135" s="86">
        <v>16</v>
      </c>
      <c r="K135" s="100">
        <v>1500</v>
      </c>
      <c r="L135" s="131">
        <v>93.75</v>
      </c>
      <c r="M135" s="155">
        <v>16</v>
      </c>
      <c r="N135" s="100">
        <f t="shared" ref="N135:N142" si="93">G135/W135*60</f>
        <v>1104.9999999999966</v>
      </c>
      <c r="O135" s="157">
        <f t="shared" ref="O135:O142" si="94">N135/M135</f>
        <v>69.062499999999787</v>
      </c>
      <c r="P135" s="96">
        <f t="shared" si="89"/>
        <v>0</v>
      </c>
      <c r="Q135" s="132">
        <f t="shared" si="90"/>
        <v>-24.687500000000213</v>
      </c>
      <c r="R135" s="133">
        <f t="shared" si="91"/>
        <v>0.73666666666666436</v>
      </c>
      <c r="S135" s="651">
        <f>R147</f>
        <v>0.83221548190859918</v>
      </c>
      <c r="T135" s="315">
        <v>0.5</v>
      </c>
      <c r="U135" s="92">
        <v>0.51666666666666672</v>
      </c>
      <c r="V135" s="192">
        <v>5</v>
      </c>
      <c r="W135" s="316">
        <f t="shared" ref="W135:W147" si="95">(U135-T135)*24*60</f>
        <v>24.000000000000075</v>
      </c>
      <c r="X135" s="213"/>
      <c r="Y135" s="213"/>
      <c r="Z135" s="96"/>
      <c r="AA135" s="96"/>
      <c r="AB135" s="654"/>
      <c r="AC135" s="654"/>
      <c r="AD135" s="97"/>
      <c r="AE135" s="97"/>
      <c r="AF135" s="158">
        <f t="shared" si="63"/>
        <v>-395.00000000000341</v>
      </c>
      <c r="AG135" s="163">
        <f t="shared" si="64"/>
        <v>0.73666666666666436</v>
      </c>
      <c r="AH135" s="632">
        <f>AG147</f>
        <v>0.84383174740317546</v>
      </c>
    </row>
    <row r="136" spans="1:34" ht="20.399999999999999" customHeight="1">
      <c r="A136" s="648"/>
      <c r="B136" s="65" t="s">
        <v>251</v>
      </c>
      <c r="C136" s="97"/>
      <c r="D136" s="168" t="s">
        <v>171</v>
      </c>
      <c r="E136" s="317"/>
      <c r="F136" s="82">
        <v>57.734999999999999</v>
      </c>
      <c r="G136" s="100">
        <v>1782</v>
      </c>
      <c r="H136" s="129">
        <f t="shared" si="92"/>
        <v>102883.77</v>
      </c>
      <c r="I136" s="97"/>
      <c r="J136" s="86">
        <v>16</v>
      </c>
      <c r="K136" s="100">
        <v>1565</v>
      </c>
      <c r="L136" s="131">
        <v>97.8125</v>
      </c>
      <c r="M136" s="137">
        <v>15</v>
      </c>
      <c r="N136" s="100">
        <f t="shared" si="93"/>
        <v>1388.571428571428</v>
      </c>
      <c r="O136" s="131">
        <f t="shared" si="94"/>
        <v>92.571428571428527</v>
      </c>
      <c r="P136" s="96">
        <f t="shared" si="89"/>
        <v>-1</v>
      </c>
      <c r="Q136" s="132">
        <f t="shared" si="90"/>
        <v>-5.2410714285714732</v>
      </c>
      <c r="R136" s="133">
        <f t="shared" si="91"/>
        <v>0.94641716111364627</v>
      </c>
      <c r="S136" s="651"/>
      <c r="T136" s="315">
        <v>0.52083333333333337</v>
      </c>
      <c r="U136" s="92">
        <v>0.57430555555555562</v>
      </c>
      <c r="V136" s="192">
        <v>6</v>
      </c>
      <c r="W136" s="85">
        <f t="shared" si="95"/>
        <v>77.000000000000043</v>
      </c>
      <c r="X136" s="95"/>
      <c r="Y136" s="95"/>
      <c r="Z136" s="96"/>
      <c r="AA136" s="96"/>
      <c r="AB136" s="644"/>
      <c r="AC136" s="644"/>
      <c r="AD136" s="97"/>
      <c r="AE136" s="97"/>
      <c r="AF136" s="89">
        <f t="shared" si="63"/>
        <v>-176.42857142857201</v>
      </c>
      <c r="AG136" s="170">
        <f t="shared" si="64"/>
        <v>0.88726608854404343</v>
      </c>
      <c r="AH136" s="632"/>
    </row>
    <row r="137" spans="1:34" ht="18" customHeight="1">
      <c r="A137" s="648"/>
      <c r="B137" s="65" t="s">
        <v>251</v>
      </c>
      <c r="C137" s="97"/>
      <c r="D137" s="168" t="s">
        <v>172</v>
      </c>
      <c r="E137" s="169"/>
      <c r="F137" s="82">
        <v>50.67</v>
      </c>
      <c r="G137" s="272">
        <v>799</v>
      </c>
      <c r="H137" s="129">
        <f t="shared" si="92"/>
        <v>40485.33</v>
      </c>
      <c r="I137" s="289"/>
      <c r="J137" s="86">
        <v>17</v>
      </c>
      <c r="K137" s="83">
        <v>1500</v>
      </c>
      <c r="L137" s="87">
        <v>88.235294117647058</v>
      </c>
      <c r="M137" s="130">
        <v>18</v>
      </c>
      <c r="N137" s="100">
        <f t="shared" si="93"/>
        <v>1295.6756756756747</v>
      </c>
      <c r="O137" s="131">
        <f t="shared" si="94"/>
        <v>71.981981981981932</v>
      </c>
      <c r="P137" s="96">
        <f t="shared" si="89"/>
        <v>1</v>
      </c>
      <c r="Q137" s="132">
        <f t="shared" si="90"/>
        <v>-16.253312135665126</v>
      </c>
      <c r="R137" s="133">
        <f t="shared" si="91"/>
        <v>0.8157957957957952</v>
      </c>
      <c r="S137" s="651"/>
      <c r="T137" s="92">
        <v>0.70833333333333337</v>
      </c>
      <c r="U137" s="92">
        <v>0.73402777777777783</v>
      </c>
      <c r="V137" s="318">
        <v>5</v>
      </c>
      <c r="W137" s="85">
        <f t="shared" si="95"/>
        <v>37.000000000000028</v>
      </c>
      <c r="X137" s="95"/>
      <c r="Y137" s="95"/>
      <c r="Z137" s="96"/>
      <c r="AA137" s="96"/>
      <c r="AB137" s="644"/>
      <c r="AC137" s="644"/>
      <c r="AD137" s="97"/>
      <c r="AE137" s="97"/>
      <c r="AF137" s="89">
        <f t="shared" si="63"/>
        <v>-204.32432432432529</v>
      </c>
      <c r="AG137" s="170">
        <f t="shared" si="64"/>
        <v>0.86378378378378318</v>
      </c>
      <c r="AH137" s="632"/>
    </row>
    <row r="138" spans="1:34" ht="18" customHeight="1">
      <c r="A138" s="648"/>
      <c r="B138" s="65" t="s">
        <v>251</v>
      </c>
      <c r="C138" s="291"/>
      <c r="D138" s="168" t="s">
        <v>173</v>
      </c>
      <c r="E138" s="169"/>
      <c r="F138" s="82">
        <v>54.09</v>
      </c>
      <c r="G138" s="100">
        <v>963</v>
      </c>
      <c r="H138" s="129">
        <f t="shared" si="92"/>
        <v>52088.670000000006</v>
      </c>
      <c r="I138" s="97"/>
      <c r="J138" s="130">
        <v>18</v>
      </c>
      <c r="K138" s="100">
        <v>1500</v>
      </c>
      <c r="L138" s="131">
        <v>83.333333333333329</v>
      </c>
      <c r="M138" s="155">
        <v>18</v>
      </c>
      <c r="N138" s="100">
        <f t="shared" si="93"/>
        <v>1313.1818181818182</v>
      </c>
      <c r="O138" s="131">
        <f t="shared" si="94"/>
        <v>72.954545454545453</v>
      </c>
      <c r="P138" s="96">
        <f t="shared" si="89"/>
        <v>0</v>
      </c>
      <c r="Q138" s="132">
        <f t="shared" si="90"/>
        <v>-10.378787878787875</v>
      </c>
      <c r="R138" s="242">
        <f t="shared" si="91"/>
        <v>0.87545454545454549</v>
      </c>
      <c r="S138" s="651"/>
      <c r="T138" s="92">
        <v>0.73888888888888893</v>
      </c>
      <c r="U138" s="92">
        <v>0.76944444444444449</v>
      </c>
      <c r="V138" s="318">
        <v>7</v>
      </c>
      <c r="W138" s="85">
        <f t="shared" si="95"/>
        <v>44</v>
      </c>
      <c r="X138" s="95"/>
      <c r="Y138" s="95"/>
      <c r="Z138" s="96"/>
      <c r="AA138" s="96"/>
      <c r="AB138" s="644"/>
      <c r="AC138" s="644"/>
      <c r="AD138" s="97"/>
      <c r="AE138" s="97"/>
      <c r="AF138" s="89">
        <f t="shared" si="63"/>
        <v>-186.81818181818176</v>
      </c>
      <c r="AG138" s="170">
        <f t="shared" si="64"/>
        <v>0.87545454545454549</v>
      </c>
      <c r="AH138" s="632"/>
    </row>
    <row r="139" spans="1:34" ht="18" customHeight="1">
      <c r="A139" s="648"/>
      <c r="B139" s="65" t="s">
        <v>251</v>
      </c>
      <c r="C139" s="219"/>
      <c r="D139" s="80" t="s">
        <v>174</v>
      </c>
      <c r="E139" s="81"/>
      <c r="F139" s="82">
        <v>50.67</v>
      </c>
      <c r="G139" s="100">
        <v>1015</v>
      </c>
      <c r="H139" s="129">
        <f t="shared" si="92"/>
        <v>51430.05</v>
      </c>
      <c r="I139" s="97"/>
      <c r="J139" s="86">
        <v>18</v>
      </c>
      <c r="K139" s="83">
        <v>1440</v>
      </c>
      <c r="L139" s="87">
        <v>80</v>
      </c>
      <c r="M139" s="155">
        <v>18</v>
      </c>
      <c r="N139" s="100">
        <f t="shared" si="93"/>
        <v>1268.7500000000005</v>
      </c>
      <c r="O139" s="131">
        <f t="shared" si="94"/>
        <v>70.486111111111143</v>
      </c>
      <c r="P139" s="96">
        <f t="shared" si="89"/>
        <v>0</v>
      </c>
      <c r="Q139" s="132">
        <f t="shared" si="90"/>
        <v>-9.5138888888888573</v>
      </c>
      <c r="R139" s="133">
        <f t="shared" si="91"/>
        <v>0.88107638888888928</v>
      </c>
      <c r="S139" s="651"/>
      <c r="T139" s="92">
        <v>0.77500000000000002</v>
      </c>
      <c r="U139" s="92">
        <v>0.80833333333333335</v>
      </c>
      <c r="V139" s="319">
        <v>8</v>
      </c>
      <c r="W139" s="85">
        <f t="shared" si="95"/>
        <v>47.999999999999986</v>
      </c>
      <c r="X139" s="95"/>
      <c r="Y139" s="95"/>
      <c r="Z139" s="96"/>
      <c r="AA139" s="96"/>
      <c r="AB139" s="654"/>
      <c r="AC139" s="654"/>
      <c r="AD139" s="97"/>
      <c r="AE139" s="97"/>
      <c r="AF139" s="89">
        <f t="shared" si="63"/>
        <v>-171.24999999999955</v>
      </c>
      <c r="AG139" s="170">
        <f t="shared" si="64"/>
        <v>0.88107638888888917</v>
      </c>
      <c r="AH139" s="632"/>
    </row>
    <row r="140" spans="1:34" ht="18" customHeight="1">
      <c r="A140" s="649"/>
      <c r="B140" s="65" t="s">
        <v>251</v>
      </c>
      <c r="C140" s="219"/>
      <c r="D140" s="320" t="s">
        <v>175</v>
      </c>
      <c r="E140" s="169"/>
      <c r="F140" s="82">
        <v>57.3</v>
      </c>
      <c r="G140" s="100">
        <v>1695</v>
      </c>
      <c r="H140" s="129">
        <f t="shared" si="92"/>
        <v>97123.5</v>
      </c>
      <c r="I140" s="97"/>
      <c r="J140" s="130">
        <v>15</v>
      </c>
      <c r="K140" s="100">
        <v>1500</v>
      </c>
      <c r="L140" s="131">
        <v>100</v>
      </c>
      <c r="M140" s="155">
        <v>16</v>
      </c>
      <c r="N140" s="100">
        <f t="shared" si="93"/>
        <v>1320.7792207792199</v>
      </c>
      <c r="O140" s="131">
        <f t="shared" si="94"/>
        <v>82.548701298701246</v>
      </c>
      <c r="P140" s="96">
        <f t="shared" si="89"/>
        <v>1</v>
      </c>
      <c r="Q140" s="132">
        <f t="shared" si="90"/>
        <v>-17.451298701298754</v>
      </c>
      <c r="R140" s="242">
        <f t="shared" si="91"/>
        <v>0.82548701298701244</v>
      </c>
      <c r="S140" s="652"/>
      <c r="T140" s="107">
        <v>0.82361111111111107</v>
      </c>
      <c r="U140" s="321">
        <v>0.87708333333333333</v>
      </c>
      <c r="V140" s="322">
        <v>22</v>
      </c>
      <c r="W140" s="85">
        <f t="shared" si="95"/>
        <v>77.000000000000043</v>
      </c>
      <c r="X140" s="95">
        <v>0.81180555555555556</v>
      </c>
      <c r="Y140" s="95">
        <v>0.8208333333333333</v>
      </c>
      <c r="Z140" s="96"/>
      <c r="AA140" s="96"/>
      <c r="AB140" s="645"/>
      <c r="AC140" s="646"/>
      <c r="AD140" s="97"/>
      <c r="AE140" s="97"/>
      <c r="AF140" s="89">
        <f t="shared" si="63"/>
        <v>-179.22077922078006</v>
      </c>
      <c r="AG140" s="170">
        <f t="shared" si="64"/>
        <v>0.88051948051947992</v>
      </c>
      <c r="AH140" s="632"/>
    </row>
    <row r="141" spans="1:34" ht="18" customHeight="1">
      <c r="A141" s="649"/>
      <c r="B141" s="65" t="s">
        <v>251</v>
      </c>
      <c r="C141" s="219"/>
      <c r="D141" s="80" t="s">
        <v>176</v>
      </c>
      <c r="E141" s="323"/>
      <c r="F141" s="82">
        <v>50.49</v>
      </c>
      <c r="G141" s="100">
        <v>1219</v>
      </c>
      <c r="H141" s="129">
        <f t="shared" si="92"/>
        <v>61547.310000000005</v>
      </c>
      <c r="I141" s="97"/>
      <c r="J141" s="86">
        <v>15</v>
      </c>
      <c r="K141" s="83">
        <v>1440</v>
      </c>
      <c r="L141" s="87">
        <v>96</v>
      </c>
      <c r="M141" s="155">
        <v>16</v>
      </c>
      <c r="N141" s="100">
        <f t="shared" si="93"/>
        <v>1306.0714285714296</v>
      </c>
      <c r="O141" s="131">
        <f t="shared" si="94"/>
        <v>81.629464285714349</v>
      </c>
      <c r="P141" s="96">
        <f t="shared" si="89"/>
        <v>1</v>
      </c>
      <c r="Q141" s="132">
        <f t="shared" si="90"/>
        <v>-14.370535714285651</v>
      </c>
      <c r="R141" s="133">
        <f t="shared" si="91"/>
        <v>0.85030691964285776</v>
      </c>
      <c r="S141" s="652"/>
      <c r="T141" s="107">
        <v>0.88124999999999998</v>
      </c>
      <c r="U141" s="321">
        <v>0.92013888888888884</v>
      </c>
      <c r="V141" s="98">
        <v>6</v>
      </c>
      <c r="W141" s="85">
        <f t="shared" si="95"/>
        <v>55.999999999999957</v>
      </c>
      <c r="X141" s="95"/>
      <c r="Y141" s="95"/>
      <c r="Z141" s="96"/>
      <c r="AA141" s="96"/>
      <c r="AB141" s="655"/>
      <c r="AC141" s="656"/>
      <c r="AD141" s="97"/>
      <c r="AE141" s="97"/>
      <c r="AF141" s="89">
        <f t="shared" si="63"/>
        <v>-133.92857142857042</v>
      </c>
      <c r="AG141" s="170">
        <f t="shared" si="64"/>
        <v>0.90699404761904834</v>
      </c>
      <c r="AH141" s="632"/>
    </row>
    <row r="142" spans="1:34" ht="18" customHeight="1">
      <c r="A142" s="649"/>
      <c r="B142" s="65" t="s">
        <v>251</v>
      </c>
      <c r="C142" s="219"/>
      <c r="D142" s="80" t="s">
        <v>160</v>
      </c>
      <c r="E142" s="323"/>
      <c r="F142" s="82">
        <v>58.17</v>
      </c>
      <c r="G142" s="100">
        <v>393.8</v>
      </c>
      <c r="H142" s="129">
        <f t="shared" si="92"/>
        <v>22907.346000000001</v>
      </c>
      <c r="I142" s="97">
        <v>2</v>
      </c>
      <c r="J142" s="130">
        <v>18</v>
      </c>
      <c r="K142" s="100">
        <v>1385</v>
      </c>
      <c r="L142" s="131">
        <v>76.944444444444443</v>
      </c>
      <c r="M142" s="155">
        <v>18</v>
      </c>
      <c r="N142" s="100">
        <f t="shared" si="93"/>
        <v>984.49999999999693</v>
      </c>
      <c r="O142" s="131">
        <f t="shared" si="94"/>
        <v>54.694444444444272</v>
      </c>
      <c r="P142" s="96">
        <f t="shared" si="89"/>
        <v>0</v>
      </c>
      <c r="Q142" s="132">
        <f t="shared" si="90"/>
        <v>-22.250000000000171</v>
      </c>
      <c r="R142" s="242">
        <f t="shared" si="91"/>
        <v>0.71083032490974507</v>
      </c>
      <c r="S142" s="652"/>
      <c r="T142" s="107">
        <v>0.92499999999999993</v>
      </c>
      <c r="U142" s="321">
        <v>0.94166666666666665</v>
      </c>
      <c r="V142" s="98">
        <v>7</v>
      </c>
      <c r="W142" s="85">
        <f t="shared" si="95"/>
        <v>24.000000000000075</v>
      </c>
      <c r="X142" s="95"/>
      <c r="Y142" s="95"/>
      <c r="Z142" s="96"/>
      <c r="AA142" s="96"/>
      <c r="AB142" s="645"/>
      <c r="AC142" s="646"/>
      <c r="AD142" s="97"/>
      <c r="AE142" s="97"/>
      <c r="AF142" s="89">
        <f t="shared" si="63"/>
        <v>-400.50000000000307</v>
      </c>
      <c r="AG142" s="170">
        <f t="shared" si="64"/>
        <v>0.71083032490974507</v>
      </c>
      <c r="AH142" s="632"/>
    </row>
    <row r="143" spans="1:34" ht="18" customHeight="1">
      <c r="A143" s="649"/>
      <c r="B143" s="65"/>
      <c r="C143" s="324"/>
      <c r="D143" s="168"/>
      <c r="E143" s="169"/>
      <c r="F143" s="82"/>
      <c r="G143" s="100"/>
      <c r="H143" s="129"/>
      <c r="I143" s="97"/>
      <c r="J143" s="130"/>
      <c r="K143" s="100"/>
      <c r="L143" s="131"/>
      <c r="M143" s="155"/>
      <c r="N143" s="100"/>
      <c r="O143" s="131"/>
      <c r="P143" s="96"/>
      <c r="Q143" s="132"/>
      <c r="R143" s="242"/>
      <c r="S143" s="652"/>
      <c r="T143" s="107"/>
      <c r="U143" s="321"/>
      <c r="V143" s="98"/>
      <c r="W143" s="85"/>
      <c r="X143" s="95"/>
      <c r="Y143" s="95"/>
      <c r="Z143" s="96"/>
      <c r="AA143" s="96"/>
      <c r="AB143" s="645"/>
      <c r="AC143" s="646"/>
      <c r="AD143" s="97"/>
      <c r="AE143" s="97"/>
      <c r="AF143" s="89">
        <f t="shared" si="63"/>
        <v>0</v>
      </c>
      <c r="AG143" s="170" t="e">
        <f t="shared" si="64"/>
        <v>#DIV/0!</v>
      </c>
      <c r="AH143" s="632"/>
    </row>
    <row r="144" spans="1:34" ht="18" customHeight="1">
      <c r="A144" s="649"/>
      <c r="B144" s="65">
        <v>0</v>
      </c>
      <c r="C144" s="219"/>
      <c r="D144" s="80"/>
      <c r="E144" s="323"/>
      <c r="F144" s="82" t="s">
        <v>253</v>
      </c>
      <c r="G144" s="100"/>
      <c r="H144" s="129">
        <f t="shared" si="92"/>
        <v>0</v>
      </c>
      <c r="I144" s="97"/>
      <c r="J144" s="130"/>
      <c r="K144" s="100"/>
      <c r="L144" s="131"/>
      <c r="M144" s="137"/>
      <c r="N144" s="100"/>
      <c r="O144" s="131"/>
      <c r="P144" s="96"/>
      <c r="Q144" s="132"/>
      <c r="R144" s="133"/>
      <c r="S144" s="652"/>
      <c r="T144" s="107"/>
      <c r="U144" s="321"/>
      <c r="V144" s="98"/>
      <c r="W144" s="85"/>
      <c r="X144" s="95"/>
      <c r="Y144" s="95"/>
      <c r="Z144" s="96"/>
      <c r="AA144" s="96"/>
      <c r="AB144" s="645"/>
      <c r="AC144" s="646"/>
      <c r="AD144" s="97"/>
      <c r="AE144" s="97"/>
      <c r="AF144" s="89">
        <f t="shared" si="63"/>
        <v>0</v>
      </c>
      <c r="AG144" s="170" t="e">
        <f t="shared" si="64"/>
        <v>#DIV/0!</v>
      </c>
      <c r="AH144" s="632"/>
    </row>
    <row r="145" spans="1:34" ht="18" customHeight="1">
      <c r="A145" s="649"/>
      <c r="B145" s="65">
        <v>0</v>
      </c>
      <c r="C145" s="219"/>
      <c r="D145" s="80"/>
      <c r="E145" s="323"/>
      <c r="F145" s="82" t="s">
        <v>253</v>
      </c>
      <c r="G145" s="100"/>
      <c r="H145" s="129">
        <f t="shared" si="92"/>
        <v>0</v>
      </c>
      <c r="I145" s="97"/>
      <c r="J145" s="130"/>
      <c r="K145" s="100"/>
      <c r="L145" s="131"/>
      <c r="M145" s="137"/>
      <c r="N145" s="100"/>
      <c r="O145" s="131"/>
      <c r="P145" s="96"/>
      <c r="Q145" s="132"/>
      <c r="R145" s="133"/>
      <c r="S145" s="652"/>
      <c r="T145" s="107"/>
      <c r="U145" s="321"/>
      <c r="V145" s="98"/>
      <c r="W145" s="85">
        <f t="shared" si="95"/>
        <v>0</v>
      </c>
      <c r="X145" s="95"/>
      <c r="Y145" s="95"/>
      <c r="Z145" s="96"/>
      <c r="AA145" s="96"/>
      <c r="AB145" s="645"/>
      <c r="AC145" s="646"/>
      <c r="AD145" s="97"/>
      <c r="AE145" s="97"/>
      <c r="AF145" s="89">
        <f t="shared" si="63"/>
        <v>0</v>
      </c>
      <c r="AG145" s="170" t="e">
        <f t="shared" si="64"/>
        <v>#DIV/0!</v>
      </c>
      <c r="AH145" s="632"/>
    </row>
    <row r="146" spans="1:34" ht="18" customHeight="1">
      <c r="A146" s="649"/>
      <c r="B146" s="213">
        <v>0</v>
      </c>
      <c r="C146" s="324"/>
      <c r="D146" s="325"/>
      <c r="E146" s="323"/>
      <c r="F146" s="180" t="s">
        <v>253</v>
      </c>
      <c r="G146" s="100"/>
      <c r="H146" s="129">
        <f t="shared" si="92"/>
        <v>0</v>
      </c>
      <c r="I146" s="97"/>
      <c r="J146" s="130"/>
      <c r="K146" s="100"/>
      <c r="L146" s="131"/>
      <c r="M146" s="137"/>
      <c r="N146" s="100"/>
      <c r="O146" s="131"/>
      <c r="P146" s="96"/>
      <c r="Q146" s="132"/>
      <c r="R146" s="133"/>
      <c r="S146" s="652"/>
      <c r="T146" s="107"/>
      <c r="U146" s="321"/>
      <c r="V146" s="98"/>
      <c r="W146" s="85">
        <f t="shared" si="95"/>
        <v>0</v>
      </c>
      <c r="X146" s="95"/>
      <c r="Y146" s="95"/>
      <c r="Z146" s="96"/>
      <c r="AA146" s="96"/>
      <c r="AB146" s="645"/>
      <c r="AC146" s="646"/>
      <c r="AD146" s="97"/>
      <c r="AE146" s="97"/>
      <c r="AF146" s="96"/>
      <c r="AG146" s="133"/>
      <c r="AH146" s="632"/>
    </row>
    <row r="147" spans="1:34" ht="18" customHeight="1">
      <c r="A147" s="650"/>
      <c r="B147" s="326">
        <v>0</v>
      </c>
      <c r="C147" s="138" t="s">
        <v>23</v>
      </c>
      <c r="D147" s="630" t="s">
        <v>220</v>
      </c>
      <c r="E147" s="630"/>
      <c r="F147" s="327"/>
      <c r="G147" s="140"/>
      <c r="H147" s="141"/>
      <c r="I147" s="142"/>
      <c r="J147" s="140">
        <v>16.625</v>
      </c>
      <c r="K147" s="140">
        <v>1478.75</v>
      </c>
      <c r="L147" s="143">
        <v>89.509446486928098</v>
      </c>
      <c r="M147" s="311">
        <f t="shared" ref="M147:O147" si="96">AVERAGE(M135:M146)</f>
        <v>16.875</v>
      </c>
      <c r="N147" s="311">
        <f t="shared" si="96"/>
        <v>1247.8161964724457</v>
      </c>
      <c r="O147" s="312">
        <f t="shared" si="96"/>
        <v>74.491147143490835</v>
      </c>
      <c r="P147" s="93">
        <f t="shared" ref="P147:P150" si="97">M147-J147</f>
        <v>0.25</v>
      </c>
      <c r="Q147" s="189">
        <f t="shared" ref="Q147:Q150" si="98">O147-L147</f>
        <v>-15.018299343437263</v>
      </c>
      <c r="R147" s="328">
        <f t="shared" ref="R147:R150" si="99">O147/L147</f>
        <v>0.83221548190859918</v>
      </c>
      <c r="S147" s="653"/>
      <c r="T147" s="107"/>
      <c r="U147" s="107"/>
      <c r="V147" s="98"/>
      <c r="W147" s="85">
        <f t="shared" si="95"/>
        <v>0</v>
      </c>
      <c r="X147" s="95"/>
      <c r="Y147" s="95"/>
      <c r="Z147" s="145">
        <f>SUM(Z135:Z146)</f>
        <v>0</v>
      </c>
      <c r="AA147" s="145">
        <f>SUM(AA135:AA146)</f>
        <v>0</v>
      </c>
      <c r="AB147" s="637"/>
      <c r="AC147" s="637"/>
      <c r="AD147" s="146">
        <f>SUM(AD135:AD146)</f>
        <v>0</v>
      </c>
      <c r="AE147" s="146">
        <f>SUM(AE135:AE146)</f>
        <v>0</v>
      </c>
      <c r="AF147" s="266">
        <f t="shared" si="63"/>
        <v>-230.93380352755435</v>
      </c>
      <c r="AG147" s="329">
        <f t="shared" si="64"/>
        <v>0.84383174740317546</v>
      </c>
      <c r="AH147" s="632"/>
    </row>
    <row r="148" spans="1:34" ht="18" customHeight="1">
      <c r="A148" s="638" t="s">
        <v>233</v>
      </c>
      <c r="B148" s="97" t="s">
        <v>251</v>
      </c>
      <c r="C148" s="126"/>
      <c r="D148" s="228" t="s">
        <v>178</v>
      </c>
      <c r="E148" s="81"/>
      <c r="F148" s="183">
        <v>50.92</v>
      </c>
      <c r="G148" s="100">
        <v>1963</v>
      </c>
      <c r="H148" s="129">
        <f t="shared" ref="H148:H172" si="100">F148*G148</f>
        <v>99955.96</v>
      </c>
      <c r="I148" s="330"/>
      <c r="J148" s="130">
        <v>17</v>
      </c>
      <c r="K148" s="100">
        <v>1440</v>
      </c>
      <c r="L148" s="131">
        <v>84.705882352941174</v>
      </c>
      <c r="M148" s="155">
        <v>16</v>
      </c>
      <c r="N148" s="83">
        <f>G148/W148*60</f>
        <v>1338.409090909091</v>
      </c>
      <c r="O148" s="87">
        <f>N148/M148</f>
        <v>83.650568181818187</v>
      </c>
      <c r="P148" s="89">
        <f t="shared" si="97"/>
        <v>-1</v>
      </c>
      <c r="Q148" s="90">
        <f t="shared" si="98"/>
        <v>-1.055314171122987</v>
      </c>
      <c r="R148" s="91">
        <f t="shared" si="99"/>
        <v>0.98754142992424254</v>
      </c>
      <c r="S148" s="639">
        <f>R160</f>
        <v>0.94754327089969748</v>
      </c>
      <c r="T148" s="315">
        <v>0.70833333333333337</v>
      </c>
      <c r="U148" s="92">
        <v>0.76944444444444449</v>
      </c>
      <c r="V148" s="65">
        <v>5</v>
      </c>
      <c r="W148" s="85">
        <f>(U148-T148)*24*60</f>
        <v>88</v>
      </c>
      <c r="X148" s="95"/>
      <c r="Y148" s="95"/>
      <c r="Z148" s="96"/>
      <c r="AA148" s="96"/>
      <c r="AB148" s="641"/>
      <c r="AC148" s="642"/>
      <c r="AD148" s="97"/>
      <c r="AE148" s="97"/>
      <c r="AF148" s="89">
        <f t="shared" si="63"/>
        <v>-101.59090909090901</v>
      </c>
      <c r="AG148" s="170">
        <f t="shared" si="64"/>
        <v>0.92945075757575768</v>
      </c>
      <c r="AH148" s="632">
        <f>AG160</f>
        <v>0.92714496151996117</v>
      </c>
    </row>
    <row r="149" spans="1:34" ht="18" customHeight="1">
      <c r="A149" s="638"/>
      <c r="B149" s="97" t="s">
        <v>251</v>
      </c>
      <c r="C149" s="289"/>
      <c r="D149" s="320" t="s">
        <v>177</v>
      </c>
      <c r="E149" s="103"/>
      <c r="F149" s="183">
        <v>50.29</v>
      </c>
      <c r="G149" s="100">
        <v>1177</v>
      </c>
      <c r="H149" s="129">
        <f t="shared" si="100"/>
        <v>59191.33</v>
      </c>
      <c r="I149" s="330"/>
      <c r="J149" s="130">
        <v>18</v>
      </c>
      <c r="K149" s="100">
        <v>1440</v>
      </c>
      <c r="L149" s="131">
        <v>80</v>
      </c>
      <c r="M149" s="155">
        <v>18</v>
      </c>
      <c r="N149" s="83">
        <f>G149/W149*60</f>
        <v>1284.0000000000007</v>
      </c>
      <c r="O149" s="87">
        <f>N149/M149</f>
        <v>71.333333333333371</v>
      </c>
      <c r="P149" s="89">
        <f t="shared" si="97"/>
        <v>0</v>
      </c>
      <c r="Q149" s="90">
        <f t="shared" si="98"/>
        <v>-8.6666666666666288</v>
      </c>
      <c r="R149" s="91">
        <f t="shared" si="99"/>
        <v>0.89166666666666716</v>
      </c>
      <c r="S149" s="640"/>
      <c r="T149" s="315">
        <v>0.77500000000000002</v>
      </c>
      <c r="U149" s="92">
        <v>0.81319444444444444</v>
      </c>
      <c r="V149" s="65">
        <v>8</v>
      </c>
      <c r="W149" s="85">
        <f t="shared" ref="W149:W151" si="101">(U149-T149)*24*60</f>
        <v>54.999999999999964</v>
      </c>
      <c r="X149" s="95"/>
      <c r="Y149" s="95"/>
      <c r="Z149" s="96"/>
      <c r="AA149" s="96"/>
      <c r="AB149" s="644"/>
      <c r="AC149" s="644"/>
      <c r="AD149" s="97"/>
      <c r="AE149" s="97"/>
      <c r="AF149" s="89">
        <f t="shared" si="63"/>
        <v>-155.99999999999932</v>
      </c>
      <c r="AG149" s="170">
        <f t="shared" si="64"/>
        <v>0.89166666666666716</v>
      </c>
      <c r="AH149" s="643"/>
    </row>
    <row r="150" spans="1:34" ht="16.25" customHeight="1">
      <c r="A150" s="638"/>
      <c r="B150" s="97" t="s">
        <v>251</v>
      </c>
      <c r="C150" s="289"/>
      <c r="D150" s="231" t="s">
        <v>234</v>
      </c>
      <c r="E150" s="103"/>
      <c r="F150" s="183">
        <v>54.29</v>
      </c>
      <c r="G150" s="100">
        <v>1936</v>
      </c>
      <c r="H150" s="129">
        <f t="shared" si="100"/>
        <v>105105.44</v>
      </c>
      <c r="I150" s="330"/>
      <c r="J150" s="130">
        <v>17</v>
      </c>
      <c r="K150" s="100">
        <v>1440</v>
      </c>
      <c r="L150" s="131">
        <v>84.705882352941174</v>
      </c>
      <c r="M150" s="155">
        <v>17</v>
      </c>
      <c r="N150" s="83">
        <f>G150/W150*60</f>
        <v>1382.8571428571399</v>
      </c>
      <c r="O150" s="87">
        <f>N150/M150</f>
        <v>81.344537815125875</v>
      </c>
      <c r="P150" s="89">
        <f t="shared" si="97"/>
        <v>0</v>
      </c>
      <c r="Q150" s="90">
        <f t="shared" si="98"/>
        <v>-3.3613445378152988</v>
      </c>
      <c r="R150" s="91">
        <f t="shared" si="99"/>
        <v>0.96031746031745824</v>
      </c>
      <c r="S150" s="640"/>
      <c r="T150" s="315">
        <v>0.81805555555555554</v>
      </c>
      <c r="U150" s="92">
        <v>0.87638888888888899</v>
      </c>
      <c r="V150" s="65">
        <v>7</v>
      </c>
      <c r="W150" s="85">
        <f t="shared" si="101"/>
        <v>84.000000000000185</v>
      </c>
      <c r="X150" s="283"/>
      <c r="Y150" s="283"/>
      <c r="Z150" s="284"/>
      <c r="AA150" s="284"/>
      <c r="AB150" s="644"/>
      <c r="AC150" s="644"/>
      <c r="AD150" s="97"/>
      <c r="AE150" s="97"/>
      <c r="AF150" s="89">
        <f t="shared" si="63"/>
        <v>-57.142857142860066</v>
      </c>
      <c r="AG150" s="170">
        <f t="shared" si="64"/>
        <v>0.96031746031745824</v>
      </c>
      <c r="AH150" s="643"/>
    </row>
    <row r="151" spans="1:34" s="286" customFormat="1" ht="18" customHeight="1">
      <c r="A151" s="638"/>
      <c r="B151" s="97">
        <v>0</v>
      </c>
      <c r="C151" s="289"/>
      <c r="D151" s="102"/>
      <c r="E151" s="103"/>
      <c r="F151" s="183" t="s">
        <v>253</v>
      </c>
      <c r="G151" s="100"/>
      <c r="H151" s="129">
        <f t="shared" si="100"/>
        <v>0</v>
      </c>
      <c r="I151" s="330"/>
      <c r="J151" s="130"/>
      <c r="K151" s="100"/>
      <c r="L151" s="131"/>
      <c r="M151" s="155"/>
      <c r="N151" s="83"/>
      <c r="O151" s="87"/>
      <c r="P151" s="89"/>
      <c r="Q151" s="90"/>
      <c r="R151" s="91"/>
      <c r="S151" s="640"/>
      <c r="T151" s="315"/>
      <c r="U151" s="92"/>
      <c r="V151" s="65"/>
      <c r="W151" s="85">
        <f t="shared" si="101"/>
        <v>0</v>
      </c>
      <c r="X151" s="283"/>
      <c r="Y151" s="283"/>
      <c r="Z151" s="284"/>
      <c r="AA151" s="284"/>
      <c r="AB151" s="633"/>
      <c r="AC151" s="633"/>
      <c r="AD151" s="289"/>
      <c r="AE151" s="289"/>
      <c r="AF151" s="89">
        <f t="shared" si="63"/>
        <v>0</v>
      </c>
      <c r="AG151" s="170" t="e">
        <f t="shared" si="64"/>
        <v>#DIV/0!</v>
      </c>
      <c r="AH151" s="643"/>
    </row>
    <row r="152" spans="1:34" s="286" customFormat="1" ht="18" customHeight="1">
      <c r="A152" s="638"/>
      <c r="B152" s="97">
        <v>0</v>
      </c>
      <c r="C152" s="289"/>
      <c r="D152" s="320"/>
      <c r="E152" s="103"/>
      <c r="F152" s="183" t="s">
        <v>253</v>
      </c>
      <c r="G152" s="100"/>
      <c r="H152" s="129">
        <f t="shared" si="100"/>
        <v>0</v>
      </c>
      <c r="I152" s="330"/>
      <c r="J152" s="130"/>
      <c r="K152" s="100"/>
      <c r="L152" s="131"/>
      <c r="M152" s="155"/>
      <c r="N152" s="83"/>
      <c r="O152" s="87"/>
      <c r="P152" s="89"/>
      <c r="Q152" s="90"/>
      <c r="R152" s="91"/>
      <c r="S152" s="640"/>
      <c r="T152" s="331"/>
      <c r="U152" s="107"/>
      <c r="V152" s="105"/>
      <c r="W152" s="85"/>
      <c r="X152" s="287"/>
      <c r="Y152" s="287"/>
      <c r="Z152" s="284"/>
      <c r="AA152" s="284"/>
      <c r="AB152" s="633"/>
      <c r="AC152" s="633"/>
      <c r="AD152" s="289"/>
      <c r="AE152" s="289"/>
      <c r="AF152" s="89">
        <f t="shared" si="63"/>
        <v>0</v>
      </c>
      <c r="AG152" s="170" t="e">
        <f t="shared" si="64"/>
        <v>#DIV/0!</v>
      </c>
      <c r="AH152" s="643"/>
    </row>
    <row r="153" spans="1:34" s="286" customFormat="1" ht="18" customHeight="1">
      <c r="A153" s="638"/>
      <c r="B153" s="97">
        <v>0</v>
      </c>
      <c r="C153" s="289"/>
      <c r="D153" s="320"/>
      <c r="E153" s="103"/>
      <c r="F153" s="183" t="s">
        <v>253</v>
      </c>
      <c r="G153" s="100"/>
      <c r="H153" s="129">
        <f t="shared" si="100"/>
        <v>0</v>
      </c>
      <c r="I153" s="330"/>
      <c r="J153" s="130"/>
      <c r="K153" s="100"/>
      <c r="L153" s="131"/>
      <c r="M153" s="261"/>
      <c r="N153" s="83"/>
      <c r="O153" s="87"/>
      <c r="P153" s="89"/>
      <c r="Q153" s="90"/>
      <c r="R153" s="91"/>
      <c r="S153" s="640"/>
      <c r="T153" s="331"/>
      <c r="U153" s="107"/>
      <c r="V153" s="105"/>
      <c r="W153" s="85">
        <f t="shared" ref="W153:W159" si="102">(U153-T153)*24*60</f>
        <v>0</v>
      </c>
      <c r="X153" s="287"/>
      <c r="Y153" s="287"/>
      <c r="Z153" s="284"/>
      <c r="AA153" s="284"/>
      <c r="AB153" s="633"/>
      <c r="AC153" s="633"/>
      <c r="AD153" s="289"/>
      <c r="AE153" s="289"/>
      <c r="AF153" s="89">
        <f t="shared" si="63"/>
        <v>0</v>
      </c>
      <c r="AG153" s="170" t="e">
        <f t="shared" si="64"/>
        <v>#DIV/0!</v>
      </c>
      <c r="AH153" s="643"/>
    </row>
    <row r="154" spans="1:34" s="286" customFormat="1" ht="18" customHeight="1">
      <c r="A154" s="638"/>
      <c r="B154" s="97">
        <v>0</v>
      </c>
      <c r="C154" s="289"/>
      <c r="D154" s="320"/>
      <c r="E154" s="103"/>
      <c r="F154" s="183" t="s">
        <v>253</v>
      </c>
      <c r="G154" s="100"/>
      <c r="H154" s="129">
        <f t="shared" si="100"/>
        <v>0</v>
      </c>
      <c r="I154" s="330"/>
      <c r="J154" s="332"/>
      <c r="K154" s="299"/>
      <c r="L154" s="87"/>
      <c r="M154" s="261"/>
      <c r="N154" s="234"/>
      <c r="O154" s="292"/>
      <c r="P154" s="333"/>
      <c r="Q154" s="119"/>
      <c r="R154" s="174"/>
      <c r="S154" s="640"/>
      <c r="T154" s="331"/>
      <c r="U154" s="107"/>
      <c r="V154" s="105"/>
      <c r="W154" s="334">
        <f t="shared" si="102"/>
        <v>0</v>
      </c>
      <c r="X154" s="287"/>
      <c r="Y154" s="287"/>
      <c r="Z154" s="284"/>
      <c r="AA154" s="284"/>
      <c r="AB154" s="633"/>
      <c r="AC154" s="633"/>
      <c r="AD154" s="289"/>
      <c r="AE154" s="289"/>
      <c r="AF154" s="89">
        <f t="shared" si="63"/>
        <v>0</v>
      </c>
      <c r="AG154" s="170" t="e">
        <f t="shared" si="64"/>
        <v>#DIV/0!</v>
      </c>
      <c r="AH154" s="643"/>
    </row>
    <row r="155" spans="1:34" s="286" customFormat="1" ht="18" customHeight="1">
      <c r="A155" s="638"/>
      <c r="B155" s="97">
        <v>0</v>
      </c>
      <c r="C155" s="289"/>
      <c r="D155" s="320"/>
      <c r="E155" s="103"/>
      <c r="F155" s="183" t="s">
        <v>253</v>
      </c>
      <c r="G155" s="100"/>
      <c r="H155" s="129">
        <f t="shared" si="100"/>
        <v>0</v>
      </c>
      <c r="I155" s="330"/>
      <c r="J155" s="332"/>
      <c r="K155" s="299"/>
      <c r="L155" s="87"/>
      <c r="M155" s="261"/>
      <c r="N155" s="234"/>
      <c r="O155" s="292"/>
      <c r="P155" s="333"/>
      <c r="Q155" s="119"/>
      <c r="R155" s="174"/>
      <c r="S155" s="640"/>
      <c r="T155" s="331"/>
      <c r="U155" s="107"/>
      <c r="V155" s="105"/>
      <c r="W155" s="334">
        <f t="shared" si="102"/>
        <v>0</v>
      </c>
      <c r="X155" s="287"/>
      <c r="Y155" s="287"/>
      <c r="Z155" s="284"/>
      <c r="AA155" s="284"/>
      <c r="AB155" s="633"/>
      <c r="AC155" s="633"/>
      <c r="AD155" s="289"/>
      <c r="AE155" s="289"/>
      <c r="AF155" s="335"/>
      <c r="AG155" s="174"/>
      <c r="AH155" s="643"/>
    </row>
    <row r="156" spans="1:34" s="286" customFormat="1" ht="18" customHeight="1">
      <c r="A156" s="638"/>
      <c r="B156" s="289">
        <v>0</v>
      </c>
      <c r="C156" s="289"/>
      <c r="D156" s="320"/>
      <c r="E156" s="103"/>
      <c r="F156" s="183" t="s">
        <v>253</v>
      </c>
      <c r="G156" s="100"/>
      <c r="H156" s="129">
        <f t="shared" si="100"/>
        <v>0</v>
      </c>
      <c r="I156" s="330"/>
      <c r="J156" s="332"/>
      <c r="K156" s="299"/>
      <c r="L156" s="87"/>
      <c r="M156" s="261"/>
      <c r="N156" s="234"/>
      <c r="O156" s="292"/>
      <c r="P156" s="333"/>
      <c r="Q156" s="119"/>
      <c r="R156" s="174"/>
      <c r="S156" s="640"/>
      <c r="T156" s="331"/>
      <c r="U156" s="107"/>
      <c r="V156" s="105"/>
      <c r="W156" s="334">
        <f t="shared" si="102"/>
        <v>0</v>
      </c>
      <c r="X156" s="287"/>
      <c r="Y156" s="287"/>
      <c r="Z156" s="284"/>
      <c r="AA156" s="284"/>
      <c r="AB156" s="633"/>
      <c r="AC156" s="633"/>
      <c r="AD156" s="289"/>
      <c r="AE156" s="289"/>
      <c r="AF156" s="335"/>
      <c r="AG156" s="174"/>
      <c r="AH156" s="643"/>
    </row>
    <row r="157" spans="1:34" s="286" customFormat="1" ht="18" customHeight="1">
      <c r="A157" s="638"/>
      <c r="B157" s="289">
        <v>0</v>
      </c>
      <c r="C157" s="289"/>
      <c r="D157" s="320"/>
      <c r="E157" s="103"/>
      <c r="F157" s="308" t="s">
        <v>253</v>
      </c>
      <c r="G157" s="100"/>
      <c r="H157" s="298">
        <f t="shared" si="100"/>
        <v>0</v>
      </c>
      <c r="I157" s="330"/>
      <c r="J157" s="332"/>
      <c r="K157" s="299"/>
      <c r="L157" s="87"/>
      <c r="M157" s="261"/>
      <c r="N157" s="234"/>
      <c r="O157" s="292"/>
      <c r="P157" s="333"/>
      <c r="Q157" s="119"/>
      <c r="R157" s="174"/>
      <c r="S157" s="640"/>
      <c r="T157" s="331"/>
      <c r="U157" s="107"/>
      <c r="V157" s="105"/>
      <c r="W157" s="334">
        <f t="shared" si="102"/>
        <v>0</v>
      </c>
      <c r="X157" s="287"/>
      <c r="Y157" s="287"/>
      <c r="Z157" s="284"/>
      <c r="AA157" s="284"/>
      <c r="AB157" s="633"/>
      <c r="AC157" s="633"/>
      <c r="AD157" s="289"/>
      <c r="AE157" s="289"/>
      <c r="AF157" s="335"/>
      <c r="AG157" s="174"/>
      <c r="AH157" s="643"/>
    </row>
    <row r="158" spans="1:34" s="286" customFormat="1" ht="18" customHeight="1">
      <c r="A158" s="638"/>
      <c r="B158" s="289">
        <v>0</v>
      </c>
      <c r="C158" s="289"/>
      <c r="D158" s="320"/>
      <c r="E158" s="103"/>
      <c r="F158" s="308" t="s">
        <v>253</v>
      </c>
      <c r="G158" s="100"/>
      <c r="H158" s="298">
        <f t="shared" si="100"/>
        <v>0</v>
      </c>
      <c r="I158" s="330"/>
      <c r="J158" s="332"/>
      <c r="K158" s="299"/>
      <c r="L158" s="87"/>
      <c r="M158" s="261"/>
      <c r="N158" s="234"/>
      <c r="O158" s="292"/>
      <c r="P158" s="333"/>
      <c r="Q158" s="119"/>
      <c r="R158" s="174"/>
      <c r="S158" s="640"/>
      <c r="T158" s="331"/>
      <c r="U158" s="107"/>
      <c r="V158" s="105"/>
      <c r="W158" s="334">
        <f t="shared" si="102"/>
        <v>0</v>
      </c>
      <c r="X158" s="287"/>
      <c r="Y158" s="287"/>
      <c r="Z158" s="284"/>
      <c r="AA158" s="284"/>
      <c r="AB158" s="633"/>
      <c r="AC158" s="633"/>
      <c r="AD158" s="289"/>
      <c r="AE158" s="289"/>
      <c r="AF158" s="335"/>
      <c r="AG158" s="174"/>
      <c r="AH158" s="643"/>
    </row>
    <row r="159" spans="1:34" s="286" customFormat="1" ht="18" customHeight="1">
      <c r="A159" s="638"/>
      <c r="B159" s="289">
        <v>0</v>
      </c>
      <c r="C159" s="289"/>
      <c r="D159" s="320"/>
      <c r="E159" s="103"/>
      <c r="F159" s="308" t="s">
        <v>253</v>
      </c>
      <c r="G159" s="100"/>
      <c r="H159" s="298">
        <f t="shared" si="100"/>
        <v>0</v>
      </c>
      <c r="I159" s="330"/>
      <c r="J159" s="332"/>
      <c r="K159" s="234"/>
      <c r="L159" s="179"/>
      <c r="M159" s="137"/>
      <c r="N159" s="234"/>
      <c r="O159" s="292"/>
      <c r="P159" s="333"/>
      <c r="Q159" s="119"/>
      <c r="R159" s="174"/>
      <c r="S159" s="640"/>
      <c r="T159" s="331"/>
      <c r="U159" s="107"/>
      <c r="V159" s="105"/>
      <c r="W159" s="336">
        <f t="shared" si="102"/>
        <v>0</v>
      </c>
      <c r="X159" s="287"/>
      <c r="Y159" s="287"/>
      <c r="Z159" s="284"/>
      <c r="AA159" s="284"/>
      <c r="AB159" s="633"/>
      <c r="AC159" s="633"/>
      <c r="AD159" s="289"/>
      <c r="AE159" s="289"/>
      <c r="AF159" s="335"/>
      <c r="AG159" s="174"/>
      <c r="AH159" s="643"/>
    </row>
    <row r="160" spans="1:34" ht="18" customHeight="1">
      <c r="A160" s="638"/>
      <c r="B160" s="337">
        <v>0</v>
      </c>
      <c r="C160" s="338" t="s">
        <v>24</v>
      </c>
      <c r="D160" s="634" t="s">
        <v>220</v>
      </c>
      <c r="E160" s="635"/>
      <c r="F160" s="113"/>
      <c r="G160" s="264"/>
      <c r="H160" s="263"/>
      <c r="I160" s="116"/>
      <c r="J160" s="339">
        <v>17.333333333333332</v>
      </c>
      <c r="K160" s="339">
        <v>1440</v>
      </c>
      <c r="L160" s="340">
        <v>83.137254901960773</v>
      </c>
      <c r="M160" s="339">
        <f t="shared" ref="M160:O160" si="103">AVERAGE(M148:M159)</f>
        <v>17</v>
      </c>
      <c r="N160" s="339">
        <f t="shared" si="103"/>
        <v>1335.088744588744</v>
      </c>
      <c r="O160" s="340">
        <f t="shared" si="103"/>
        <v>78.776146443425816</v>
      </c>
      <c r="P160" s="118">
        <f t="shared" ref="P160:P165" si="104">M160-J160</f>
        <v>-0.33333333333333215</v>
      </c>
      <c r="Q160" s="119">
        <f t="shared" ref="Q160:Q165" si="105">O160-L160</f>
        <v>-4.3611084585349573</v>
      </c>
      <c r="R160" s="341">
        <f>O160/L160</f>
        <v>0.94754327089969748</v>
      </c>
      <c r="S160" s="640"/>
      <c r="T160" s="342"/>
      <c r="U160" s="342"/>
      <c r="V160" s="252"/>
      <c r="W160" s="252"/>
      <c r="X160" s="253"/>
      <c r="Y160" s="253"/>
      <c r="Z160" s="123">
        <f>SUM(Z148:Z159)</f>
        <v>0</v>
      </c>
      <c r="AA160" s="123">
        <f>SUM(AA148:AA159)</f>
        <v>0</v>
      </c>
      <c r="AB160" s="636"/>
      <c r="AC160" s="637"/>
      <c r="AD160" s="124">
        <f>SUM(AD148:AD159)</f>
        <v>0</v>
      </c>
      <c r="AE160" s="124">
        <f>SUM(AE148:AE159)</f>
        <v>0</v>
      </c>
      <c r="AF160" s="118">
        <f t="shared" si="63"/>
        <v>-104.91125541125598</v>
      </c>
      <c r="AG160" s="174">
        <f t="shared" si="64"/>
        <v>0.92714496151996117</v>
      </c>
      <c r="AH160" s="643"/>
    </row>
    <row r="161" spans="1:36" ht="18" customHeight="1">
      <c r="A161" s="631" t="s">
        <v>235</v>
      </c>
      <c r="B161" s="126" t="s">
        <v>250</v>
      </c>
      <c r="C161" s="126"/>
      <c r="D161" s="168" t="s">
        <v>179</v>
      </c>
      <c r="E161" s="169"/>
      <c r="F161" s="180">
        <v>34.229999999999997</v>
      </c>
      <c r="G161" s="100">
        <v>2402</v>
      </c>
      <c r="H161" s="129">
        <f t="shared" ref="H161:H170" si="106">F161*G161</f>
        <v>82220.459999999992</v>
      </c>
      <c r="I161" s="97"/>
      <c r="J161" s="130">
        <v>11</v>
      </c>
      <c r="K161" s="100">
        <v>2250</v>
      </c>
      <c r="L161" s="131">
        <v>204.54545454545453</v>
      </c>
      <c r="M161" s="130">
        <v>11</v>
      </c>
      <c r="N161" s="100">
        <f t="shared" ref="N161:N165" si="107">G161/W161*60</f>
        <v>2251.8749999999995</v>
      </c>
      <c r="O161" s="131">
        <f t="shared" ref="O161:O165" si="108">N161/M161</f>
        <v>204.71590909090904</v>
      </c>
      <c r="P161" s="96">
        <f t="shared" si="104"/>
        <v>0</v>
      </c>
      <c r="Q161" s="132">
        <f t="shared" si="105"/>
        <v>0.17045454545450411</v>
      </c>
      <c r="R161" s="133">
        <f t="shared" ref="R161:R165" si="109">O161/L161</f>
        <v>1.0008333333333332</v>
      </c>
      <c r="S161" s="632">
        <f>R173</f>
        <v>0.93591151362438485</v>
      </c>
      <c r="T161" s="134">
        <v>0.16666666666666666</v>
      </c>
      <c r="U161" s="134">
        <v>0.21111111111111111</v>
      </c>
      <c r="V161" s="97">
        <v>5</v>
      </c>
      <c r="W161" s="135">
        <f t="shared" ref="W161:W165" si="110">(U161-T161)*24*60</f>
        <v>64.000000000000014</v>
      </c>
      <c r="X161" s="136"/>
      <c r="Y161" s="136"/>
      <c r="Z161" s="96"/>
      <c r="AA161" s="96"/>
      <c r="AB161" s="629"/>
      <c r="AC161" s="629"/>
      <c r="AD161" s="97"/>
      <c r="AE161" s="97"/>
      <c r="AF161" s="96">
        <f t="shared" si="63"/>
        <v>1.8749999999995453</v>
      </c>
      <c r="AG161" s="133">
        <f t="shared" si="64"/>
        <v>1.0008333333333332</v>
      </c>
      <c r="AH161" s="632">
        <f>AG173</f>
        <v>0.93936421653553326</v>
      </c>
    </row>
    <row r="162" spans="1:36" ht="18" customHeight="1">
      <c r="A162" s="631"/>
      <c r="B162" s="126" t="s">
        <v>250</v>
      </c>
      <c r="C162" s="126"/>
      <c r="D162" s="168" t="s">
        <v>180</v>
      </c>
      <c r="E162" s="169"/>
      <c r="F162" s="180">
        <v>34.229999999999997</v>
      </c>
      <c r="G162" s="100">
        <v>3092</v>
      </c>
      <c r="H162" s="129">
        <f t="shared" si="106"/>
        <v>105839.15999999999</v>
      </c>
      <c r="I162" s="97"/>
      <c r="J162" s="130">
        <v>12</v>
      </c>
      <c r="K162" s="100">
        <v>2250</v>
      </c>
      <c r="L162" s="131">
        <v>187.5</v>
      </c>
      <c r="M162" s="130">
        <v>12</v>
      </c>
      <c r="N162" s="100">
        <f t="shared" si="107"/>
        <v>2208.5714285714289</v>
      </c>
      <c r="O162" s="131">
        <f t="shared" si="108"/>
        <v>184.04761904761907</v>
      </c>
      <c r="P162" s="96">
        <f t="shared" si="104"/>
        <v>0</v>
      </c>
      <c r="Q162" s="132">
        <f t="shared" si="105"/>
        <v>-3.4523809523809348</v>
      </c>
      <c r="R162" s="133">
        <f t="shared" si="109"/>
        <v>0.98158730158730167</v>
      </c>
      <c r="S162" s="632"/>
      <c r="T162" s="134">
        <v>0.22708333333333333</v>
      </c>
      <c r="U162" s="134">
        <v>0.28541666666666665</v>
      </c>
      <c r="V162" s="97">
        <v>23</v>
      </c>
      <c r="W162" s="135">
        <f t="shared" si="110"/>
        <v>83.999999999999986</v>
      </c>
      <c r="X162" s="136">
        <v>0.21458333333333335</v>
      </c>
      <c r="Y162" s="136">
        <v>0.22430555555555556</v>
      </c>
      <c r="Z162" s="96"/>
      <c r="AA162" s="96"/>
      <c r="AB162" s="629"/>
      <c r="AC162" s="629"/>
      <c r="AD162" s="97"/>
      <c r="AE162" s="97"/>
      <c r="AF162" s="96">
        <f t="shared" si="63"/>
        <v>-41.428571428571104</v>
      </c>
      <c r="AG162" s="133">
        <f t="shared" si="64"/>
        <v>0.98158730158730179</v>
      </c>
      <c r="AH162" s="632"/>
    </row>
    <row r="163" spans="1:36" ht="18" customHeight="1">
      <c r="A163" s="631"/>
      <c r="B163" s="126" t="s">
        <v>250</v>
      </c>
      <c r="C163" s="126"/>
      <c r="D163" s="317" t="s">
        <v>181</v>
      </c>
      <c r="E163" s="317"/>
      <c r="F163" s="180">
        <v>35.83</v>
      </c>
      <c r="G163" s="100">
        <v>4929</v>
      </c>
      <c r="H163" s="129">
        <f t="shared" si="106"/>
        <v>176606.06999999998</v>
      </c>
      <c r="I163" s="97"/>
      <c r="J163" s="130">
        <v>10</v>
      </c>
      <c r="K163" s="100">
        <v>2250</v>
      </c>
      <c r="L163" s="131">
        <v>225</v>
      </c>
      <c r="M163" s="130">
        <v>10</v>
      </c>
      <c r="N163" s="100">
        <f t="shared" si="107"/>
        <v>2240.4545454545455</v>
      </c>
      <c r="O163" s="131">
        <f t="shared" si="108"/>
        <v>224.04545454545456</v>
      </c>
      <c r="P163" s="96">
        <f t="shared" si="104"/>
        <v>0</v>
      </c>
      <c r="Q163" s="132">
        <f t="shared" si="105"/>
        <v>-0.95454545454543904</v>
      </c>
      <c r="R163" s="133">
        <f t="shared" si="109"/>
        <v>0.99575757575757584</v>
      </c>
      <c r="S163" s="632"/>
      <c r="T163" s="134">
        <v>0.32708333333333328</v>
      </c>
      <c r="U163" s="134">
        <v>0.41874999999999996</v>
      </c>
      <c r="V163" s="97">
        <v>7</v>
      </c>
      <c r="W163" s="135">
        <f t="shared" si="110"/>
        <v>132</v>
      </c>
      <c r="X163" s="136"/>
      <c r="Y163" s="136"/>
      <c r="Z163" s="96"/>
      <c r="AA163" s="96"/>
      <c r="AB163" s="629"/>
      <c r="AC163" s="629"/>
      <c r="AD163" s="97"/>
      <c r="AE163" s="97"/>
      <c r="AF163" s="96">
        <f t="shared" si="63"/>
        <v>-9.5454545454545041</v>
      </c>
      <c r="AG163" s="133">
        <f t="shared" si="64"/>
        <v>0.99575757575757573</v>
      </c>
      <c r="AH163" s="632"/>
    </row>
    <row r="164" spans="1:36" ht="18" customHeight="1">
      <c r="A164" s="631"/>
      <c r="B164" s="126" t="s">
        <v>250</v>
      </c>
      <c r="C164" s="126"/>
      <c r="D164" s="343" t="s">
        <v>182</v>
      </c>
      <c r="E164" s="343"/>
      <c r="F164" s="180">
        <v>34.229999999999997</v>
      </c>
      <c r="G164" s="100">
        <v>3793</v>
      </c>
      <c r="H164" s="129">
        <f t="shared" si="106"/>
        <v>129834.38999999998</v>
      </c>
      <c r="I164" s="97"/>
      <c r="J164" s="130">
        <v>9</v>
      </c>
      <c r="K164" s="100">
        <v>2796</v>
      </c>
      <c r="L164" s="131">
        <v>307.7</v>
      </c>
      <c r="M164" s="130">
        <v>9</v>
      </c>
      <c r="N164" s="100">
        <f t="shared" si="107"/>
        <v>2188.2692307692305</v>
      </c>
      <c r="O164" s="131">
        <f t="shared" si="108"/>
        <v>243.14102564102561</v>
      </c>
      <c r="P164" s="96">
        <f t="shared" si="104"/>
        <v>0</v>
      </c>
      <c r="Q164" s="132">
        <f t="shared" si="105"/>
        <v>-64.558974358974382</v>
      </c>
      <c r="R164" s="133">
        <f t="shared" si="109"/>
        <v>0.79018857861886782</v>
      </c>
      <c r="S164" s="632"/>
      <c r="T164" s="134">
        <v>0.43333333333333329</v>
      </c>
      <c r="U164" s="134">
        <v>0.50555555555555554</v>
      </c>
      <c r="V164" s="97">
        <v>21</v>
      </c>
      <c r="W164" s="135">
        <f t="shared" si="110"/>
        <v>104.00000000000003</v>
      </c>
      <c r="X164" s="136">
        <v>0.42222222222222222</v>
      </c>
      <c r="Y164" s="136">
        <v>0.43055555555555558</v>
      </c>
      <c r="Z164" s="96"/>
      <c r="AA164" s="96"/>
      <c r="AB164" s="629"/>
      <c r="AC164" s="629"/>
      <c r="AD164" s="97"/>
      <c r="AE164" s="97"/>
      <c r="AF164" s="96">
        <f t="shared" si="63"/>
        <v>-607.73076923076951</v>
      </c>
      <c r="AG164" s="133">
        <f t="shared" si="64"/>
        <v>0.7826427863981511</v>
      </c>
      <c r="AH164" s="632"/>
    </row>
    <row r="165" spans="1:36" ht="18" customHeight="1">
      <c r="A165" s="631"/>
      <c r="B165" s="126" t="s">
        <v>250</v>
      </c>
      <c r="C165" s="127"/>
      <c r="D165" s="168" t="s">
        <v>121</v>
      </c>
      <c r="E165" s="169"/>
      <c r="F165" s="128">
        <v>36.409999999999997</v>
      </c>
      <c r="G165" s="100">
        <v>3908.3</v>
      </c>
      <c r="H165" s="129">
        <f t="shared" si="106"/>
        <v>142301.20299999998</v>
      </c>
      <c r="I165" s="97">
        <v>2</v>
      </c>
      <c r="J165" s="130">
        <v>9</v>
      </c>
      <c r="K165" s="100">
        <v>2250</v>
      </c>
      <c r="L165" s="131">
        <v>250</v>
      </c>
      <c r="M165" s="130">
        <v>9</v>
      </c>
      <c r="N165" s="100">
        <f t="shared" si="107"/>
        <v>2191.5700934579449</v>
      </c>
      <c r="O165" s="131">
        <f t="shared" si="108"/>
        <v>243.50778816199389</v>
      </c>
      <c r="P165" s="96">
        <f t="shared" si="104"/>
        <v>0</v>
      </c>
      <c r="Q165" s="132">
        <f t="shared" si="105"/>
        <v>-6.4922118380061136</v>
      </c>
      <c r="R165" s="133">
        <f t="shared" si="109"/>
        <v>0.97403115264797557</v>
      </c>
      <c r="S165" s="632"/>
      <c r="T165" s="134">
        <v>0.50902777777777775</v>
      </c>
      <c r="U165" s="134">
        <v>0.58333333333333326</v>
      </c>
      <c r="V165" s="97">
        <v>5</v>
      </c>
      <c r="W165" s="135">
        <f t="shared" si="110"/>
        <v>106.99999999999994</v>
      </c>
      <c r="X165" s="136"/>
      <c r="Y165" s="136"/>
      <c r="Z165" s="96"/>
      <c r="AA165" s="96"/>
      <c r="AB165" s="629"/>
      <c r="AC165" s="629"/>
      <c r="AD165" s="97"/>
      <c r="AE165" s="97"/>
      <c r="AF165" s="96">
        <f t="shared" si="63"/>
        <v>-58.429906542055051</v>
      </c>
      <c r="AG165" s="133">
        <f t="shared" si="64"/>
        <v>0.97403115264797557</v>
      </c>
      <c r="AH165" s="632"/>
    </row>
    <row r="166" spans="1:36" ht="18" customHeight="1">
      <c r="A166" s="631"/>
      <c r="B166" s="126">
        <v>0</v>
      </c>
      <c r="C166" s="126"/>
      <c r="D166" s="168"/>
      <c r="E166" s="169"/>
      <c r="F166" s="180" t="s">
        <v>253</v>
      </c>
      <c r="G166" s="100"/>
      <c r="H166" s="129">
        <f t="shared" si="106"/>
        <v>0</v>
      </c>
      <c r="I166" s="97"/>
      <c r="J166" s="130"/>
      <c r="K166" s="100"/>
      <c r="L166" s="131"/>
      <c r="M166" s="130"/>
      <c r="N166" s="100"/>
      <c r="O166" s="131"/>
      <c r="P166" s="96"/>
      <c r="Q166" s="132"/>
      <c r="R166" s="133"/>
      <c r="S166" s="632"/>
      <c r="T166" s="134"/>
      <c r="U166" s="134"/>
      <c r="V166" s="97"/>
      <c r="W166" s="135"/>
      <c r="X166" s="136"/>
      <c r="Y166" s="136"/>
      <c r="Z166" s="96"/>
      <c r="AA166" s="96"/>
      <c r="AB166" s="629"/>
      <c r="AC166" s="629"/>
      <c r="AD166" s="97"/>
      <c r="AE166" s="97"/>
      <c r="AF166" s="96">
        <f t="shared" si="63"/>
        <v>0</v>
      </c>
      <c r="AG166" s="133" t="e">
        <f t="shared" si="64"/>
        <v>#DIV/0!</v>
      </c>
      <c r="AH166" s="632"/>
    </row>
    <row r="167" spans="1:36" ht="18" customHeight="1">
      <c r="A167" s="631"/>
      <c r="B167" s="126">
        <v>0</v>
      </c>
      <c r="C167" s="126"/>
      <c r="D167" s="320"/>
      <c r="E167" s="103"/>
      <c r="F167" s="180" t="s">
        <v>253</v>
      </c>
      <c r="G167" s="100"/>
      <c r="H167" s="129">
        <f t="shared" si="106"/>
        <v>0</v>
      </c>
      <c r="I167" s="97"/>
      <c r="J167" s="130"/>
      <c r="K167" s="100"/>
      <c r="L167" s="131"/>
      <c r="M167" s="130"/>
      <c r="N167" s="100"/>
      <c r="O167" s="131"/>
      <c r="P167" s="96"/>
      <c r="Q167" s="132"/>
      <c r="R167" s="133"/>
      <c r="S167" s="632"/>
      <c r="T167" s="134"/>
      <c r="U167" s="134"/>
      <c r="V167" s="97"/>
      <c r="W167" s="135"/>
      <c r="X167" s="136"/>
      <c r="Y167" s="136"/>
      <c r="Z167" s="96"/>
      <c r="AA167" s="96"/>
      <c r="AB167" s="629"/>
      <c r="AC167" s="629"/>
      <c r="AD167" s="97"/>
      <c r="AE167" s="97"/>
      <c r="AF167" s="96">
        <f t="shared" si="63"/>
        <v>0</v>
      </c>
      <c r="AG167" s="133" t="e">
        <f t="shared" si="64"/>
        <v>#DIV/0!</v>
      </c>
      <c r="AH167" s="632"/>
    </row>
    <row r="168" spans="1:36" ht="18" customHeight="1">
      <c r="A168" s="631"/>
      <c r="B168" s="126">
        <v>0</v>
      </c>
      <c r="C168" s="126"/>
      <c r="D168" s="320"/>
      <c r="E168" s="103"/>
      <c r="F168" s="180" t="s">
        <v>253</v>
      </c>
      <c r="G168" s="100"/>
      <c r="H168" s="129">
        <f t="shared" si="106"/>
        <v>0</v>
      </c>
      <c r="I168" s="97"/>
      <c r="J168" s="130"/>
      <c r="K168" s="100"/>
      <c r="L168" s="131"/>
      <c r="M168" s="130"/>
      <c r="N168" s="100"/>
      <c r="O168" s="131"/>
      <c r="P168" s="96"/>
      <c r="Q168" s="132"/>
      <c r="R168" s="133"/>
      <c r="S168" s="632"/>
      <c r="T168" s="134"/>
      <c r="U168" s="134"/>
      <c r="V168" s="97"/>
      <c r="W168" s="135"/>
      <c r="X168" s="136"/>
      <c r="Y168" s="136"/>
      <c r="Z168" s="96"/>
      <c r="AA168" s="96"/>
      <c r="AB168" s="629"/>
      <c r="AC168" s="629"/>
      <c r="AD168" s="97"/>
      <c r="AE168" s="97"/>
      <c r="AF168" s="96">
        <f t="shared" si="63"/>
        <v>0</v>
      </c>
      <c r="AG168" s="133" t="e">
        <f t="shared" si="64"/>
        <v>#DIV/0!</v>
      </c>
      <c r="AH168" s="632"/>
    </row>
    <row r="169" spans="1:36" ht="18" customHeight="1">
      <c r="A169" s="631"/>
      <c r="B169" s="126">
        <v>0</v>
      </c>
      <c r="C169" s="126"/>
      <c r="D169" s="320"/>
      <c r="E169" s="103"/>
      <c r="F169" s="180" t="s">
        <v>253</v>
      </c>
      <c r="G169" s="100"/>
      <c r="H169" s="129">
        <f t="shared" si="106"/>
        <v>0</v>
      </c>
      <c r="I169" s="97"/>
      <c r="J169" s="130"/>
      <c r="K169" s="100"/>
      <c r="L169" s="131"/>
      <c r="M169" s="130"/>
      <c r="N169" s="100"/>
      <c r="O169" s="131"/>
      <c r="P169" s="96"/>
      <c r="Q169" s="132"/>
      <c r="R169" s="133"/>
      <c r="S169" s="632"/>
      <c r="T169" s="134"/>
      <c r="U169" s="134"/>
      <c r="V169" s="97" t="s">
        <v>59</v>
      </c>
      <c r="W169" s="135">
        <f>(U169-T169)*24*60</f>
        <v>0</v>
      </c>
      <c r="X169" s="136"/>
      <c r="Y169" s="136"/>
      <c r="Z169" s="96"/>
      <c r="AA169" s="96"/>
      <c r="AB169" s="629"/>
      <c r="AC169" s="629"/>
      <c r="AD169" s="97"/>
      <c r="AE169" s="97"/>
      <c r="AF169" s="96">
        <f t="shared" si="63"/>
        <v>0</v>
      </c>
      <c r="AG169" s="133" t="e">
        <f t="shared" si="64"/>
        <v>#DIV/0!</v>
      </c>
      <c r="AH169" s="632"/>
    </row>
    <row r="170" spans="1:36" ht="18" customHeight="1">
      <c r="A170" s="631"/>
      <c r="B170" s="126">
        <v>0</v>
      </c>
      <c r="C170" s="126"/>
      <c r="D170" s="320"/>
      <c r="E170" s="103"/>
      <c r="F170" s="180" t="s">
        <v>253</v>
      </c>
      <c r="G170" s="100"/>
      <c r="H170" s="129">
        <f t="shared" si="106"/>
        <v>0</v>
      </c>
      <c r="I170" s="97"/>
      <c r="J170" s="130"/>
      <c r="K170" s="100"/>
      <c r="L170" s="131"/>
      <c r="M170" s="130"/>
      <c r="N170" s="100"/>
      <c r="O170" s="131"/>
      <c r="P170" s="96"/>
      <c r="Q170" s="132"/>
      <c r="R170" s="133"/>
      <c r="S170" s="632"/>
      <c r="T170" s="134"/>
      <c r="U170" s="134"/>
      <c r="V170" s="97"/>
      <c r="W170" s="135">
        <f>(U170-T170)*24*60</f>
        <v>0</v>
      </c>
      <c r="X170" s="136"/>
      <c r="Y170" s="136"/>
      <c r="Z170" s="96"/>
      <c r="AA170" s="96"/>
      <c r="AB170" s="629"/>
      <c r="AC170" s="629"/>
      <c r="AD170" s="97"/>
      <c r="AE170" s="97"/>
      <c r="AF170" s="96">
        <f t="shared" si="63"/>
        <v>0</v>
      </c>
      <c r="AG170" s="133" t="e">
        <f t="shared" si="64"/>
        <v>#DIV/0!</v>
      </c>
      <c r="AH170" s="632"/>
    </row>
    <row r="171" spans="1:36" ht="18" customHeight="1">
      <c r="A171" s="631"/>
      <c r="B171" s="126">
        <v>0</v>
      </c>
      <c r="C171" s="126"/>
      <c r="D171" s="320"/>
      <c r="E171" s="103"/>
      <c r="F171" s="180" t="s">
        <v>253</v>
      </c>
      <c r="G171" s="100"/>
      <c r="H171" s="129">
        <f t="shared" si="100"/>
        <v>0</v>
      </c>
      <c r="I171" s="97"/>
      <c r="J171" s="130"/>
      <c r="K171" s="100"/>
      <c r="L171" s="131"/>
      <c r="M171" s="130"/>
      <c r="N171" s="100"/>
      <c r="O171" s="131"/>
      <c r="P171" s="96"/>
      <c r="Q171" s="132"/>
      <c r="R171" s="133"/>
      <c r="S171" s="632"/>
      <c r="T171" s="134"/>
      <c r="U171" s="134"/>
      <c r="V171" s="97"/>
      <c r="W171" s="135">
        <f>(U171-T171)*24*60</f>
        <v>0</v>
      </c>
      <c r="X171" s="136"/>
      <c r="Y171" s="136"/>
      <c r="Z171" s="96"/>
      <c r="AA171" s="96"/>
      <c r="AB171" s="629"/>
      <c r="AC171" s="629"/>
      <c r="AD171" s="97"/>
      <c r="AE171" s="97"/>
      <c r="AF171" s="96"/>
      <c r="AG171" s="133"/>
      <c r="AH171" s="632"/>
    </row>
    <row r="172" spans="1:36" ht="18" customHeight="1">
      <c r="A172" s="631"/>
      <c r="B172" s="126">
        <v>0</v>
      </c>
      <c r="C172" s="126"/>
      <c r="D172" s="320"/>
      <c r="E172" s="103"/>
      <c r="F172" s="180" t="s">
        <v>253</v>
      </c>
      <c r="G172" s="100"/>
      <c r="H172" s="129">
        <f t="shared" si="100"/>
        <v>0</v>
      </c>
      <c r="I172" s="97"/>
      <c r="J172" s="130"/>
      <c r="K172" s="100"/>
      <c r="L172" s="131"/>
      <c r="M172" s="130"/>
      <c r="N172" s="100"/>
      <c r="O172" s="131"/>
      <c r="P172" s="96"/>
      <c r="Q172" s="132"/>
      <c r="R172" s="133"/>
      <c r="S172" s="632"/>
      <c r="T172" s="134"/>
      <c r="U172" s="134"/>
      <c r="V172" s="97"/>
      <c r="W172" s="135">
        <f>(U172-T172)*24*60</f>
        <v>0</v>
      </c>
      <c r="X172" s="136"/>
      <c r="Y172" s="136"/>
      <c r="Z172" s="96"/>
      <c r="AA172" s="96"/>
      <c r="AB172" s="629"/>
      <c r="AC172" s="629"/>
      <c r="AD172" s="97"/>
      <c r="AE172" s="97"/>
      <c r="AF172" s="96"/>
      <c r="AG172" s="133"/>
      <c r="AH172" s="632"/>
    </row>
    <row r="173" spans="1:36" ht="18" customHeight="1">
      <c r="A173" s="631"/>
      <c r="B173" s="126">
        <v>0</v>
      </c>
      <c r="C173" s="138" t="s">
        <v>25</v>
      </c>
      <c r="D173" s="630" t="s">
        <v>220</v>
      </c>
      <c r="E173" s="630"/>
      <c r="F173" s="139"/>
      <c r="G173" s="140"/>
      <c r="H173" s="141"/>
      <c r="I173" s="142"/>
      <c r="J173" s="140">
        <v>10.199999999999999</v>
      </c>
      <c r="K173" s="140">
        <v>2359.1999999999998</v>
      </c>
      <c r="L173" s="143">
        <v>234.9490909090909</v>
      </c>
      <c r="M173" s="140">
        <f t="shared" ref="M173:O173" si="111">AVERAGE(M161:M172)</f>
        <v>10.199999999999999</v>
      </c>
      <c r="N173" s="140">
        <f t="shared" si="111"/>
        <v>2216.1480596506299</v>
      </c>
      <c r="O173" s="143">
        <f t="shared" si="111"/>
        <v>219.89155929740045</v>
      </c>
      <c r="P173" s="96">
        <f>M173-J173</f>
        <v>0</v>
      </c>
      <c r="Q173" s="132">
        <f>O173-L173</f>
        <v>-15.05753161169045</v>
      </c>
      <c r="R173" s="144">
        <f>O173/L173</f>
        <v>0.93591151362438485</v>
      </c>
      <c r="S173" s="632"/>
      <c r="T173" s="134"/>
      <c r="U173" s="134"/>
      <c r="V173" s="100"/>
      <c r="W173" s="100"/>
      <c r="X173" s="131"/>
      <c r="Y173" s="131"/>
      <c r="Z173" s="145">
        <f>SUM(Z161:Z172)</f>
        <v>0</v>
      </c>
      <c r="AA173" s="145">
        <f>SUM(AA161:AA172)</f>
        <v>0</v>
      </c>
      <c r="AB173" s="629"/>
      <c r="AC173" s="629"/>
      <c r="AD173" s="146">
        <f>SUM(AD161:AD172)</f>
        <v>0</v>
      </c>
      <c r="AE173" s="146">
        <f>SUM(AE161:AE172)</f>
        <v>0</v>
      </c>
      <c r="AF173" s="96">
        <f t="shared" si="63"/>
        <v>-143.05194034936994</v>
      </c>
      <c r="AG173" s="133">
        <f t="shared" si="64"/>
        <v>0.93936421653553326</v>
      </c>
      <c r="AH173" s="632"/>
    </row>
    <row r="174" spans="1:36">
      <c r="AJ174" s="345" t="s">
        <v>183</v>
      </c>
    </row>
    <row r="175" spans="1:36">
      <c r="AJ175" s="345" t="s">
        <v>184</v>
      </c>
    </row>
    <row r="176" spans="1:36">
      <c r="AJ176" s="345" t="s">
        <v>236</v>
      </c>
    </row>
    <row r="177" spans="23:36">
      <c r="W177" s="70"/>
      <c r="AJ177" s="345" t="s">
        <v>185</v>
      </c>
    </row>
    <row r="178" spans="23:36">
      <c r="W178" s="70"/>
      <c r="AJ178" s="345" t="s">
        <v>186</v>
      </c>
    </row>
    <row r="179" spans="23:36">
      <c r="W179" s="70"/>
      <c r="AJ179" s="345" t="s">
        <v>187</v>
      </c>
    </row>
    <row r="180" spans="23:36">
      <c r="W180" s="70"/>
      <c r="AJ180" s="345" t="s">
        <v>188</v>
      </c>
    </row>
    <row r="181" spans="23:36">
      <c r="W181" s="70"/>
      <c r="AJ181" s="345" t="s">
        <v>189</v>
      </c>
    </row>
    <row r="182" spans="23:36">
      <c r="W182" s="70"/>
      <c r="AJ182" s="345" t="s">
        <v>190</v>
      </c>
    </row>
    <row r="183" spans="23:36">
      <c r="W183" s="70"/>
      <c r="AJ183" s="345" t="s">
        <v>191</v>
      </c>
    </row>
    <row r="184" spans="23:36">
      <c r="W184" s="70"/>
      <c r="AJ184" s="345" t="s">
        <v>192</v>
      </c>
    </row>
    <row r="185" spans="23:36">
      <c r="W185" s="70"/>
      <c r="AJ185" s="345" t="s">
        <v>237</v>
      </c>
    </row>
    <row r="186" spans="23:36">
      <c r="W186" s="70"/>
      <c r="AJ186" s="345" t="s">
        <v>238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1" type="noConversion"/>
  <conditionalFormatting sqref="Q147 AF147 Q173 AF173 AF123 Q30 AF121 Q121 Q95 AF95 AF43 Q43 AF134 Q134 AF17:AF19 AF136 AF32 Q82 AF82 Q154:Q159 AF125 Q17:Q18 AF155:AF159 AF21 AF25 AF27 AF29 AF5:AF12 AF23 AF57:AF70 Q57:Q70 Q13">
    <cfRule type="cellIs" dxfId="11117" priority="3702" operator="lessThan">
      <formula>0</formula>
    </cfRule>
  </conditionalFormatting>
  <conditionalFormatting sqref="AH57 AH70 S43 S123 S95 AH95 S5:S9 AH5:AH9 S134 AH17:AH18 S17:S18 S32 S82 AH82 S57:S70">
    <cfRule type="cellIs" dxfId="11116" priority="3701" operator="lessThan">
      <formula>0.8</formula>
    </cfRule>
  </conditionalFormatting>
  <conditionalFormatting sqref="R147 R173 R30 R121 R95 R43 R134 R82 R154:R159 R17:R18 R57:R70 R13">
    <cfRule type="cellIs" dxfId="11115" priority="3699" operator="lessThan">
      <formula>0.8</formula>
    </cfRule>
    <cfRule type="cellIs" dxfId="11114" priority="3700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 R13">
    <cfRule type="cellIs" dxfId="11113" priority="3697" operator="greaterThan">
      <formula>1</formula>
    </cfRule>
    <cfRule type="cellIs" dxfId="11112" priority="3698" operator="lessThan">
      <formula>0.8</formula>
    </cfRule>
  </conditionalFormatting>
  <conditionalFormatting sqref="P147 P30 P121 P95 P43 P134 P82 P154:P159 P17:P18 P57:P70 P13">
    <cfRule type="cellIs" dxfId="11111" priority="3696" operator="greaterThan">
      <formula>0</formula>
    </cfRule>
  </conditionalFormatting>
  <conditionalFormatting sqref="S161">
    <cfRule type="cellIs" dxfId="11110" priority="3695" operator="lessThan">
      <formula>0.8</formula>
    </cfRule>
  </conditionalFormatting>
  <conditionalFormatting sqref="Q161:Q166">
    <cfRule type="cellIs" dxfId="11109" priority="3694" operator="lessThan">
      <formula>0</formula>
    </cfRule>
  </conditionalFormatting>
  <conditionalFormatting sqref="R161:R166">
    <cfRule type="cellIs" dxfId="11108" priority="3692" operator="lessThan">
      <formula>0.8</formula>
    </cfRule>
    <cfRule type="cellIs" dxfId="11107" priority="3693" operator="greaterThan">
      <formula>1</formula>
    </cfRule>
  </conditionalFormatting>
  <conditionalFormatting sqref="R161:R166">
    <cfRule type="cellIs" dxfId="11106" priority="3690" operator="greaterThan">
      <formula>1</formula>
    </cfRule>
    <cfRule type="cellIs" dxfId="11105" priority="3691" operator="lessThan">
      <formula>0.8</formula>
    </cfRule>
  </conditionalFormatting>
  <conditionalFormatting sqref="P161:P166">
    <cfRule type="cellIs" dxfId="11104" priority="3689" operator="greaterThan">
      <formula>0</formula>
    </cfRule>
  </conditionalFormatting>
  <conditionalFormatting sqref="Q169:Q172 AF161:AF172">
    <cfRule type="cellIs" dxfId="11103" priority="3688" operator="lessThan">
      <formula>0</formula>
    </cfRule>
  </conditionalFormatting>
  <conditionalFormatting sqref="R169:R172">
    <cfRule type="cellIs" dxfId="11102" priority="3686" operator="lessThan">
      <formula>0.8</formula>
    </cfRule>
    <cfRule type="cellIs" dxfId="11101" priority="3687" operator="greaterThan">
      <formula>1</formula>
    </cfRule>
  </conditionalFormatting>
  <conditionalFormatting sqref="R169:R172 AG161:AG172">
    <cfRule type="cellIs" dxfId="11100" priority="3684" operator="greaterThan">
      <formula>1</formula>
    </cfRule>
    <cfRule type="cellIs" dxfId="11099" priority="3685" operator="lessThan">
      <formula>0.8</formula>
    </cfRule>
  </conditionalFormatting>
  <conditionalFormatting sqref="P169:P172">
    <cfRule type="cellIs" dxfId="11098" priority="3683" operator="greaterThan">
      <formula>0</formula>
    </cfRule>
  </conditionalFormatting>
  <conditionalFormatting sqref="AF145">
    <cfRule type="cellIs" dxfId="11097" priority="3682" operator="lessThan">
      <formula>0</formula>
    </cfRule>
  </conditionalFormatting>
  <conditionalFormatting sqref="AG145">
    <cfRule type="cellIs" dxfId="11096" priority="3680" operator="greaterThan">
      <formula>1</formula>
    </cfRule>
    <cfRule type="cellIs" dxfId="11095" priority="3681" operator="lessThan">
      <formula>0.8</formula>
    </cfRule>
  </conditionalFormatting>
  <conditionalFormatting sqref="AF44:AF52">
    <cfRule type="cellIs" dxfId="11094" priority="3679" operator="lessThan">
      <formula>0</formula>
    </cfRule>
  </conditionalFormatting>
  <conditionalFormatting sqref="AG44:AG52">
    <cfRule type="cellIs" dxfId="11093" priority="3677" operator="greaterThan">
      <formula>1</formula>
    </cfRule>
    <cfRule type="cellIs" dxfId="11092" priority="3678" operator="lessThan">
      <formula>0.8</formula>
    </cfRule>
  </conditionalFormatting>
  <conditionalFormatting sqref="AF83:AF94">
    <cfRule type="cellIs" dxfId="11091" priority="3676" operator="lessThan">
      <formula>0</formula>
    </cfRule>
  </conditionalFormatting>
  <conditionalFormatting sqref="AH83">
    <cfRule type="cellIs" dxfId="11090" priority="3675" operator="lessThan">
      <formula>0.8</formula>
    </cfRule>
  </conditionalFormatting>
  <conditionalFormatting sqref="AG83:AG94">
    <cfRule type="cellIs" dxfId="11089" priority="3673" operator="greaterThan">
      <formula>1</formula>
    </cfRule>
    <cfRule type="cellIs" dxfId="11088" priority="3674" operator="lessThan">
      <formula>0.8</formula>
    </cfRule>
  </conditionalFormatting>
  <conditionalFormatting sqref="S83">
    <cfRule type="cellIs" dxfId="11087" priority="3672" operator="lessThan">
      <formula>0.8</formula>
    </cfRule>
  </conditionalFormatting>
  <conditionalFormatting sqref="AH84">
    <cfRule type="cellIs" dxfId="11086" priority="3671" operator="lessThan">
      <formula>0.8</formula>
    </cfRule>
  </conditionalFormatting>
  <conditionalFormatting sqref="S84">
    <cfRule type="cellIs" dxfId="11085" priority="3670" operator="lessThan">
      <formula>0.8</formula>
    </cfRule>
  </conditionalFormatting>
  <conditionalFormatting sqref="S90">
    <cfRule type="cellIs" dxfId="11084" priority="3669" operator="lessThan">
      <formula>0.8</formula>
    </cfRule>
  </conditionalFormatting>
  <conditionalFormatting sqref="AH90">
    <cfRule type="cellIs" dxfId="11083" priority="3668" operator="lessThan">
      <formula>0.8</formula>
    </cfRule>
  </conditionalFormatting>
  <conditionalFormatting sqref="AF122">
    <cfRule type="cellIs" dxfId="11082" priority="3667" operator="lessThan">
      <formula>0</formula>
    </cfRule>
  </conditionalFormatting>
  <conditionalFormatting sqref="S122">
    <cfRule type="cellIs" dxfId="11081" priority="3666" operator="lessThan">
      <formula>0.8</formula>
    </cfRule>
  </conditionalFormatting>
  <conditionalFormatting sqref="AG122">
    <cfRule type="cellIs" dxfId="11080" priority="3664" operator="greaterThan">
      <formula>1</formula>
    </cfRule>
    <cfRule type="cellIs" dxfId="11079" priority="3665" operator="lessThan">
      <formula>0.8</formula>
    </cfRule>
  </conditionalFormatting>
  <conditionalFormatting sqref="P162:P168">
    <cfRule type="cellIs" dxfId="11078" priority="3658" operator="greaterThan">
      <formula>0</formula>
    </cfRule>
  </conditionalFormatting>
  <conditionalFormatting sqref="R162:R168">
    <cfRule type="cellIs" dxfId="11077" priority="3661" operator="lessThan">
      <formula>0.8</formula>
    </cfRule>
    <cfRule type="cellIs" dxfId="11076" priority="3662" operator="greaterThan">
      <formula>1</formula>
    </cfRule>
  </conditionalFormatting>
  <conditionalFormatting sqref="R162:R168">
    <cfRule type="cellIs" dxfId="11075" priority="3659" operator="greaterThan">
      <formula>1</formula>
    </cfRule>
    <cfRule type="cellIs" dxfId="11074" priority="3660" operator="lessThan">
      <formula>0.8</formula>
    </cfRule>
  </conditionalFormatting>
  <conditionalFormatting sqref="Q162:Q168">
    <cfRule type="cellIs" dxfId="11073" priority="3663" operator="lessThan">
      <formula>0</formula>
    </cfRule>
  </conditionalFormatting>
  <conditionalFormatting sqref="P132:P133">
    <cfRule type="cellIs" dxfId="11072" priority="3651" operator="greaterThan">
      <formula>0</formula>
    </cfRule>
  </conditionalFormatting>
  <conditionalFormatting sqref="AF124 Q132:Q133 AF126:AF133">
    <cfRule type="cellIs" dxfId="11071" priority="3657" operator="lessThan">
      <formula>0</formula>
    </cfRule>
  </conditionalFormatting>
  <conditionalFormatting sqref="S124:S133">
    <cfRule type="cellIs" dxfId="11070" priority="3656" operator="lessThan">
      <formula>0.8</formula>
    </cfRule>
  </conditionalFormatting>
  <conditionalFormatting sqref="R132:R133">
    <cfRule type="cellIs" dxfId="11069" priority="3654" operator="lessThan">
      <formula>0.8</formula>
    </cfRule>
    <cfRule type="cellIs" dxfId="11068" priority="3655" operator="greaterThan">
      <formula>1</formula>
    </cfRule>
  </conditionalFormatting>
  <conditionalFormatting sqref="AG124 R132:R133 AG126:AG133">
    <cfRule type="cellIs" dxfId="11067" priority="3652" operator="greaterThan">
      <formula>1</formula>
    </cfRule>
    <cfRule type="cellIs" dxfId="11066" priority="3653" operator="lessThan">
      <formula>0.8</formula>
    </cfRule>
  </conditionalFormatting>
  <conditionalFormatting sqref="AF112 AF115">
    <cfRule type="cellIs" dxfId="11065" priority="3650" operator="lessThan">
      <formula>0</formula>
    </cfRule>
  </conditionalFormatting>
  <conditionalFormatting sqref="AG112 AG115">
    <cfRule type="cellIs" dxfId="11064" priority="3648" operator="greaterThan">
      <formula>1</formula>
    </cfRule>
    <cfRule type="cellIs" dxfId="11063" priority="3649" operator="lessThan">
      <formula>0.8</formula>
    </cfRule>
  </conditionalFormatting>
  <conditionalFormatting sqref="AF111 AF114 AF117">
    <cfRule type="cellIs" dxfId="11062" priority="3647" operator="lessThan">
      <formula>0</formula>
    </cfRule>
  </conditionalFormatting>
  <conditionalFormatting sqref="AH109">
    <cfRule type="cellIs" dxfId="11061" priority="3646" operator="lessThan">
      <formula>0.8</formula>
    </cfRule>
  </conditionalFormatting>
  <conditionalFormatting sqref="AG111 AG114 AG117">
    <cfRule type="cellIs" dxfId="11060" priority="3644" operator="greaterThan">
      <formula>1</formula>
    </cfRule>
    <cfRule type="cellIs" dxfId="11059" priority="3645" operator="lessThan">
      <formula>0.8</formula>
    </cfRule>
  </conditionalFormatting>
  <conditionalFormatting sqref="R160 AG160">
    <cfRule type="cellIs" dxfId="11058" priority="3639" operator="greaterThan">
      <formula>1</formula>
    </cfRule>
    <cfRule type="cellIs" dxfId="11057" priority="3640" operator="lessThan">
      <formula>0.8</formula>
    </cfRule>
  </conditionalFormatting>
  <conditionalFormatting sqref="R160">
    <cfRule type="cellIs" dxfId="11056" priority="3641" operator="lessThan">
      <formula>0.8</formula>
    </cfRule>
    <cfRule type="cellIs" dxfId="11055" priority="3642" operator="greaterThan">
      <formula>1</formula>
    </cfRule>
  </conditionalFormatting>
  <conditionalFormatting sqref="P160">
    <cfRule type="cellIs" dxfId="11054" priority="3638" operator="greaterThan">
      <formula>0</formula>
    </cfRule>
  </conditionalFormatting>
  <conditionalFormatting sqref="AH148">
    <cfRule type="cellIs" dxfId="11053" priority="3637" operator="lessThan">
      <formula>0.8</formula>
    </cfRule>
  </conditionalFormatting>
  <conditionalFormatting sqref="Q160 AF160">
    <cfRule type="cellIs" dxfId="11052" priority="3643" operator="lessThan">
      <formula>0</formula>
    </cfRule>
  </conditionalFormatting>
  <conditionalFormatting sqref="AF148:AF154">
    <cfRule type="cellIs" dxfId="11051" priority="3636" operator="lessThan">
      <formula>0</formula>
    </cfRule>
  </conditionalFormatting>
  <conditionalFormatting sqref="S148">
    <cfRule type="cellIs" dxfId="11050" priority="3635" operator="lessThan">
      <formula>0.8</formula>
    </cfRule>
  </conditionalFormatting>
  <conditionalFormatting sqref="AG148:AG154">
    <cfRule type="cellIs" dxfId="11049" priority="3633" operator="greaterThan">
      <formula>1</formula>
    </cfRule>
    <cfRule type="cellIs" dxfId="11048" priority="3634" operator="lessThan">
      <formula>0.8</formula>
    </cfRule>
  </conditionalFormatting>
  <conditionalFormatting sqref="S86">
    <cfRule type="cellIs" dxfId="11047" priority="3632" operator="lessThan">
      <formula>0.8</formula>
    </cfRule>
  </conditionalFormatting>
  <conditionalFormatting sqref="S88 AH88">
    <cfRule type="cellIs" dxfId="11046" priority="3627" operator="lessThan">
      <formula>0.8</formula>
    </cfRule>
  </conditionalFormatting>
  <conditionalFormatting sqref="AH86">
    <cfRule type="cellIs" dxfId="11045" priority="3631" operator="lessThan">
      <formula>0.8</formula>
    </cfRule>
  </conditionalFormatting>
  <conditionalFormatting sqref="S87">
    <cfRule type="cellIs" dxfId="11044" priority="3630" operator="lessThan">
      <formula>0.8</formula>
    </cfRule>
  </conditionalFormatting>
  <conditionalFormatting sqref="AH87">
    <cfRule type="cellIs" dxfId="11043" priority="3629" operator="lessThan">
      <formula>0.8</formula>
    </cfRule>
  </conditionalFormatting>
  <conditionalFormatting sqref="S89 AH89">
    <cfRule type="cellIs" dxfId="11042" priority="3628" operator="lessThan">
      <formula>0.8</formula>
    </cfRule>
  </conditionalFormatting>
  <conditionalFormatting sqref="AF31">
    <cfRule type="cellIs" dxfId="11041" priority="3626" operator="lessThan">
      <formula>0</formula>
    </cfRule>
  </conditionalFormatting>
  <conditionalFormatting sqref="AH31 S31">
    <cfRule type="cellIs" dxfId="11040" priority="3625" operator="lessThan">
      <formula>0.8</formula>
    </cfRule>
  </conditionalFormatting>
  <conditionalFormatting sqref="AG31">
    <cfRule type="cellIs" dxfId="11039" priority="3623" operator="greaterThan">
      <formula>1</formula>
    </cfRule>
    <cfRule type="cellIs" dxfId="11038" priority="3624" operator="lessThan">
      <formula>0.8</formula>
    </cfRule>
  </conditionalFormatting>
  <conditionalFormatting sqref="AF135">
    <cfRule type="cellIs" dxfId="11037" priority="3622" operator="lessThan">
      <formula>0</formula>
    </cfRule>
  </conditionalFormatting>
  <conditionalFormatting sqref="AH135 S135">
    <cfRule type="cellIs" dxfId="11036" priority="3621" operator="lessThan">
      <formula>0.8</formula>
    </cfRule>
  </conditionalFormatting>
  <conditionalFormatting sqref="AG135">
    <cfRule type="cellIs" dxfId="11035" priority="3619" operator="greaterThan">
      <formula>1</formula>
    </cfRule>
    <cfRule type="cellIs" dxfId="11034" priority="3620" operator="lessThan">
      <formula>0.8</formula>
    </cfRule>
  </conditionalFormatting>
  <conditionalFormatting sqref="AF110 AF113 AF116">
    <cfRule type="cellIs" dxfId="11033" priority="3618" operator="lessThan">
      <formula>0</formula>
    </cfRule>
  </conditionalFormatting>
  <conditionalFormatting sqref="AG110 AG113 AG116">
    <cfRule type="cellIs" dxfId="11032" priority="3616" operator="greaterThan">
      <formula>1</formula>
    </cfRule>
    <cfRule type="cellIs" dxfId="11031" priority="3617" operator="lessThan">
      <formula>0.8</formula>
    </cfRule>
  </conditionalFormatting>
  <conditionalFormatting sqref="AF108 Q108">
    <cfRule type="cellIs" dxfId="11030" priority="3615" operator="lessThan">
      <formula>0</formula>
    </cfRule>
  </conditionalFormatting>
  <conditionalFormatting sqref="R108">
    <cfRule type="cellIs" dxfId="11029" priority="3613" operator="lessThan">
      <formula>0.8</formula>
    </cfRule>
    <cfRule type="cellIs" dxfId="11028" priority="3614" operator="greaterThan">
      <formula>1</formula>
    </cfRule>
  </conditionalFormatting>
  <conditionalFormatting sqref="AG108 R108">
    <cfRule type="cellIs" dxfId="11027" priority="3611" operator="greaterThan">
      <formula>1</formula>
    </cfRule>
    <cfRule type="cellIs" dxfId="11026" priority="3612" operator="lessThan">
      <formula>0.8</formula>
    </cfRule>
  </conditionalFormatting>
  <conditionalFormatting sqref="P108">
    <cfRule type="cellIs" dxfId="11025" priority="3610" operator="greaterThan">
      <formula>0</formula>
    </cfRule>
  </conditionalFormatting>
  <conditionalFormatting sqref="AH97">
    <cfRule type="cellIs" dxfId="11024" priority="3605" operator="lessThan">
      <formula>0.8</formula>
    </cfRule>
  </conditionalFormatting>
  <conditionalFormatting sqref="AG96">
    <cfRule type="cellIs" dxfId="11023" priority="3607" operator="greaterThan">
      <formula>1</formula>
    </cfRule>
    <cfRule type="cellIs" dxfId="11022" priority="3608" operator="lessThan">
      <formula>0.8</formula>
    </cfRule>
  </conditionalFormatting>
  <conditionalFormatting sqref="AF96">
    <cfRule type="cellIs" dxfId="11021" priority="3609" operator="lessThan">
      <formula>0</formula>
    </cfRule>
  </conditionalFormatting>
  <conditionalFormatting sqref="AG97">
    <cfRule type="cellIs" dxfId="11020" priority="3603" operator="greaterThan">
      <formula>1</formula>
    </cfRule>
    <cfRule type="cellIs" dxfId="11019" priority="3604" operator="lessThan">
      <formula>0.8</formula>
    </cfRule>
  </conditionalFormatting>
  <conditionalFormatting sqref="AF97">
    <cfRule type="cellIs" dxfId="11018" priority="3606" operator="lessThan">
      <formula>0</formula>
    </cfRule>
  </conditionalFormatting>
  <conditionalFormatting sqref="AF71 AF73 AF75 AF77 AF79">
    <cfRule type="cellIs" dxfId="11017" priority="3600" operator="lessThan">
      <formula>0</formula>
    </cfRule>
  </conditionalFormatting>
  <conditionalFormatting sqref="S71 AH71">
    <cfRule type="cellIs" dxfId="11016" priority="3599" operator="lessThan">
      <formula>0.8</formula>
    </cfRule>
  </conditionalFormatting>
  <conditionalFormatting sqref="AG71 AG73 AG75 AG77 AG79">
    <cfRule type="cellIs" dxfId="11015" priority="3597" operator="greaterThan">
      <formula>1</formula>
    </cfRule>
    <cfRule type="cellIs" dxfId="11014" priority="3598" operator="lessThan">
      <formula>0.8</formula>
    </cfRule>
  </conditionalFormatting>
  <conditionalFormatting sqref="AF72 AF74 AF76 AF78 AF80">
    <cfRule type="cellIs" dxfId="11013" priority="3596" operator="lessThan">
      <formula>0</formula>
    </cfRule>
  </conditionalFormatting>
  <conditionalFormatting sqref="S72 AH72">
    <cfRule type="cellIs" dxfId="11012" priority="3595" operator="lessThan">
      <formula>0.8</formula>
    </cfRule>
  </conditionalFormatting>
  <conditionalFormatting sqref="S11">
    <cfRule type="cellIs" dxfId="11011" priority="3602" operator="lessThan">
      <formula>0.8</formula>
    </cfRule>
  </conditionalFormatting>
  <conditionalFormatting sqref="S10">
    <cfRule type="cellIs" dxfId="11010" priority="3601" operator="lessThan">
      <formula>0.8</formula>
    </cfRule>
  </conditionalFormatting>
  <conditionalFormatting sqref="AG72 AG74 AG76 AG78 AG80">
    <cfRule type="cellIs" dxfId="11009" priority="3593" operator="greaterThan">
      <formula>1</formula>
    </cfRule>
    <cfRule type="cellIs" dxfId="11008" priority="3594" operator="lessThan">
      <formula>0.8</formula>
    </cfRule>
  </conditionalFormatting>
  <conditionalFormatting sqref="AF13:AF16 Q15:Q16">
    <cfRule type="cellIs" dxfId="11007" priority="3592" operator="lessThan">
      <formula>0</formula>
    </cfRule>
  </conditionalFormatting>
  <conditionalFormatting sqref="R15:R16">
    <cfRule type="cellIs" dxfId="11006" priority="3590" operator="lessThan">
      <formula>0.8</formula>
    </cfRule>
    <cfRule type="cellIs" dxfId="11005" priority="3591" operator="greaterThan">
      <formula>1</formula>
    </cfRule>
  </conditionalFormatting>
  <conditionalFormatting sqref="AG12:AG16 R15:R16">
    <cfRule type="cellIs" dxfId="11004" priority="3588" operator="greaterThan">
      <formula>1</formula>
    </cfRule>
    <cfRule type="cellIs" dxfId="11003" priority="3589" operator="lessThan">
      <formula>0.8</formula>
    </cfRule>
  </conditionalFormatting>
  <conditionalFormatting sqref="P15:P16">
    <cfRule type="cellIs" dxfId="11002" priority="3587" operator="greaterThan">
      <formula>0</formula>
    </cfRule>
  </conditionalFormatting>
  <conditionalFormatting sqref="AF98 AF100 AF102 AF104">
    <cfRule type="cellIs" dxfId="11001" priority="3586" operator="lessThan">
      <formula>0</formula>
    </cfRule>
  </conditionalFormatting>
  <conditionalFormatting sqref="AH98">
    <cfRule type="cellIs" dxfId="11000" priority="3585" operator="lessThan">
      <formula>0.8</formula>
    </cfRule>
  </conditionalFormatting>
  <conditionalFormatting sqref="AG98 AG100 AG102 AG104">
    <cfRule type="cellIs" dxfId="10999" priority="3583" operator="greaterThan">
      <formula>1</formula>
    </cfRule>
    <cfRule type="cellIs" dxfId="10998" priority="3584" operator="lessThan">
      <formula>0.8</formula>
    </cfRule>
  </conditionalFormatting>
  <conditionalFormatting sqref="AF20 AF22 AF24 AF26 AF28">
    <cfRule type="cellIs" dxfId="10997" priority="3582" operator="lessThan">
      <formula>0</formula>
    </cfRule>
  </conditionalFormatting>
  <conditionalFormatting sqref="AG20 AG22 AG24 AG26 AG28">
    <cfRule type="cellIs" dxfId="10996" priority="3580" operator="greaterThan">
      <formula>1</formula>
    </cfRule>
    <cfRule type="cellIs" dxfId="10995" priority="3581" operator="lessThan">
      <formula>0.8</formula>
    </cfRule>
  </conditionalFormatting>
  <conditionalFormatting sqref="AF33">
    <cfRule type="cellIs" dxfId="10994" priority="3579" operator="lessThan">
      <formula>0</formula>
    </cfRule>
  </conditionalFormatting>
  <conditionalFormatting sqref="AG33">
    <cfRule type="cellIs" dxfId="10993" priority="3577" operator="greaterThan">
      <formula>1</formula>
    </cfRule>
    <cfRule type="cellIs" dxfId="10992" priority="3578" operator="lessThan">
      <formula>0.8</formula>
    </cfRule>
  </conditionalFormatting>
  <conditionalFormatting sqref="P41:P42">
    <cfRule type="cellIs" dxfId="10991" priority="3571" operator="greaterThan">
      <formula>0</formula>
    </cfRule>
  </conditionalFormatting>
  <conditionalFormatting sqref="Q41:Q42 AF34:AF42">
    <cfRule type="cellIs" dxfId="10990" priority="3576" operator="lessThan">
      <formula>0</formula>
    </cfRule>
  </conditionalFormatting>
  <conditionalFormatting sqref="R41:R42">
    <cfRule type="cellIs" dxfId="10989" priority="3574" operator="lessThan">
      <formula>0.8</formula>
    </cfRule>
    <cfRule type="cellIs" dxfId="10988" priority="3575" operator="greaterThan">
      <formula>1</formula>
    </cfRule>
  </conditionalFormatting>
  <conditionalFormatting sqref="R41:R42 AG34:AG42">
    <cfRule type="cellIs" dxfId="10987" priority="3572" operator="greaterThan">
      <formula>1</formula>
    </cfRule>
    <cfRule type="cellIs" dxfId="10986" priority="3573" operator="lessThan">
      <formula>0.8</formula>
    </cfRule>
  </conditionalFormatting>
  <conditionalFormatting sqref="AF137:AF144">
    <cfRule type="cellIs" dxfId="10985" priority="3570" operator="lessThan">
      <formula>0</formula>
    </cfRule>
  </conditionalFormatting>
  <conditionalFormatting sqref="AH137 S137">
    <cfRule type="cellIs" dxfId="10984" priority="3569" operator="lessThan">
      <formula>0.8</formula>
    </cfRule>
  </conditionalFormatting>
  <conditionalFormatting sqref="AG137:AG144">
    <cfRule type="cellIs" dxfId="10983" priority="3567" operator="greaterThan">
      <formula>1</formula>
    </cfRule>
    <cfRule type="cellIs" dxfId="10982" priority="3568" operator="lessThan">
      <formula>0.8</formula>
    </cfRule>
  </conditionalFormatting>
  <conditionalFormatting sqref="AF53:AF55">
    <cfRule type="cellIs" dxfId="10981" priority="3566" operator="lessThan">
      <formula>0</formula>
    </cfRule>
  </conditionalFormatting>
  <conditionalFormatting sqref="AG53:AG55">
    <cfRule type="cellIs" dxfId="10980" priority="3564" operator="greaterThan">
      <formula>1</formula>
    </cfRule>
    <cfRule type="cellIs" dxfId="10979" priority="3565" operator="lessThan">
      <formula>0.8</formula>
    </cfRule>
  </conditionalFormatting>
  <conditionalFormatting sqref="AF56 Q56">
    <cfRule type="cellIs" dxfId="10978" priority="3563" operator="lessThan">
      <formula>0</formula>
    </cfRule>
  </conditionalFormatting>
  <conditionalFormatting sqref="R56">
    <cfRule type="cellIs" dxfId="10977" priority="3561" operator="lessThan">
      <formula>0.8</formula>
    </cfRule>
    <cfRule type="cellIs" dxfId="10976" priority="3562" operator="greaterThan">
      <formula>1</formula>
    </cfRule>
  </conditionalFormatting>
  <conditionalFormatting sqref="AG56 R56">
    <cfRule type="cellIs" dxfId="10975" priority="3559" operator="greaterThan">
      <formula>1</formula>
    </cfRule>
    <cfRule type="cellIs" dxfId="10974" priority="3560" operator="lessThan">
      <formula>0.8</formula>
    </cfRule>
  </conditionalFormatting>
  <conditionalFormatting sqref="P56">
    <cfRule type="cellIs" dxfId="10973" priority="3558" operator="greaterThan">
      <formula>0</formula>
    </cfRule>
  </conditionalFormatting>
  <conditionalFormatting sqref="P52:P55">
    <cfRule type="cellIs" dxfId="10972" priority="3552" operator="greaterThan">
      <formula>0</formula>
    </cfRule>
  </conditionalFormatting>
  <conditionalFormatting sqref="Q52:Q55">
    <cfRule type="cellIs" dxfId="10971" priority="3557" operator="lessThan">
      <formula>0</formula>
    </cfRule>
  </conditionalFormatting>
  <conditionalFormatting sqref="R52:R55">
    <cfRule type="cellIs" dxfId="10970" priority="3555" operator="lessThan">
      <formula>0.8</formula>
    </cfRule>
    <cfRule type="cellIs" dxfId="10969" priority="3556" operator="greaterThan">
      <formula>1</formula>
    </cfRule>
  </conditionalFormatting>
  <conditionalFormatting sqref="R52:R55">
    <cfRule type="cellIs" dxfId="10968" priority="3553" operator="greaterThan">
      <formula>1</formula>
    </cfRule>
    <cfRule type="cellIs" dxfId="10967" priority="3554" operator="lessThan">
      <formula>0.8</formula>
    </cfRule>
  </conditionalFormatting>
  <conditionalFormatting sqref="P80:P81">
    <cfRule type="cellIs" dxfId="10966" priority="3546" operator="greaterThan">
      <formula>0</formula>
    </cfRule>
  </conditionalFormatting>
  <conditionalFormatting sqref="AF81 Q80:Q81">
    <cfRule type="cellIs" dxfId="10965" priority="3551" operator="lessThan">
      <formula>0</formula>
    </cfRule>
  </conditionalFormatting>
  <conditionalFormatting sqref="R80:R81">
    <cfRule type="cellIs" dxfId="10964" priority="3549" operator="lessThan">
      <formula>0.8</formula>
    </cfRule>
    <cfRule type="cellIs" dxfId="10963" priority="3550" operator="greaterThan">
      <formula>1</formula>
    </cfRule>
  </conditionalFormatting>
  <conditionalFormatting sqref="AG81 R80:R81">
    <cfRule type="cellIs" dxfId="10962" priority="3547" operator="greaterThan">
      <formula>1</formula>
    </cfRule>
    <cfRule type="cellIs" dxfId="10961" priority="3548" operator="lessThan">
      <formula>0.8</formula>
    </cfRule>
  </conditionalFormatting>
  <conditionalFormatting sqref="AH85">
    <cfRule type="cellIs" dxfId="10960" priority="3545" operator="lessThan">
      <formula>0.8</formula>
    </cfRule>
  </conditionalFormatting>
  <conditionalFormatting sqref="S85">
    <cfRule type="cellIs" dxfId="10959" priority="3544" operator="lessThan">
      <formula>0.8</formula>
    </cfRule>
  </conditionalFormatting>
  <conditionalFormatting sqref="AF99 AF101 AF103">
    <cfRule type="cellIs" dxfId="10958" priority="3543" operator="lessThan">
      <formula>0</formula>
    </cfRule>
  </conditionalFormatting>
  <conditionalFormatting sqref="AG99 AG101 AG103">
    <cfRule type="cellIs" dxfId="10957" priority="3541" operator="greaterThan">
      <formula>1</formula>
    </cfRule>
    <cfRule type="cellIs" dxfId="10956" priority="3542" operator="lessThan">
      <formula>0.8</formula>
    </cfRule>
  </conditionalFormatting>
  <conditionalFormatting sqref="AF105:AF107">
    <cfRule type="cellIs" dxfId="10955" priority="3540" operator="lessThan">
      <formula>0</formula>
    </cfRule>
  </conditionalFormatting>
  <conditionalFormatting sqref="AH100:AH107">
    <cfRule type="cellIs" dxfId="10954" priority="3539" operator="lessThan">
      <formula>0.8</formula>
    </cfRule>
  </conditionalFormatting>
  <conditionalFormatting sqref="AG105:AG107">
    <cfRule type="cellIs" dxfId="10953" priority="3537" operator="greaterThan">
      <formula>1</formula>
    </cfRule>
    <cfRule type="cellIs" dxfId="10952" priority="3538" operator="lessThan">
      <formula>0.8</formula>
    </cfRule>
  </conditionalFormatting>
  <conditionalFormatting sqref="P106:P107">
    <cfRule type="cellIs" dxfId="10951" priority="3531" operator="greaterThan">
      <formula>0</formula>
    </cfRule>
  </conditionalFormatting>
  <conditionalFormatting sqref="Q106:Q107">
    <cfRule type="cellIs" dxfId="10950" priority="3536" operator="lessThan">
      <formula>0</formula>
    </cfRule>
  </conditionalFormatting>
  <conditionalFormatting sqref="R106:R107">
    <cfRule type="cellIs" dxfId="10949" priority="3534" operator="lessThan">
      <formula>0.8</formula>
    </cfRule>
    <cfRule type="cellIs" dxfId="10948" priority="3535" operator="greaterThan">
      <formula>1</formula>
    </cfRule>
  </conditionalFormatting>
  <conditionalFormatting sqref="R106:R107">
    <cfRule type="cellIs" dxfId="10947" priority="3532" operator="greaterThan">
      <formula>1</formula>
    </cfRule>
    <cfRule type="cellIs" dxfId="10946" priority="3533" operator="lessThan">
      <formula>0.8</formula>
    </cfRule>
  </conditionalFormatting>
  <conditionalFormatting sqref="AF109">
    <cfRule type="cellIs" dxfId="10945" priority="3530" operator="lessThan">
      <formula>0</formula>
    </cfRule>
  </conditionalFormatting>
  <conditionalFormatting sqref="S109">
    <cfRule type="cellIs" dxfId="10944" priority="3529" operator="lessThan">
      <formula>0.8</formula>
    </cfRule>
  </conditionalFormatting>
  <conditionalFormatting sqref="AG109">
    <cfRule type="cellIs" dxfId="10943" priority="3527" operator="greaterThan">
      <formula>1</formula>
    </cfRule>
    <cfRule type="cellIs" dxfId="10942" priority="3528" operator="lessThan">
      <formula>0.8</formula>
    </cfRule>
  </conditionalFormatting>
  <conditionalFormatting sqref="S150">
    <cfRule type="cellIs" dxfId="10941" priority="3526" operator="lessThan">
      <formula>0.8</formula>
    </cfRule>
  </conditionalFormatting>
  <conditionalFormatting sqref="AH150">
    <cfRule type="cellIs" dxfId="10940" priority="3525" operator="lessThan">
      <formula>0.8</formula>
    </cfRule>
  </conditionalFormatting>
  <conditionalFormatting sqref="S149">
    <cfRule type="cellIs" dxfId="10939" priority="3524" operator="lessThan">
      <formula>0.8</formula>
    </cfRule>
  </conditionalFormatting>
  <conditionalFormatting sqref="Q26:Q29">
    <cfRule type="cellIs" dxfId="10938" priority="3523" operator="lessThan">
      <formula>0</formula>
    </cfRule>
  </conditionalFormatting>
  <conditionalFormatting sqref="S21:S29 AH21:AH29">
    <cfRule type="cellIs" dxfId="10937" priority="3522" operator="lessThan">
      <formula>0.8</formula>
    </cfRule>
  </conditionalFormatting>
  <conditionalFormatting sqref="R26:R29">
    <cfRule type="cellIs" dxfId="10936" priority="3520" operator="lessThan">
      <formula>0.8</formula>
    </cfRule>
    <cfRule type="cellIs" dxfId="10935" priority="3521" operator="greaterThan">
      <formula>1</formula>
    </cfRule>
  </conditionalFormatting>
  <conditionalFormatting sqref="R26:R29">
    <cfRule type="cellIs" dxfId="10934" priority="3518" operator="greaterThan">
      <formula>1</formula>
    </cfRule>
    <cfRule type="cellIs" dxfId="10933" priority="3519" operator="lessThan">
      <formula>0.8</formula>
    </cfRule>
  </conditionalFormatting>
  <conditionalFormatting sqref="P26:P29">
    <cfRule type="cellIs" dxfId="10932" priority="3517" operator="greaterThan">
      <formula>0</formula>
    </cfRule>
  </conditionalFormatting>
  <conditionalFormatting sqref="AH91 S91">
    <cfRule type="cellIs" dxfId="10931" priority="3516" operator="lessThan">
      <formula>0.8</formula>
    </cfRule>
  </conditionalFormatting>
  <conditionalFormatting sqref="P92:P94">
    <cfRule type="cellIs" dxfId="10930" priority="3510" operator="greaterThan">
      <formula>0</formula>
    </cfRule>
  </conditionalFormatting>
  <conditionalFormatting sqref="Q92:Q94">
    <cfRule type="cellIs" dxfId="10929" priority="3515" operator="lessThan">
      <formula>0</formula>
    </cfRule>
  </conditionalFormatting>
  <conditionalFormatting sqref="R92:R94">
    <cfRule type="cellIs" dxfId="10928" priority="3513" operator="lessThan">
      <formula>0.8</formula>
    </cfRule>
    <cfRule type="cellIs" dxfId="10927" priority="3514" operator="greaterThan">
      <formula>1</formula>
    </cfRule>
  </conditionalFormatting>
  <conditionalFormatting sqref="R92:R94">
    <cfRule type="cellIs" dxfId="10926" priority="3511" operator="greaterThan">
      <formula>1</formula>
    </cfRule>
    <cfRule type="cellIs" dxfId="10925" priority="3512" operator="lessThan">
      <formula>0.8</formula>
    </cfRule>
  </conditionalFormatting>
  <conditionalFormatting sqref="AF146 Q144:Q146">
    <cfRule type="cellIs" dxfId="10924" priority="3509" operator="lessThan">
      <formula>0</formula>
    </cfRule>
  </conditionalFormatting>
  <conditionalFormatting sqref="AH139:AH146 S139:S146">
    <cfRule type="cellIs" dxfId="10923" priority="3508" operator="lessThan">
      <formula>0.8</formula>
    </cfRule>
  </conditionalFormatting>
  <conditionalFormatting sqref="R144:R146">
    <cfRule type="cellIs" dxfId="10922" priority="3506" operator="lessThan">
      <formula>0.8</formula>
    </cfRule>
    <cfRule type="cellIs" dxfId="10921" priority="3507" operator="greaterThan">
      <formula>1</formula>
    </cfRule>
  </conditionalFormatting>
  <conditionalFormatting sqref="AG146 R144:R146">
    <cfRule type="cellIs" dxfId="10920" priority="3504" operator="greaterThan">
      <formula>1</formula>
    </cfRule>
    <cfRule type="cellIs" dxfId="10919" priority="3505" operator="lessThan">
      <formula>0.8</formula>
    </cfRule>
  </conditionalFormatting>
  <conditionalFormatting sqref="P144:P146">
    <cfRule type="cellIs" dxfId="10918" priority="3503" operator="greaterThan">
      <formula>0</formula>
    </cfRule>
  </conditionalFormatting>
  <conditionalFormatting sqref="Q119:Q120">
    <cfRule type="cellIs" dxfId="10917" priority="3502" operator="lessThan">
      <formula>0</formula>
    </cfRule>
  </conditionalFormatting>
  <conditionalFormatting sqref="R119:R120">
    <cfRule type="cellIs" dxfId="10916" priority="3500" operator="lessThan">
      <formula>0.8</formula>
    </cfRule>
    <cfRule type="cellIs" dxfId="10915" priority="3501" operator="greaterThan">
      <formula>1</formula>
    </cfRule>
  </conditionalFormatting>
  <conditionalFormatting sqref="R119:R120">
    <cfRule type="cellIs" dxfId="10914" priority="3498" operator="greaterThan">
      <formula>1</formula>
    </cfRule>
    <cfRule type="cellIs" dxfId="10913" priority="3499" operator="lessThan">
      <formula>0.8</formula>
    </cfRule>
  </conditionalFormatting>
  <conditionalFormatting sqref="P119:P120">
    <cfRule type="cellIs" dxfId="10912" priority="3497" operator="greaterThan">
      <formula>0</formula>
    </cfRule>
  </conditionalFormatting>
  <conditionalFormatting sqref="AF118:AF120">
    <cfRule type="cellIs" dxfId="10911" priority="3496" operator="lessThan">
      <formula>0</formula>
    </cfRule>
  </conditionalFormatting>
  <conditionalFormatting sqref="AG118:AG120">
    <cfRule type="cellIs" dxfId="10910" priority="3494" operator="greaterThan">
      <formula>1</formula>
    </cfRule>
    <cfRule type="cellIs" dxfId="10909" priority="3495" operator="lessThan">
      <formula>0.8</formula>
    </cfRule>
  </conditionalFormatting>
  <conditionalFormatting sqref="S44:S56">
    <cfRule type="cellIs" dxfId="10908" priority="3493" operator="lessThan">
      <formula>0.8</formula>
    </cfRule>
  </conditionalFormatting>
  <conditionalFormatting sqref="S108">
    <cfRule type="cellIs" dxfId="10907" priority="3492" operator="lessThan">
      <formula>0.8</formula>
    </cfRule>
  </conditionalFormatting>
  <conditionalFormatting sqref="S96">
    <cfRule type="cellIs" dxfId="10906" priority="3491" operator="lessThan">
      <formula>0.8</formula>
    </cfRule>
  </conditionalFormatting>
  <conditionalFormatting sqref="S97">
    <cfRule type="cellIs" dxfId="10905" priority="3490" operator="lessThan">
      <formula>0.8</formula>
    </cfRule>
  </conditionalFormatting>
  <conditionalFormatting sqref="S103">
    <cfRule type="cellIs" dxfId="10904" priority="3489" operator="lessThan">
      <formula>0.8</formula>
    </cfRule>
  </conditionalFormatting>
  <conditionalFormatting sqref="S99">
    <cfRule type="cellIs" dxfId="10903" priority="3488" operator="lessThan">
      <formula>0.8</formula>
    </cfRule>
  </conditionalFormatting>
  <conditionalFormatting sqref="S101">
    <cfRule type="cellIs" dxfId="10902" priority="3485" operator="lessThan">
      <formula>0.8</formula>
    </cfRule>
  </conditionalFormatting>
  <conditionalFormatting sqref="S100">
    <cfRule type="cellIs" dxfId="10901" priority="3487" operator="lessThan">
      <formula>0.8</formula>
    </cfRule>
  </conditionalFormatting>
  <conditionalFormatting sqref="S102">
    <cfRule type="cellIs" dxfId="10900" priority="3486" operator="lessThan">
      <formula>0.8</formula>
    </cfRule>
  </conditionalFormatting>
  <conditionalFormatting sqref="S98">
    <cfRule type="cellIs" dxfId="10899" priority="3484" operator="lessThan">
      <formula>0.8</formula>
    </cfRule>
  </conditionalFormatting>
  <conditionalFormatting sqref="S104">
    <cfRule type="cellIs" dxfId="10898" priority="3483" operator="lessThan">
      <formula>0.8</formula>
    </cfRule>
  </conditionalFormatting>
  <conditionalFormatting sqref="P118">
    <cfRule type="cellIs" dxfId="10897" priority="3477" operator="greaterThan">
      <formula>0</formula>
    </cfRule>
  </conditionalFormatting>
  <conditionalFormatting sqref="Q118">
    <cfRule type="cellIs" dxfId="10896" priority="3482" operator="lessThan">
      <formula>0</formula>
    </cfRule>
  </conditionalFormatting>
  <conditionalFormatting sqref="R118">
    <cfRule type="cellIs" dxfId="10895" priority="3480" operator="lessThan">
      <formula>0.8</formula>
    </cfRule>
    <cfRule type="cellIs" dxfId="10894" priority="3481" operator="greaterThan">
      <formula>1</formula>
    </cfRule>
  </conditionalFormatting>
  <conditionalFormatting sqref="R118">
    <cfRule type="cellIs" dxfId="10893" priority="3478" operator="greaterThan">
      <formula>1</formula>
    </cfRule>
    <cfRule type="cellIs" dxfId="10892" priority="3479" operator="lessThan">
      <formula>0.8</formula>
    </cfRule>
  </conditionalFormatting>
  <conditionalFormatting sqref="Q162:Q166">
    <cfRule type="cellIs" dxfId="10891" priority="3476" operator="lessThan">
      <formula>0</formula>
    </cfRule>
  </conditionalFormatting>
  <conditionalFormatting sqref="R162:R166">
    <cfRule type="cellIs" dxfId="10890" priority="3474" operator="lessThan">
      <formula>0.8</formula>
    </cfRule>
    <cfRule type="cellIs" dxfId="10889" priority="3475" operator="greaterThan">
      <formula>1</formula>
    </cfRule>
  </conditionalFormatting>
  <conditionalFormatting sqref="R162:R166">
    <cfRule type="cellIs" dxfId="10888" priority="3472" operator="greaterThan">
      <formula>1</formula>
    </cfRule>
    <cfRule type="cellIs" dxfId="10887" priority="3473" operator="lessThan">
      <formula>0.8</formula>
    </cfRule>
  </conditionalFormatting>
  <conditionalFormatting sqref="P162:P166">
    <cfRule type="cellIs" dxfId="10886" priority="3471" operator="greaterThan">
      <formula>0</formula>
    </cfRule>
  </conditionalFormatting>
  <conditionalFormatting sqref="P167:P168">
    <cfRule type="cellIs" dxfId="10885" priority="3465" operator="greaterThan">
      <formula>0</formula>
    </cfRule>
  </conditionalFormatting>
  <conditionalFormatting sqref="R167:R168">
    <cfRule type="cellIs" dxfId="10884" priority="3468" operator="lessThan">
      <formula>0.8</formula>
    </cfRule>
    <cfRule type="cellIs" dxfId="10883" priority="3469" operator="greaterThan">
      <formula>1</formula>
    </cfRule>
  </conditionalFormatting>
  <conditionalFormatting sqref="R167:R168">
    <cfRule type="cellIs" dxfId="10882" priority="3466" operator="greaterThan">
      <formula>1</formula>
    </cfRule>
    <cfRule type="cellIs" dxfId="10881" priority="3467" operator="lessThan">
      <formula>0.8</formula>
    </cfRule>
  </conditionalFormatting>
  <conditionalFormatting sqref="Q167:Q168">
    <cfRule type="cellIs" dxfId="10880" priority="3470" operator="lessThan">
      <formula>0</formula>
    </cfRule>
  </conditionalFormatting>
  <conditionalFormatting sqref="Q117">
    <cfRule type="cellIs" dxfId="10879" priority="3464" operator="lessThan">
      <formula>0</formula>
    </cfRule>
  </conditionalFormatting>
  <conditionalFormatting sqref="R117">
    <cfRule type="cellIs" dxfId="10878" priority="3462" operator="lessThan">
      <formula>0.8</formula>
    </cfRule>
    <cfRule type="cellIs" dxfId="10877" priority="3463" operator="greaterThan">
      <formula>1</formula>
    </cfRule>
  </conditionalFormatting>
  <conditionalFormatting sqref="R117">
    <cfRule type="cellIs" dxfId="10876" priority="3460" operator="greaterThan">
      <formula>1</formula>
    </cfRule>
    <cfRule type="cellIs" dxfId="10875" priority="3461" operator="lessThan">
      <formula>0.8</formula>
    </cfRule>
  </conditionalFormatting>
  <conditionalFormatting sqref="P117">
    <cfRule type="cellIs" dxfId="10874" priority="3459" operator="greaterThan">
      <formula>0</formula>
    </cfRule>
  </conditionalFormatting>
  <conditionalFormatting sqref="Q117">
    <cfRule type="cellIs" dxfId="10873" priority="3458" operator="lessThan">
      <formula>0</formula>
    </cfRule>
  </conditionalFormatting>
  <conditionalFormatting sqref="R117">
    <cfRule type="cellIs" dxfId="10872" priority="3456" operator="lessThan">
      <formula>0.8</formula>
    </cfRule>
    <cfRule type="cellIs" dxfId="10871" priority="3457" operator="greaterThan">
      <formula>1</formula>
    </cfRule>
  </conditionalFormatting>
  <conditionalFormatting sqref="R117">
    <cfRule type="cellIs" dxfId="10870" priority="3454" operator="greaterThan">
      <formula>1</formula>
    </cfRule>
    <cfRule type="cellIs" dxfId="10869" priority="3455" operator="lessThan">
      <formula>0.8</formula>
    </cfRule>
  </conditionalFormatting>
  <conditionalFormatting sqref="P117">
    <cfRule type="cellIs" dxfId="10868" priority="3453" operator="greaterThan">
      <formula>0</formula>
    </cfRule>
  </conditionalFormatting>
  <conditionalFormatting sqref="P117">
    <cfRule type="cellIs" dxfId="10867" priority="3447" operator="greaterThan">
      <formula>0</formula>
    </cfRule>
  </conditionalFormatting>
  <conditionalFormatting sqref="Q117">
    <cfRule type="cellIs" dxfId="10866" priority="3452" operator="lessThan">
      <formula>0</formula>
    </cfRule>
  </conditionalFormatting>
  <conditionalFormatting sqref="R117">
    <cfRule type="cellIs" dxfId="10865" priority="3450" operator="lessThan">
      <formula>0.8</formula>
    </cfRule>
    <cfRule type="cellIs" dxfId="10864" priority="3451" operator="greaterThan">
      <formula>1</formula>
    </cfRule>
  </conditionalFormatting>
  <conditionalFormatting sqref="R117">
    <cfRule type="cellIs" dxfId="10863" priority="3448" operator="greaterThan">
      <formula>1</formula>
    </cfRule>
    <cfRule type="cellIs" dxfId="10862" priority="3449" operator="lessThan">
      <formula>0.8</formula>
    </cfRule>
  </conditionalFormatting>
  <conditionalFormatting sqref="P117">
    <cfRule type="cellIs" dxfId="10861" priority="3441" operator="greaterThan">
      <formula>0</formula>
    </cfRule>
  </conditionalFormatting>
  <conditionalFormatting sqref="Q117">
    <cfRule type="cellIs" dxfId="10860" priority="3446" operator="lessThan">
      <formula>0</formula>
    </cfRule>
  </conditionalFormatting>
  <conditionalFormatting sqref="R117">
    <cfRule type="cellIs" dxfId="10859" priority="3444" operator="lessThan">
      <formula>0.8</formula>
    </cfRule>
    <cfRule type="cellIs" dxfId="10858" priority="3445" operator="greaterThan">
      <formula>1</formula>
    </cfRule>
  </conditionalFormatting>
  <conditionalFormatting sqref="R117">
    <cfRule type="cellIs" dxfId="10857" priority="3442" operator="greaterThan">
      <formula>1</formula>
    </cfRule>
    <cfRule type="cellIs" dxfId="10856" priority="3443" operator="lessThan">
      <formula>0.8</formula>
    </cfRule>
  </conditionalFormatting>
  <conditionalFormatting sqref="P117">
    <cfRule type="cellIs" dxfId="10855" priority="3435" operator="greaterThan">
      <formula>0</formula>
    </cfRule>
  </conditionalFormatting>
  <conditionalFormatting sqref="Q117">
    <cfRule type="cellIs" dxfId="10854" priority="3440" operator="lessThan">
      <formula>0</formula>
    </cfRule>
  </conditionalFormatting>
  <conditionalFormatting sqref="R117">
    <cfRule type="cellIs" dxfId="10853" priority="3438" operator="lessThan">
      <formula>0.8</formula>
    </cfRule>
    <cfRule type="cellIs" dxfId="10852" priority="3439" operator="greaterThan">
      <formula>1</formula>
    </cfRule>
  </conditionalFormatting>
  <conditionalFormatting sqref="R117">
    <cfRule type="cellIs" dxfId="10851" priority="3436" operator="greaterThan">
      <formula>1</formula>
    </cfRule>
    <cfRule type="cellIs" dxfId="10850" priority="3437" operator="lessThan">
      <formula>0.8</formula>
    </cfRule>
  </conditionalFormatting>
  <conditionalFormatting sqref="Q117">
    <cfRule type="cellIs" dxfId="10849" priority="3434" operator="lessThan">
      <formula>0</formula>
    </cfRule>
  </conditionalFormatting>
  <conditionalFormatting sqref="R117">
    <cfRule type="cellIs" dxfId="10848" priority="3432" operator="lessThan">
      <formula>0.8</formula>
    </cfRule>
    <cfRule type="cellIs" dxfId="10847" priority="3433" operator="greaterThan">
      <formula>1</formula>
    </cfRule>
  </conditionalFormatting>
  <conditionalFormatting sqref="R117">
    <cfRule type="cellIs" dxfId="10846" priority="3430" operator="greaterThan">
      <formula>1</formula>
    </cfRule>
    <cfRule type="cellIs" dxfId="10845" priority="3431" operator="lessThan">
      <formula>0.8</formula>
    </cfRule>
  </conditionalFormatting>
  <conditionalFormatting sqref="P117">
    <cfRule type="cellIs" dxfId="10844" priority="3429" operator="greaterThan">
      <formula>0</formula>
    </cfRule>
  </conditionalFormatting>
  <conditionalFormatting sqref="P117">
    <cfRule type="cellIs" dxfId="10843" priority="3423" operator="greaterThan">
      <formula>0</formula>
    </cfRule>
  </conditionalFormatting>
  <conditionalFormatting sqref="Q117">
    <cfRule type="cellIs" dxfId="10842" priority="3428" operator="lessThan">
      <formula>0</formula>
    </cfRule>
  </conditionalFormatting>
  <conditionalFormatting sqref="R117">
    <cfRule type="cellIs" dxfId="10841" priority="3426" operator="lessThan">
      <formula>0.8</formula>
    </cfRule>
    <cfRule type="cellIs" dxfId="10840" priority="3427" operator="greaterThan">
      <formula>1</formula>
    </cfRule>
  </conditionalFormatting>
  <conditionalFormatting sqref="R117">
    <cfRule type="cellIs" dxfId="10839" priority="3424" operator="greaterThan">
      <formula>1</formula>
    </cfRule>
    <cfRule type="cellIs" dxfId="10838" priority="3425" operator="lessThan">
      <formula>0.8</formula>
    </cfRule>
  </conditionalFormatting>
  <conditionalFormatting sqref="P117">
    <cfRule type="cellIs" dxfId="10837" priority="3417" operator="greaterThan">
      <formula>0</formula>
    </cfRule>
  </conditionalFormatting>
  <conditionalFormatting sqref="Q117">
    <cfRule type="cellIs" dxfId="10836" priority="3422" operator="lessThan">
      <formula>0</formula>
    </cfRule>
  </conditionalFormatting>
  <conditionalFormatting sqref="R117">
    <cfRule type="cellIs" dxfId="10835" priority="3420" operator="lessThan">
      <formula>0.8</formula>
    </cfRule>
    <cfRule type="cellIs" dxfId="10834" priority="3421" operator="greaterThan">
      <formula>1</formula>
    </cfRule>
  </conditionalFormatting>
  <conditionalFormatting sqref="R117">
    <cfRule type="cellIs" dxfId="10833" priority="3418" operator="greaterThan">
      <formula>1</formula>
    </cfRule>
    <cfRule type="cellIs" dxfId="10832" priority="3419" operator="lessThan">
      <formula>0.8</formula>
    </cfRule>
  </conditionalFormatting>
  <conditionalFormatting sqref="Q117">
    <cfRule type="cellIs" dxfId="10831" priority="3416" operator="lessThan">
      <formula>0</formula>
    </cfRule>
  </conditionalFormatting>
  <conditionalFormatting sqref="R117">
    <cfRule type="cellIs" dxfId="10830" priority="3414" operator="lessThan">
      <formula>0.8</formula>
    </cfRule>
    <cfRule type="cellIs" dxfId="10829" priority="3415" operator="greaterThan">
      <formula>1</formula>
    </cfRule>
  </conditionalFormatting>
  <conditionalFormatting sqref="R117">
    <cfRule type="cellIs" dxfId="10828" priority="3412" operator="greaterThan">
      <formula>1</formula>
    </cfRule>
    <cfRule type="cellIs" dxfId="10827" priority="3413" operator="lessThan">
      <formula>0.8</formula>
    </cfRule>
  </conditionalFormatting>
  <conditionalFormatting sqref="P117">
    <cfRule type="cellIs" dxfId="10826" priority="3411" operator="greaterThan">
      <formula>0</formula>
    </cfRule>
  </conditionalFormatting>
  <conditionalFormatting sqref="P117">
    <cfRule type="cellIs" dxfId="10825" priority="3405" operator="greaterThan">
      <formula>0</formula>
    </cfRule>
  </conditionalFormatting>
  <conditionalFormatting sqref="Q117">
    <cfRule type="cellIs" dxfId="10824" priority="3410" operator="lessThan">
      <formula>0</formula>
    </cfRule>
  </conditionalFormatting>
  <conditionalFormatting sqref="R117">
    <cfRule type="cellIs" dxfId="10823" priority="3408" operator="lessThan">
      <formula>0.8</formula>
    </cfRule>
    <cfRule type="cellIs" dxfId="10822" priority="3409" operator="greaterThan">
      <formula>1</formula>
    </cfRule>
  </conditionalFormatting>
  <conditionalFormatting sqref="R117">
    <cfRule type="cellIs" dxfId="10821" priority="3406" operator="greaterThan">
      <formula>1</formula>
    </cfRule>
    <cfRule type="cellIs" dxfId="10820" priority="3407" operator="lessThan">
      <formula>0.8</formula>
    </cfRule>
  </conditionalFormatting>
  <conditionalFormatting sqref="Q117">
    <cfRule type="cellIs" dxfId="10819" priority="3404" operator="lessThan">
      <formula>0</formula>
    </cfRule>
  </conditionalFormatting>
  <conditionalFormatting sqref="R117">
    <cfRule type="cellIs" dxfId="10818" priority="3402" operator="lessThan">
      <formula>0.8</formula>
    </cfRule>
    <cfRule type="cellIs" dxfId="10817" priority="3403" operator="greaterThan">
      <formula>1</formula>
    </cfRule>
  </conditionalFormatting>
  <conditionalFormatting sqref="R117">
    <cfRule type="cellIs" dxfId="10816" priority="3400" operator="greaterThan">
      <formula>1</formula>
    </cfRule>
    <cfRule type="cellIs" dxfId="10815" priority="3401" operator="lessThan">
      <formula>0.8</formula>
    </cfRule>
  </conditionalFormatting>
  <conditionalFormatting sqref="P117">
    <cfRule type="cellIs" dxfId="10814" priority="3399" operator="greaterThan">
      <formula>0</formula>
    </cfRule>
  </conditionalFormatting>
  <conditionalFormatting sqref="Q117">
    <cfRule type="cellIs" dxfId="10813" priority="3398" operator="lessThan">
      <formula>0</formula>
    </cfRule>
  </conditionalFormatting>
  <conditionalFormatting sqref="R117">
    <cfRule type="cellIs" dxfId="10812" priority="3396" operator="lessThan">
      <formula>0.8</formula>
    </cfRule>
    <cfRule type="cellIs" dxfId="10811" priority="3397" operator="greaterThan">
      <formula>1</formula>
    </cfRule>
  </conditionalFormatting>
  <conditionalFormatting sqref="R117">
    <cfRule type="cellIs" dxfId="10810" priority="3394" operator="greaterThan">
      <formula>1</formula>
    </cfRule>
    <cfRule type="cellIs" dxfId="10809" priority="3395" operator="lessThan">
      <formula>0.8</formula>
    </cfRule>
  </conditionalFormatting>
  <conditionalFormatting sqref="P117">
    <cfRule type="cellIs" dxfId="10808" priority="3393" operator="greaterThan">
      <formula>0</formula>
    </cfRule>
  </conditionalFormatting>
  <conditionalFormatting sqref="Q83">
    <cfRule type="cellIs" dxfId="10807" priority="3392" operator="lessThan">
      <formula>0</formula>
    </cfRule>
  </conditionalFormatting>
  <conditionalFormatting sqref="R83">
    <cfRule type="cellIs" dxfId="10806" priority="3390" operator="lessThan">
      <formula>0.8</formula>
    </cfRule>
    <cfRule type="cellIs" dxfId="10805" priority="3391" operator="greaterThan">
      <formula>1</formula>
    </cfRule>
  </conditionalFormatting>
  <conditionalFormatting sqref="R83">
    <cfRule type="cellIs" dxfId="10804" priority="3388" operator="greaterThan">
      <formula>1</formula>
    </cfRule>
    <cfRule type="cellIs" dxfId="10803" priority="3389" operator="lessThan">
      <formula>0.8</formula>
    </cfRule>
  </conditionalFormatting>
  <conditionalFormatting sqref="P83">
    <cfRule type="cellIs" dxfId="10802" priority="3387" operator="greaterThan">
      <formula>0</formula>
    </cfRule>
  </conditionalFormatting>
  <conditionalFormatting sqref="Q83">
    <cfRule type="cellIs" dxfId="10801" priority="3386" operator="lessThan">
      <formula>0</formula>
    </cfRule>
  </conditionalFormatting>
  <conditionalFormatting sqref="R83">
    <cfRule type="cellIs" dxfId="10800" priority="3384" operator="lessThan">
      <formula>0.8</formula>
    </cfRule>
    <cfRule type="cellIs" dxfId="10799" priority="3385" operator="greaterThan">
      <formula>1</formula>
    </cfRule>
  </conditionalFormatting>
  <conditionalFormatting sqref="R83">
    <cfRule type="cellIs" dxfId="10798" priority="3382" operator="greaterThan">
      <formula>1</formula>
    </cfRule>
    <cfRule type="cellIs" dxfId="10797" priority="3383" operator="lessThan">
      <formula>0.8</formula>
    </cfRule>
  </conditionalFormatting>
  <conditionalFormatting sqref="P83">
    <cfRule type="cellIs" dxfId="10796" priority="3381" operator="greaterThan">
      <formula>0</formula>
    </cfRule>
  </conditionalFormatting>
  <conditionalFormatting sqref="Q83">
    <cfRule type="cellIs" dxfId="10795" priority="3380" operator="lessThan">
      <formula>0</formula>
    </cfRule>
  </conditionalFormatting>
  <conditionalFormatting sqref="R83">
    <cfRule type="cellIs" dxfId="10794" priority="3378" operator="lessThan">
      <formula>0.8</formula>
    </cfRule>
    <cfRule type="cellIs" dxfId="10793" priority="3379" operator="greaterThan">
      <formula>1</formula>
    </cfRule>
  </conditionalFormatting>
  <conditionalFormatting sqref="R83">
    <cfRule type="cellIs" dxfId="10792" priority="3376" operator="greaterThan">
      <formula>1</formula>
    </cfRule>
    <cfRule type="cellIs" dxfId="10791" priority="3377" operator="lessThan">
      <formula>0.8</formula>
    </cfRule>
  </conditionalFormatting>
  <conditionalFormatting sqref="P83">
    <cfRule type="cellIs" dxfId="10790" priority="3375" operator="greaterThan">
      <formula>0</formula>
    </cfRule>
  </conditionalFormatting>
  <conditionalFormatting sqref="Q83">
    <cfRule type="cellIs" dxfId="10789" priority="3374" operator="lessThan">
      <formula>0</formula>
    </cfRule>
  </conditionalFormatting>
  <conditionalFormatting sqref="R83">
    <cfRule type="cellIs" dxfId="10788" priority="3372" operator="lessThan">
      <formula>0.8</formula>
    </cfRule>
    <cfRule type="cellIs" dxfId="10787" priority="3373" operator="greaterThan">
      <formula>1</formula>
    </cfRule>
  </conditionalFormatting>
  <conditionalFormatting sqref="R83">
    <cfRule type="cellIs" dxfId="10786" priority="3370" operator="greaterThan">
      <formula>1</formula>
    </cfRule>
    <cfRule type="cellIs" dxfId="10785" priority="3371" operator="lessThan">
      <formula>0.8</formula>
    </cfRule>
  </conditionalFormatting>
  <conditionalFormatting sqref="P83">
    <cfRule type="cellIs" dxfId="10784" priority="3369" operator="greaterThan">
      <formula>0</formula>
    </cfRule>
  </conditionalFormatting>
  <conditionalFormatting sqref="P83">
    <cfRule type="cellIs" dxfId="10783" priority="3363" operator="greaterThan">
      <formula>0</formula>
    </cfRule>
  </conditionalFormatting>
  <conditionalFormatting sqref="Q83">
    <cfRule type="cellIs" dxfId="10782" priority="3368" operator="lessThan">
      <formula>0</formula>
    </cfRule>
  </conditionalFormatting>
  <conditionalFormatting sqref="R83">
    <cfRule type="cellIs" dxfId="10781" priority="3366" operator="lessThan">
      <formula>0.8</formula>
    </cfRule>
    <cfRule type="cellIs" dxfId="10780" priority="3367" operator="greaterThan">
      <formula>1</formula>
    </cfRule>
  </conditionalFormatting>
  <conditionalFormatting sqref="R83">
    <cfRule type="cellIs" dxfId="10779" priority="3364" operator="greaterThan">
      <formula>1</formula>
    </cfRule>
    <cfRule type="cellIs" dxfId="10778" priority="3365" operator="lessThan">
      <formula>0.8</formula>
    </cfRule>
  </conditionalFormatting>
  <conditionalFormatting sqref="P83">
    <cfRule type="cellIs" dxfId="10777" priority="3357" operator="greaterThan">
      <formula>0</formula>
    </cfRule>
  </conditionalFormatting>
  <conditionalFormatting sqref="Q83">
    <cfRule type="cellIs" dxfId="10776" priority="3362" operator="lessThan">
      <formula>0</formula>
    </cfRule>
  </conditionalFormatting>
  <conditionalFormatting sqref="R83">
    <cfRule type="cellIs" dxfId="10775" priority="3360" operator="lessThan">
      <formula>0.8</formula>
    </cfRule>
    <cfRule type="cellIs" dxfId="10774" priority="3361" operator="greaterThan">
      <formula>1</formula>
    </cfRule>
  </conditionalFormatting>
  <conditionalFormatting sqref="R83">
    <cfRule type="cellIs" dxfId="10773" priority="3358" operator="greaterThan">
      <formula>1</formula>
    </cfRule>
    <cfRule type="cellIs" dxfId="10772" priority="3359" operator="lessThan">
      <formula>0.8</formula>
    </cfRule>
  </conditionalFormatting>
  <conditionalFormatting sqref="R83">
    <cfRule type="cellIs" dxfId="10771" priority="3354" operator="lessThan">
      <formula>0.8</formula>
    </cfRule>
    <cfRule type="cellIs" dxfId="10770" priority="3355" operator="greaterThan">
      <formula>1</formula>
    </cfRule>
  </conditionalFormatting>
  <conditionalFormatting sqref="R83">
    <cfRule type="cellIs" dxfId="10769" priority="3352" operator="greaterThan">
      <formula>1</formula>
    </cfRule>
    <cfRule type="cellIs" dxfId="10768" priority="3353" operator="lessThan">
      <formula>0.8</formula>
    </cfRule>
  </conditionalFormatting>
  <conditionalFormatting sqref="P83">
    <cfRule type="cellIs" dxfId="10767" priority="3351" operator="greaterThan">
      <formula>0</formula>
    </cfRule>
  </conditionalFormatting>
  <conditionalFormatting sqref="Q83">
    <cfRule type="cellIs" dxfId="10766" priority="3356" operator="lessThan">
      <formula>0</formula>
    </cfRule>
  </conditionalFormatting>
  <conditionalFormatting sqref="Q83">
    <cfRule type="cellIs" dxfId="10765" priority="3350" operator="lessThan">
      <formula>0</formula>
    </cfRule>
  </conditionalFormatting>
  <conditionalFormatting sqref="R83">
    <cfRule type="cellIs" dxfId="10764" priority="3348" operator="lessThan">
      <formula>0.8</formula>
    </cfRule>
    <cfRule type="cellIs" dxfId="10763" priority="3349" operator="greaterThan">
      <formula>1</formula>
    </cfRule>
  </conditionalFormatting>
  <conditionalFormatting sqref="R83">
    <cfRule type="cellIs" dxfId="10762" priority="3346" operator="greaterThan">
      <formula>1</formula>
    </cfRule>
    <cfRule type="cellIs" dxfId="10761" priority="3347" operator="lessThan">
      <formula>0.8</formula>
    </cfRule>
  </conditionalFormatting>
  <conditionalFormatting sqref="P83">
    <cfRule type="cellIs" dxfId="10760" priority="3345" operator="greaterThan">
      <formula>0</formula>
    </cfRule>
  </conditionalFormatting>
  <conditionalFormatting sqref="P83">
    <cfRule type="cellIs" dxfId="10759" priority="3339" operator="greaterThan">
      <formula>0</formula>
    </cfRule>
  </conditionalFormatting>
  <conditionalFormatting sqref="Q83">
    <cfRule type="cellIs" dxfId="10758" priority="3344" operator="lessThan">
      <formula>0</formula>
    </cfRule>
  </conditionalFormatting>
  <conditionalFormatting sqref="R83">
    <cfRule type="cellIs" dxfId="10757" priority="3342" operator="lessThan">
      <formula>0.8</formula>
    </cfRule>
    <cfRule type="cellIs" dxfId="10756" priority="3343" operator="greaterThan">
      <formula>1</formula>
    </cfRule>
  </conditionalFormatting>
  <conditionalFormatting sqref="R83">
    <cfRule type="cellIs" dxfId="10755" priority="3340" operator="greaterThan">
      <formula>1</formula>
    </cfRule>
    <cfRule type="cellIs" dxfId="10754" priority="3341" operator="lessThan">
      <formula>0.8</formula>
    </cfRule>
  </conditionalFormatting>
  <conditionalFormatting sqref="P83">
    <cfRule type="cellIs" dxfId="10753" priority="3333" operator="greaterThan">
      <formula>0</formula>
    </cfRule>
  </conditionalFormatting>
  <conditionalFormatting sqref="Q83">
    <cfRule type="cellIs" dxfId="10752" priority="3338" operator="lessThan">
      <formula>0</formula>
    </cfRule>
  </conditionalFormatting>
  <conditionalFormatting sqref="R83">
    <cfRule type="cellIs" dxfId="10751" priority="3336" operator="lessThan">
      <formula>0.8</formula>
    </cfRule>
    <cfRule type="cellIs" dxfId="10750" priority="3337" operator="greaterThan">
      <formula>1</formula>
    </cfRule>
  </conditionalFormatting>
  <conditionalFormatting sqref="R83">
    <cfRule type="cellIs" dxfId="10749" priority="3334" operator="greaterThan">
      <formula>1</formula>
    </cfRule>
    <cfRule type="cellIs" dxfId="10748" priority="3335" operator="lessThan">
      <formula>0.8</formula>
    </cfRule>
  </conditionalFormatting>
  <conditionalFormatting sqref="R83">
    <cfRule type="cellIs" dxfId="10747" priority="3330" operator="lessThan">
      <formula>0.8</formula>
    </cfRule>
    <cfRule type="cellIs" dxfId="10746" priority="3331" operator="greaterThan">
      <formula>1</formula>
    </cfRule>
  </conditionalFormatting>
  <conditionalFormatting sqref="R83">
    <cfRule type="cellIs" dxfId="10745" priority="3328" operator="greaterThan">
      <formula>1</formula>
    </cfRule>
    <cfRule type="cellIs" dxfId="10744" priority="3329" operator="lessThan">
      <formula>0.8</formula>
    </cfRule>
  </conditionalFormatting>
  <conditionalFormatting sqref="P83">
    <cfRule type="cellIs" dxfId="10743" priority="3327" operator="greaterThan">
      <formula>0</formula>
    </cfRule>
  </conditionalFormatting>
  <conditionalFormatting sqref="Q83">
    <cfRule type="cellIs" dxfId="10742" priority="3332" operator="lessThan">
      <formula>0</formula>
    </cfRule>
  </conditionalFormatting>
  <conditionalFormatting sqref="P83">
    <cfRule type="cellIs" dxfId="10741" priority="3321" operator="greaterThan">
      <formula>0</formula>
    </cfRule>
  </conditionalFormatting>
  <conditionalFormatting sqref="Q83">
    <cfRule type="cellIs" dxfId="10740" priority="3326" operator="lessThan">
      <formula>0</formula>
    </cfRule>
  </conditionalFormatting>
  <conditionalFormatting sqref="R83">
    <cfRule type="cellIs" dxfId="10739" priority="3324" operator="lessThan">
      <formula>0.8</formula>
    </cfRule>
    <cfRule type="cellIs" dxfId="10738" priority="3325" operator="greaterThan">
      <formula>1</formula>
    </cfRule>
  </conditionalFormatting>
  <conditionalFormatting sqref="R83">
    <cfRule type="cellIs" dxfId="10737" priority="3322" operator="greaterThan">
      <formula>1</formula>
    </cfRule>
    <cfRule type="cellIs" dxfId="10736" priority="3323" operator="lessThan">
      <formula>0.8</formula>
    </cfRule>
  </conditionalFormatting>
  <conditionalFormatting sqref="R83">
    <cfRule type="cellIs" dxfId="10735" priority="3318" operator="lessThan">
      <formula>0.8</formula>
    </cfRule>
    <cfRule type="cellIs" dxfId="10734" priority="3319" operator="greaterThan">
      <formula>1</formula>
    </cfRule>
  </conditionalFormatting>
  <conditionalFormatting sqref="R83">
    <cfRule type="cellIs" dxfId="10733" priority="3316" operator="greaterThan">
      <formula>1</formula>
    </cfRule>
    <cfRule type="cellIs" dxfId="10732" priority="3317" operator="lessThan">
      <formula>0.8</formula>
    </cfRule>
  </conditionalFormatting>
  <conditionalFormatting sqref="P83">
    <cfRule type="cellIs" dxfId="10731" priority="3315" operator="greaterThan">
      <formula>0</formula>
    </cfRule>
  </conditionalFormatting>
  <conditionalFormatting sqref="Q83">
    <cfRule type="cellIs" dxfId="10730" priority="3320" operator="lessThan">
      <formula>0</formula>
    </cfRule>
  </conditionalFormatting>
  <conditionalFormatting sqref="R83">
    <cfRule type="cellIs" dxfId="10729" priority="3312" operator="lessThan">
      <formula>0.8</formula>
    </cfRule>
    <cfRule type="cellIs" dxfId="10728" priority="3313" operator="greaterThan">
      <formula>1</formula>
    </cfRule>
  </conditionalFormatting>
  <conditionalFormatting sqref="R83">
    <cfRule type="cellIs" dxfId="10727" priority="3310" operator="greaterThan">
      <formula>1</formula>
    </cfRule>
    <cfRule type="cellIs" dxfId="10726" priority="3311" operator="lessThan">
      <formula>0.8</formula>
    </cfRule>
  </conditionalFormatting>
  <conditionalFormatting sqref="P83">
    <cfRule type="cellIs" dxfId="10725" priority="3309" operator="greaterThan">
      <formula>0</formula>
    </cfRule>
  </conditionalFormatting>
  <conditionalFormatting sqref="Q83">
    <cfRule type="cellIs" dxfId="10724" priority="3314" operator="lessThan">
      <formula>0</formula>
    </cfRule>
  </conditionalFormatting>
  <conditionalFormatting sqref="Q83">
    <cfRule type="cellIs" dxfId="10723" priority="3308" operator="lessThan">
      <formula>0</formula>
    </cfRule>
  </conditionalFormatting>
  <conditionalFormatting sqref="R83">
    <cfRule type="cellIs" dxfId="10722" priority="3306" operator="lessThan">
      <formula>0.8</formula>
    </cfRule>
    <cfRule type="cellIs" dxfId="10721" priority="3307" operator="greaterThan">
      <formula>1</formula>
    </cfRule>
  </conditionalFormatting>
  <conditionalFormatting sqref="R83">
    <cfRule type="cellIs" dxfId="10720" priority="3304" operator="greaterThan">
      <formula>1</formula>
    </cfRule>
    <cfRule type="cellIs" dxfId="10719" priority="3305" operator="lessThan">
      <formula>0.8</formula>
    </cfRule>
  </conditionalFormatting>
  <conditionalFormatting sqref="P83">
    <cfRule type="cellIs" dxfId="10718" priority="3303" operator="greaterThan">
      <formula>0</formula>
    </cfRule>
  </conditionalFormatting>
  <conditionalFormatting sqref="Q83">
    <cfRule type="cellIs" dxfId="10717" priority="3297" operator="lessThan">
      <formula>0</formula>
    </cfRule>
  </conditionalFormatting>
  <conditionalFormatting sqref="R83">
    <cfRule type="cellIs" dxfId="10716" priority="3301" operator="lessThan">
      <formula>0.8</formula>
    </cfRule>
    <cfRule type="cellIs" dxfId="10715" priority="3302" operator="greaterThan">
      <formula>1</formula>
    </cfRule>
  </conditionalFormatting>
  <conditionalFormatting sqref="R83">
    <cfRule type="cellIs" dxfId="10714" priority="3299" operator="greaterThan">
      <formula>1</formula>
    </cfRule>
    <cfRule type="cellIs" dxfId="10713" priority="3300" operator="lessThan">
      <formula>0.8</formula>
    </cfRule>
  </conditionalFormatting>
  <conditionalFormatting sqref="P83">
    <cfRule type="cellIs" dxfId="10712" priority="3298" operator="greaterThan">
      <formula>0</formula>
    </cfRule>
  </conditionalFormatting>
  <conditionalFormatting sqref="Q83">
    <cfRule type="cellIs" dxfId="10711" priority="3296" operator="lessThan">
      <formula>0</formula>
    </cfRule>
  </conditionalFormatting>
  <conditionalFormatting sqref="R83">
    <cfRule type="cellIs" dxfId="10710" priority="3294" operator="lessThan">
      <formula>0.8</formula>
    </cfRule>
    <cfRule type="cellIs" dxfId="10709" priority="3295" operator="greaterThan">
      <formula>1</formula>
    </cfRule>
  </conditionalFormatting>
  <conditionalFormatting sqref="R83">
    <cfRule type="cellIs" dxfId="10708" priority="3292" operator="greaterThan">
      <formula>1</formula>
    </cfRule>
    <cfRule type="cellIs" dxfId="10707" priority="3293" operator="lessThan">
      <formula>0.8</formula>
    </cfRule>
  </conditionalFormatting>
  <conditionalFormatting sqref="P83">
    <cfRule type="cellIs" dxfId="10706" priority="3291" operator="greaterThan">
      <formula>0</formula>
    </cfRule>
  </conditionalFormatting>
  <conditionalFormatting sqref="Q83">
    <cfRule type="cellIs" dxfId="10705" priority="3290" operator="lessThan">
      <formula>0</formula>
    </cfRule>
  </conditionalFormatting>
  <conditionalFormatting sqref="R83">
    <cfRule type="cellIs" dxfId="10704" priority="3288" operator="lessThan">
      <formula>0.8</formula>
    </cfRule>
    <cfRule type="cellIs" dxfId="10703" priority="3289" operator="greaterThan">
      <formula>1</formula>
    </cfRule>
  </conditionalFormatting>
  <conditionalFormatting sqref="R83">
    <cfRule type="cellIs" dxfId="10702" priority="3286" operator="greaterThan">
      <formula>1</formula>
    </cfRule>
    <cfRule type="cellIs" dxfId="10701" priority="3287" operator="lessThan">
      <formula>0.8</formula>
    </cfRule>
  </conditionalFormatting>
  <conditionalFormatting sqref="P83">
    <cfRule type="cellIs" dxfId="10700" priority="3285" operator="greaterThan">
      <formula>0</formula>
    </cfRule>
  </conditionalFormatting>
  <conditionalFormatting sqref="Q83">
    <cfRule type="cellIs" dxfId="10699" priority="3284" operator="lessThan">
      <formula>0</formula>
    </cfRule>
  </conditionalFormatting>
  <conditionalFormatting sqref="R83">
    <cfRule type="cellIs" dxfId="10698" priority="3282" operator="lessThan">
      <formula>0.8</formula>
    </cfRule>
    <cfRule type="cellIs" dxfId="10697" priority="3283" operator="greaterThan">
      <formula>1</formula>
    </cfRule>
  </conditionalFormatting>
  <conditionalFormatting sqref="R83">
    <cfRule type="cellIs" dxfId="10696" priority="3280" operator="greaterThan">
      <formula>1</formula>
    </cfRule>
    <cfRule type="cellIs" dxfId="10695" priority="3281" operator="lessThan">
      <formula>0.8</formula>
    </cfRule>
  </conditionalFormatting>
  <conditionalFormatting sqref="P83">
    <cfRule type="cellIs" dxfId="10694" priority="3279" operator="greaterThan">
      <formula>0</formula>
    </cfRule>
  </conditionalFormatting>
  <conditionalFormatting sqref="Q83">
    <cfRule type="cellIs" dxfId="10693" priority="3278" operator="lessThan">
      <formula>0</formula>
    </cfRule>
  </conditionalFormatting>
  <conditionalFormatting sqref="R83">
    <cfRule type="cellIs" dxfId="10692" priority="3276" operator="lessThan">
      <formula>0.8</formula>
    </cfRule>
    <cfRule type="cellIs" dxfId="10691" priority="3277" operator="greaterThan">
      <formula>1</formula>
    </cfRule>
  </conditionalFormatting>
  <conditionalFormatting sqref="R83">
    <cfRule type="cellIs" dxfId="10690" priority="3274" operator="greaterThan">
      <formula>1</formula>
    </cfRule>
    <cfRule type="cellIs" dxfId="10689" priority="3275" operator="lessThan">
      <formula>0.8</formula>
    </cfRule>
  </conditionalFormatting>
  <conditionalFormatting sqref="P83">
    <cfRule type="cellIs" dxfId="10688" priority="3273" operator="greaterThan">
      <formula>0</formula>
    </cfRule>
  </conditionalFormatting>
  <conditionalFormatting sqref="Q83">
    <cfRule type="cellIs" dxfId="10687" priority="3272" operator="lessThan">
      <formula>0</formula>
    </cfRule>
  </conditionalFormatting>
  <conditionalFormatting sqref="R83">
    <cfRule type="cellIs" dxfId="10686" priority="3270" operator="lessThan">
      <formula>0.8</formula>
    </cfRule>
    <cfRule type="cellIs" dxfId="10685" priority="3271" operator="greaterThan">
      <formula>1</formula>
    </cfRule>
  </conditionalFormatting>
  <conditionalFormatting sqref="R83">
    <cfRule type="cellIs" dxfId="10684" priority="3268" operator="greaterThan">
      <formula>1</formula>
    </cfRule>
    <cfRule type="cellIs" dxfId="10683" priority="3269" operator="lessThan">
      <formula>0.8</formula>
    </cfRule>
  </conditionalFormatting>
  <conditionalFormatting sqref="P83">
    <cfRule type="cellIs" dxfId="10682" priority="3267" operator="greaterThan">
      <formula>0</formula>
    </cfRule>
  </conditionalFormatting>
  <conditionalFormatting sqref="P83">
    <cfRule type="cellIs" dxfId="10681" priority="3261" operator="greaterThan">
      <formula>0</formula>
    </cfRule>
  </conditionalFormatting>
  <conditionalFormatting sqref="Q83">
    <cfRule type="cellIs" dxfId="10680" priority="3266" operator="lessThan">
      <formula>0</formula>
    </cfRule>
  </conditionalFormatting>
  <conditionalFormatting sqref="R83">
    <cfRule type="cellIs" dxfId="10679" priority="3264" operator="lessThan">
      <formula>0.8</formula>
    </cfRule>
    <cfRule type="cellIs" dxfId="10678" priority="3265" operator="greaterThan">
      <formula>1</formula>
    </cfRule>
  </conditionalFormatting>
  <conditionalFormatting sqref="R83">
    <cfRule type="cellIs" dxfId="10677" priority="3262" operator="greaterThan">
      <formula>1</formula>
    </cfRule>
    <cfRule type="cellIs" dxfId="10676" priority="3263" operator="lessThan">
      <formula>0.8</formula>
    </cfRule>
  </conditionalFormatting>
  <conditionalFormatting sqref="P83">
    <cfRule type="cellIs" dxfId="10675" priority="3255" operator="greaterThan">
      <formula>0</formula>
    </cfRule>
  </conditionalFormatting>
  <conditionalFormatting sqref="Q83">
    <cfRule type="cellIs" dxfId="10674" priority="3260" operator="lessThan">
      <formula>0</formula>
    </cfRule>
  </conditionalFormatting>
  <conditionalFormatting sqref="R83">
    <cfRule type="cellIs" dxfId="10673" priority="3258" operator="lessThan">
      <formula>0.8</formula>
    </cfRule>
    <cfRule type="cellIs" dxfId="10672" priority="3259" operator="greaterThan">
      <formula>1</formula>
    </cfRule>
  </conditionalFormatting>
  <conditionalFormatting sqref="R83">
    <cfRule type="cellIs" dxfId="10671" priority="3256" operator="greaterThan">
      <formula>1</formula>
    </cfRule>
    <cfRule type="cellIs" dxfId="10670" priority="3257" operator="lessThan">
      <formula>0.8</formula>
    </cfRule>
  </conditionalFormatting>
  <conditionalFormatting sqref="R83">
    <cfRule type="cellIs" dxfId="10669" priority="3252" operator="lessThan">
      <formula>0.8</formula>
    </cfRule>
    <cfRule type="cellIs" dxfId="10668" priority="3253" operator="greaterThan">
      <formula>1</formula>
    </cfRule>
  </conditionalFormatting>
  <conditionalFormatting sqref="R83">
    <cfRule type="cellIs" dxfId="10667" priority="3250" operator="greaterThan">
      <formula>1</formula>
    </cfRule>
    <cfRule type="cellIs" dxfId="10666" priority="3251" operator="lessThan">
      <formula>0.8</formula>
    </cfRule>
  </conditionalFormatting>
  <conditionalFormatting sqref="P83">
    <cfRule type="cellIs" dxfId="10665" priority="3249" operator="greaterThan">
      <formula>0</formula>
    </cfRule>
  </conditionalFormatting>
  <conditionalFormatting sqref="Q83">
    <cfRule type="cellIs" dxfId="10664" priority="3254" operator="lessThan">
      <formula>0</formula>
    </cfRule>
  </conditionalFormatting>
  <conditionalFormatting sqref="Q83">
    <cfRule type="cellIs" dxfId="10663" priority="3248" operator="lessThan">
      <formula>0</formula>
    </cfRule>
  </conditionalFormatting>
  <conditionalFormatting sqref="R83">
    <cfRule type="cellIs" dxfId="10662" priority="3246" operator="lessThan">
      <formula>0.8</formula>
    </cfRule>
    <cfRule type="cellIs" dxfId="10661" priority="3247" operator="greaterThan">
      <formula>1</formula>
    </cfRule>
  </conditionalFormatting>
  <conditionalFormatting sqref="R83">
    <cfRule type="cellIs" dxfId="10660" priority="3244" operator="greaterThan">
      <formula>1</formula>
    </cfRule>
    <cfRule type="cellIs" dxfId="10659" priority="3245" operator="lessThan">
      <formula>0.8</formula>
    </cfRule>
  </conditionalFormatting>
  <conditionalFormatting sqref="P83">
    <cfRule type="cellIs" dxfId="10658" priority="3243" operator="greaterThan">
      <formula>0</formula>
    </cfRule>
  </conditionalFormatting>
  <conditionalFormatting sqref="Q83">
    <cfRule type="cellIs" dxfId="10657" priority="3242" operator="lessThan">
      <formula>0</formula>
    </cfRule>
  </conditionalFormatting>
  <conditionalFormatting sqref="R83">
    <cfRule type="cellIs" dxfId="10656" priority="3240" operator="lessThan">
      <formula>0.8</formula>
    </cfRule>
    <cfRule type="cellIs" dxfId="10655" priority="3241" operator="greaterThan">
      <formula>1</formula>
    </cfRule>
  </conditionalFormatting>
  <conditionalFormatting sqref="R83">
    <cfRule type="cellIs" dxfId="10654" priority="3238" operator="greaterThan">
      <formula>1</formula>
    </cfRule>
    <cfRule type="cellIs" dxfId="10653" priority="3239" operator="lessThan">
      <formula>0.8</formula>
    </cfRule>
  </conditionalFormatting>
  <conditionalFormatting sqref="P83">
    <cfRule type="cellIs" dxfId="10652" priority="3237" operator="greaterThan">
      <formula>0</formula>
    </cfRule>
  </conditionalFormatting>
  <conditionalFormatting sqref="Q83">
    <cfRule type="cellIs" dxfId="10651" priority="3236" operator="lessThan">
      <formula>0</formula>
    </cfRule>
  </conditionalFormatting>
  <conditionalFormatting sqref="R83">
    <cfRule type="cellIs" dxfId="10650" priority="3234" operator="lessThan">
      <formula>0.8</formula>
    </cfRule>
    <cfRule type="cellIs" dxfId="10649" priority="3235" operator="greaterThan">
      <formula>1</formula>
    </cfRule>
  </conditionalFormatting>
  <conditionalFormatting sqref="R83">
    <cfRule type="cellIs" dxfId="10648" priority="3232" operator="greaterThan">
      <formula>1</formula>
    </cfRule>
    <cfRule type="cellIs" dxfId="10647" priority="3233" operator="lessThan">
      <formula>0.8</formula>
    </cfRule>
  </conditionalFormatting>
  <conditionalFormatting sqref="P83">
    <cfRule type="cellIs" dxfId="10646" priority="3231" operator="greaterThan">
      <formula>0</formula>
    </cfRule>
  </conditionalFormatting>
  <conditionalFormatting sqref="Q83">
    <cfRule type="cellIs" dxfId="10645" priority="3230" operator="lessThan">
      <formula>0</formula>
    </cfRule>
  </conditionalFormatting>
  <conditionalFormatting sqref="R83">
    <cfRule type="cellIs" dxfId="10644" priority="3228" operator="lessThan">
      <formula>0.8</formula>
    </cfRule>
    <cfRule type="cellIs" dxfId="10643" priority="3229" operator="greaterThan">
      <formula>1</formula>
    </cfRule>
  </conditionalFormatting>
  <conditionalFormatting sqref="R83">
    <cfRule type="cellIs" dxfId="10642" priority="3226" operator="greaterThan">
      <formula>1</formula>
    </cfRule>
    <cfRule type="cellIs" dxfId="10641" priority="3227" operator="lessThan">
      <formula>0.8</formula>
    </cfRule>
  </conditionalFormatting>
  <conditionalFormatting sqref="P83">
    <cfRule type="cellIs" dxfId="10640" priority="3225" operator="greaterThan">
      <formula>0</formula>
    </cfRule>
  </conditionalFormatting>
  <conditionalFormatting sqref="P83">
    <cfRule type="cellIs" dxfId="10639" priority="3219" operator="greaterThan">
      <formula>0</formula>
    </cfRule>
  </conditionalFormatting>
  <conditionalFormatting sqref="Q83">
    <cfRule type="cellIs" dxfId="10638" priority="3224" operator="lessThan">
      <formula>0</formula>
    </cfRule>
  </conditionalFormatting>
  <conditionalFormatting sqref="R83">
    <cfRule type="cellIs" dxfId="10637" priority="3222" operator="lessThan">
      <formula>0.8</formula>
    </cfRule>
    <cfRule type="cellIs" dxfId="10636" priority="3223" operator="greaterThan">
      <formula>1</formula>
    </cfRule>
  </conditionalFormatting>
  <conditionalFormatting sqref="R83">
    <cfRule type="cellIs" dxfId="10635" priority="3220" operator="greaterThan">
      <formula>1</formula>
    </cfRule>
    <cfRule type="cellIs" dxfId="10634" priority="3221" operator="lessThan">
      <formula>0.8</formula>
    </cfRule>
  </conditionalFormatting>
  <conditionalFormatting sqref="P83">
    <cfRule type="cellIs" dxfId="10633" priority="3213" operator="greaterThan">
      <formula>0</formula>
    </cfRule>
  </conditionalFormatting>
  <conditionalFormatting sqref="Q83">
    <cfRule type="cellIs" dxfId="10632" priority="3218" operator="lessThan">
      <formula>0</formula>
    </cfRule>
  </conditionalFormatting>
  <conditionalFormatting sqref="R83">
    <cfRule type="cellIs" dxfId="10631" priority="3216" operator="lessThan">
      <formula>0.8</formula>
    </cfRule>
    <cfRule type="cellIs" dxfId="10630" priority="3217" operator="greaterThan">
      <formula>1</formula>
    </cfRule>
  </conditionalFormatting>
  <conditionalFormatting sqref="R83">
    <cfRule type="cellIs" dxfId="10629" priority="3214" operator="greaterThan">
      <formula>1</formula>
    </cfRule>
    <cfRule type="cellIs" dxfId="10628" priority="3215" operator="lessThan">
      <formula>0.8</formula>
    </cfRule>
  </conditionalFormatting>
  <conditionalFormatting sqref="R83">
    <cfRule type="cellIs" dxfId="10627" priority="3210" operator="lessThan">
      <formula>0.8</formula>
    </cfRule>
    <cfRule type="cellIs" dxfId="10626" priority="3211" operator="greaterThan">
      <formula>1</formula>
    </cfRule>
  </conditionalFormatting>
  <conditionalFormatting sqref="R83">
    <cfRule type="cellIs" dxfId="10625" priority="3208" operator="greaterThan">
      <formula>1</formula>
    </cfRule>
    <cfRule type="cellIs" dxfId="10624" priority="3209" operator="lessThan">
      <formula>0.8</formula>
    </cfRule>
  </conditionalFormatting>
  <conditionalFormatting sqref="P83">
    <cfRule type="cellIs" dxfId="10623" priority="3207" operator="greaterThan">
      <formula>0</formula>
    </cfRule>
  </conditionalFormatting>
  <conditionalFormatting sqref="Q83">
    <cfRule type="cellIs" dxfId="10622" priority="3212" operator="lessThan">
      <formula>0</formula>
    </cfRule>
  </conditionalFormatting>
  <conditionalFormatting sqref="Q83">
    <cfRule type="cellIs" dxfId="10621" priority="3206" operator="lessThan">
      <formula>0</formula>
    </cfRule>
  </conditionalFormatting>
  <conditionalFormatting sqref="R83">
    <cfRule type="cellIs" dxfId="10620" priority="3204" operator="lessThan">
      <formula>0.8</formula>
    </cfRule>
    <cfRule type="cellIs" dxfId="10619" priority="3205" operator="greaterThan">
      <formula>1</formula>
    </cfRule>
  </conditionalFormatting>
  <conditionalFormatting sqref="R83">
    <cfRule type="cellIs" dxfId="10618" priority="3202" operator="greaterThan">
      <formula>1</formula>
    </cfRule>
    <cfRule type="cellIs" dxfId="10617" priority="3203" operator="lessThan">
      <formula>0.8</formula>
    </cfRule>
  </conditionalFormatting>
  <conditionalFormatting sqref="P83">
    <cfRule type="cellIs" dxfId="10616" priority="3201" operator="greaterThan">
      <formula>0</formula>
    </cfRule>
  </conditionalFormatting>
  <conditionalFormatting sqref="P83">
    <cfRule type="cellIs" dxfId="10615" priority="3195" operator="greaterThan">
      <formula>0</formula>
    </cfRule>
  </conditionalFormatting>
  <conditionalFormatting sqref="Q83">
    <cfRule type="cellIs" dxfId="10614" priority="3200" operator="lessThan">
      <formula>0</formula>
    </cfRule>
  </conditionalFormatting>
  <conditionalFormatting sqref="R83">
    <cfRule type="cellIs" dxfId="10613" priority="3198" operator="lessThan">
      <formula>0.8</formula>
    </cfRule>
    <cfRule type="cellIs" dxfId="10612" priority="3199" operator="greaterThan">
      <formula>1</formula>
    </cfRule>
  </conditionalFormatting>
  <conditionalFormatting sqref="R83">
    <cfRule type="cellIs" dxfId="10611" priority="3196" operator="greaterThan">
      <formula>1</formula>
    </cfRule>
    <cfRule type="cellIs" dxfId="10610" priority="3197" operator="lessThan">
      <formula>0.8</formula>
    </cfRule>
  </conditionalFormatting>
  <conditionalFormatting sqref="P83">
    <cfRule type="cellIs" dxfId="10609" priority="3189" operator="greaterThan">
      <formula>0</formula>
    </cfRule>
  </conditionalFormatting>
  <conditionalFormatting sqref="Q83">
    <cfRule type="cellIs" dxfId="10608" priority="3194" operator="lessThan">
      <formula>0</formula>
    </cfRule>
  </conditionalFormatting>
  <conditionalFormatting sqref="R83">
    <cfRule type="cellIs" dxfId="10607" priority="3192" operator="lessThan">
      <formula>0.8</formula>
    </cfRule>
    <cfRule type="cellIs" dxfId="10606" priority="3193" operator="greaterThan">
      <formula>1</formula>
    </cfRule>
  </conditionalFormatting>
  <conditionalFormatting sqref="R83">
    <cfRule type="cellIs" dxfId="10605" priority="3190" operator="greaterThan">
      <formula>1</formula>
    </cfRule>
    <cfRule type="cellIs" dxfId="10604" priority="3191" operator="lessThan">
      <formula>0.8</formula>
    </cfRule>
  </conditionalFormatting>
  <conditionalFormatting sqref="R83">
    <cfRule type="cellIs" dxfId="10603" priority="3186" operator="lessThan">
      <formula>0.8</formula>
    </cfRule>
    <cfRule type="cellIs" dxfId="10602" priority="3187" operator="greaterThan">
      <formula>1</formula>
    </cfRule>
  </conditionalFormatting>
  <conditionalFormatting sqref="R83">
    <cfRule type="cellIs" dxfId="10601" priority="3184" operator="greaterThan">
      <formula>1</formula>
    </cfRule>
    <cfRule type="cellIs" dxfId="10600" priority="3185" operator="lessThan">
      <formula>0.8</formula>
    </cfRule>
  </conditionalFormatting>
  <conditionalFormatting sqref="P83">
    <cfRule type="cellIs" dxfId="10599" priority="3183" operator="greaterThan">
      <formula>0</formula>
    </cfRule>
  </conditionalFormatting>
  <conditionalFormatting sqref="Q83">
    <cfRule type="cellIs" dxfId="10598" priority="3188" operator="lessThan">
      <formula>0</formula>
    </cfRule>
  </conditionalFormatting>
  <conditionalFormatting sqref="P83">
    <cfRule type="cellIs" dxfId="10597" priority="3177" operator="greaterThan">
      <formula>0</formula>
    </cfRule>
  </conditionalFormatting>
  <conditionalFormatting sqref="Q83">
    <cfRule type="cellIs" dxfId="10596" priority="3182" operator="lessThan">
      <formula>0</formula>
    </cfRule>
  </conditionalFormatting>
  <conditionalFormatting sqref="R83">
    <cfRule type="cellIs" dxfId="10595" priority="3180" operator="lessThan">
      <formula>0.8</formula>
    </cfRule>
    <cfRule type="cellIs" dxfId="10594" priority="3181" operator="greaterThan">
      <formula>1</formula>
    </cfRule>
  </conditionalFormatting>
  <conditionalFormatting sqref="R83">
    <cfRule type="cellIs" dxfId="10593" priority="3178" operator="greaterThan">
      <formula>1</formula>
    </cfRule>
    <cfRule type="cellIs" dxfId="10592" priority="3179" operator="lessThan">
      <formula>0.8</formula>
    </cfRule>
  </conditionalFormatting>
  <conditionalFormatting sqref="R83">
    <cfRule type="cellIs" dxfId="10591" priority="3174" operator="lessThan">
      <formula>0.8</formula>
    </cfRule>
    <cfRule type="cellIs" dxfId="10590" priority="3175" operator="greaterThan">
      <formula>1</formula>
    </cfRule>
  </conditionalFormatting>
  <conditionalFormatting sqref="R83">
    <cfRule type="cellIs" dxfId="10589" priority="3172" operator="greaterThan">
      <formula>1</formula>
    </cfRule>
    <cfRule type="cellIs" dxfId="10588" priority="3173" operator="lessThan">
      <formula>0.8</formula>
    </cfRule>
  </conditionalFormatting>
  <conditionalFormatting sqref="P83">
    <cfRule type="cellIs" dxfId="10587" priority="3171" operator="greaterThan">
      <formula>0</formula>
    </cfRule>
  </conditionalFormatting>
  <conditionalFormatting sqref="Q83">
    <cfRule type="cellIs" dxfId="10586" priority="3176" operator="lessThan">
      <formula>0</formula>
    </cfRule>
  </conditionalFormatting>
  <conditionalFormatting sqref="R83">
    <cfRule type="cellIs" dxfId="10585" priority="3168" operator="lessThan">
      <formula>0.8</formula>
    </cfRule>
    <cfRule type="cellIs" dxfId="10584" priority="3169" operator="greaterThan">
      <formula>1</formula>
    </cfRule>
  </conditionalFormatting>
  <conditionalFormatting sqref="R83">
    <cfRule type="cellIs" dxfId="10583" priority="3166" operator="greaterThan">
      <formula>1</formula>
    </cfRule>
    <cfRule type="cellIs" dxfId="10582" priority="3167" operator="lessThan">
      <formula>0.8</formula>
    </cfRule>
  </conditionalFormatting>
  <conditionalFormatting sqref="P83">
    <cfRule type="cellIs" dxfId="10581" priority="3165" operator="greaterThan">
      <formula>0</formula>
    </cfRule>
  </conditionalFormatting>
  <conditionalFormatting sqref="Q83">
    <cfRule type="cellIs" dxfId="10580" priority="3170" operator="lessThan">
      <formula>0</formula>
    </cfRule>
  </conditionalFormatting>
  <conditionalFormatting sqref="Q83">
    <cfRule type="cellIs" dxfId="10579" priority="3164" operator="lessThan">
      <formula>0</formula>
    </cfRule>
  </conditionalFormatting>
  <conditionalFormatting sqref="R83">
    <cfRule type="cellIs" dxfId="10578" priority="3162" operator="lessThan">
      <formula>0.8</formula>
    </cfRule>
    <cfRule type="cellIs" dxfId="10577" priority="3163" operator="greaterThan">
      <formula>1</formula>
    </cfRule>
  </conditionalFormatting>
  <conditionalFormatting sqref="R83">
    <cfRule type="cellIs" dxfId="10576" priority="3160" operator="greaterThan">
      <formula>1</formula>
    </cfRule>
    <cfRule type="cellIs" dxfId="10575" priority="3161" operator="lessThan">
      <formula>0.8</formula>
    </cfRule>
  </conditionalFormatting>
  <conditionalFormatting sqref="P83">
    <cfRule type="cellIs" dxfId="10574" priority="3159" operator="greaterThan">
      <formula>0</formula>
    </cfRule>
  </conditionalFormatting>
  <conditionalFormatting sqref="Q83">
    <cfRule type="cellIs" dxfId="10573" priority="3153" operator="lessThan">
      <formula>0</formula>
    </cfRule>
  </conditionalFormatting>
  <conditionalFormatting sqref="R83">
    <cfRule type="cellIs" dxfId="10572" priority="3157" operator="lessThan">
      <formula>0.8</formula>
    </cfRule>
    <cfRule type="cellIs" dxfId="10571" priority="3158" operator="greaterThan">
      <formula>1</formula>
    </cfRule>
  </conditionalFormatting>
  <conditionalFormatting sqref="R83">
    <cfRule type="cellIs" dxfId="10570" priority="3155" operator="greaterThan">
      <formula>1</formula>
    </cfRule>
    <cfRule type="cellIs" dxfId="10569" priority="3156" operator="lessThan">
      <formula>0.8</formula>
    </cfRule>
  </conditionalFormatting>
  <conditionalFormatting sqref="P83">
    <cfRule type="cellIs" dxfId="10568" priority="3154" operator="greaterThan">
      <formula>0</formula>
    </cfRule>
  </conditionalFormatting>
  <conditionalFormatting sqref="Q83">
    <cfRule type="cellIs" dxfId="10567" priority="3152" operator="lessThan">
      <formula>0</formula>
    </cfRule>
  </conditionalFormatting>
  <conditionalFormatting sqref="R83">
    <cfRule type="cellIs" dxfId="10566" priority="3150" operator="lessThan">
      <formula>0.8</formula>
    </cfRule>
    <cfRule type="cellIs" dxfId="10565" priority="3151" operator="greaterThan">
      <formula>1</formula>
    </cfRule>
  </conditionalFormatting>
  <conditionalFormatting sqref="R83">
    <cfRule type="cellIs" dxfId="10564" priority="3148" operator="greaterThan">
      <formula>1</formula>
    </cfRule>
    <cfRule type="cellIs" dxfId="10563" priority="3149" operator="lessThan">
      <formula>0.8</formula>
    </cfRule>
  </conditionalFormatting>
  <conditionalFormatting sqref="P83">
    <cfRule type="cellIs" dxfId="10562" priority="3147" operator="greaterThan">
      <formula>0</formula>
    </cfRule>
  </conditionalFormatting>
  <conditionalFormatting sqref="Q83">
    <cfRule type="cellIs" dxfId="10561" priority="3146" operator="lessThan">
      <formula>0</formula>
    </cfRule>
  </conditionalFormatting>
  <conditionalFormatting sqref="R83">
    <cfRule type="cellIs" dxfId="10560" priority="3144" operator="lessThan">
      <formula>0.8</formula>
    </cfRule>
    <cfRule type="cellIs" dxfId="10559" priority="3145" operator="greaterThan">
      <formula>1</formula>
    </cfRule>
  </conditionalFormatting>
  <conditionalFormatting sqref="R83">
    <cfRule type="cellIs" dxfId="10558" priority="3142" operator="greaterThan">
      <formula>1</formula>
    </cfRule>
    <cfRule type="cellIs" dxfId="10557" priority="3143" operator="lessThan">
      <formula>0.8</formula>
    </cfRule>
  </conditionalFormatting>
  <conditionalFormatting sqref="P83">
    <cfRule type="cellIs" dxfId="10556" priority="3141" operator="greaterThan">
      <formula>0</formula>
    </cfRule>
  </conditionalFormatting>
  <conditionalFormatting sqref="Q83">
    <cfRule type="cellIs" dxfId="10555" priority="3140" operator="lessThan">
      <formula>0</formula>
    </cfRule>
  </conditionalFormatting>
  <conditionalFormatting sqref="R83">
    <cfRule type="cellIs" dxfId="10554" priority="3138" operator="lessThan">
      <formula>0.8</formula>
    </cfRule>
    <cfRule type="cellIs" dxfId="10553" priority="3139" operator="greaterThan">
      <formula>1</formula>
    </cfRule>
  </conditionalFormatting>
  <conditionalFormatting sqref="R83">
    <cfRule type="cellIs" dxfId="10552" priority="3136" operator="greaterThan">
      <formula>1</formula>
    </cfRule>
    <cfRule type="cellIs" dxfId="10551" priority="3137" operator="lessThan">
      <formula>0.8</formula>
    </cfRule>
  </conditionalFormatting>
  <conditionalFormatting sqref="P83">
    <cfRule type="cellIs" dxfId="10550" priority="3135" operator="greaterThan">
      <formula>0</formula>
    </cfRule>
  </conditionalFormatting>
  <conditionalFormatting sqref="Q83">
    <cfRule type="cellIs" dxfId="10549" priority="3134" operator="lessThan">
      <formula>0</formula>
    </cfRule>
  </conditionalFormatting>
  <conditionalFormatting sqref="R83">
    <cfRule type="cellIs" dxfId="10548" priority="3132" operator="lessThan">
      <formula>0.8</formula>
    </cfRule>
    <cfRule type="cellIs" dxfId="10547" priority="3133" operator="greaterThan">
      <formula>1</formula>
    </cfRule>
  </conditionalFormatting>
  <conditionalFormatting sqref="R83">
    <cfRule type="cellIs" dxfId="10546" priority="3130" operator="greaterThan">
      <formula>1</formula>
    </cfRule>
    <cfRule type="cellIs" dxfId="10545" priority="3131" operator="lessThan">
      <formula>0.8</formula>
    </cfRule>
  </conditionalFormatting>
  <conditionalFormatting sqref="P83">
    <cfRule type="cellIs" dxfId="10544" priority="3129" operator="greaterThan">
      <formula>0</formula>
    </cfRule>
  </conditionalFormatting>
  <conditionalFormatting sqref="Q83">
    <cfRule type="cellIs" dxfId="10543" priority="3128" operator="lessThan">
      <formula>0</formula>
    </cfRule>
  </conditionalFormatting>
  <conditionalFormatting sqref="R83">
    <cfRule type="cellIs" dxfId="10542" priority="3126" operator="lessThan">
      <formula>0.8</formula>
    </cfRule>
    <cfRule type="cellIs" dxfId="10541" priority="3127" operator="greaterThan">
      <formula>1</formula>
    </cfRule>
  </conditionalFormatting>
  <conditionalFormatting sqref="R83">
    <cfRule type="cellIs" dxfId="10540" priority="3124" operator="greaterThan">
      <formula>1</formula>
    </cfRule>
    <cfRule type="cellIs" dxfId="10539" priority="3125" operator="lessThan">
      <formula>0.8</formula>
    </cfRule>
  </conditionalFormatting>
  <conditionalFormatting sqref="P83">
    <cfRule type="cellIs" dxfId="10538" priority="3123" operator="greaterThan">
      <formula>0</formula>
    </cfRule>
  </conditionalFormatting>
  <conditionalFormatting sqref="P83">
    <cfRule type="cellIs" dxfId="10537" priority="3117" operator="greaterThan">
      <formula>0</formula>
    </cfRule>
  </conditionalFormatting>
  <conditionalFormatting sqref="Q83">
    <cfRule type="cellIs" dxfId="10536" priority="3122" operator="lessThan">
      <formula>0</formula>
    </cfRule>
  </conditionalFormatting>
  <conditionalFormatting sqref="R83">
    <cfRule type="cellIs" dxfId="10535" priority="3120" operator="lessThan">
      <formula>0.8</formula>
    </cfRule>
    <cfRule type="cellIs" dxfId="10534" priority="3121" operator="greaterThan">
      <formula>1</formula>
    </cfRule>
  </conditionalFormatting>
  <conditionalFormatting sqref="R83">
    <cfRule type="cellIs" dxfId="10533" priority="3118" operator="greaterThan">
      <formula>1</formula>
    </cfRule>
    <cfRule type="cellIs" dxfId="10532" priority="3119" operator="lessThan">
      <formula>0.8</formula>
    </cfRule>
  </conditionalFormatting>
  <conditionalFormatting sqref="P83">
    <cfRule type="cellIs" dxfId="10531" priority="3111" operator="greaterThan">
      <formula>0</formula>
    </cfRule>
  </conditionalFormatting>
  <conditionalFormatting sqref="Q83">
    <cfRule type="cellIs" dxfId="10530" priority="3116" operator="lessThan">
      <formula>0</formula>
    </cfRule>
  </conditionalFormatting>
  <conditionalFormatting sqref="R83">
    <cfRule type="cellIs" dxfId="10529" priority="3114" operator="lessThan">
      <formula>0.8</formula>
    </cfRule>
    <cfRule type="cellIs" dxfId="10528" priority="3115" operator="greaterThan">
      <formula>1</formula>
    </cfRule>
  </conditionalFormatting>
  <conditionalFormatting sqref="R83">
    <cfRule type="cellIs" dxfId="10527" priority="3112" operator="greaterThan">
      <formula>1</formula>
    </cfRule>
    <cfRule type="cellIs" dxfId="10526" priority="3113" operator="lessThan">
      <formula>0.8</formula>
    </cfRule>
  </conditionalFormatting>
  <conditionalFormatting sqref="R83">
    <cfRule type="cellIs" dxfId="10525" priority="3108" operator="lessThan">
      <formula>0.8</formula>
    </cfRule>
    <cfRule type="cellIs" dxfId="10524" priority="3109" operator="greaterThan">
      <formula>1</formula>
    </cfRule>
  </conditionalFormatting>
  <conditionalFormatting sqref="R83">
    <cfRule type="cellIs" dxfId="10523" priority="3106" operator="greaterThan">
      <formula>1</formula>
    </cfRule>
    <cfRule type="cellIs" dxfId="10522" priority="3107" operator="lessThan">
      <formula>0.8</formula>
    </cfRule>
  </conditionalFormatting>
  <conditionalFormatting sqref="P83">
    <cfRule type="cellIs" dxfId="10521" priority="3105" operator="greaterThan">
      <formula>0</formula>
    </cfRule>
  </conditionalFormatting>
  <conditionalFormatting sqref="Q83">
    <cfRule type="cellIs" dxfId="10520" priority="3110" operator="lessThan">
      <formula>0</formula>
    </cfRule>
  </conditionalFormatting>
  <conditionalFormatting sqref="Q83">
    <cfRule type="cellIs" dxfId="10519" priority="3099" operator="lessThan">
      <formula>0</formula>
    </cfRule>
  </conditionalFormatting>
  <conditionalFormatting sqref="P83">
    <cfRule type="cellIs" dxfId="10518" priority="3100" operator="greaterThan">
      <formula>0</formula>
    </cfRule>
  </conditionalFormatting>
  <conditionalFormatting sqref="R83">
    <cfRule type="cellIs" dxfId="10517" priority="3103" operator="lessThan">
      <formula>0.8</formula>
    </cfRule>
    <cfRule type="cellIs" dxfId="10516" priority="3104" operator="greaterThan">
      <formula>1</formula>
    </cfRule>
  </conditionalFormatting>
  <conditionalFormatting sqref="R83">
    <cfRule type="cellIs" dxfId="10515" priority="3101" operator="greaterThan">
      <formula>1</formula>
    </cfRule>
    <cfRule type="cellIs" dxfId="10514" priority="3102" operator="lessThan">
      <formula>0.8</formula>
    </cfRule>
  </conditionalFormatting>
  <conditionalFormatting sqref="Q83">
    <cfRule type="cellIs" dxfId="10513" priority="3093" operator="lessThan">
      <formula>0</formula>
    </cfRule>
  </conditionalFormatting>
  <conditionalFormatting sqref="R83">
    <cfRule type="cellIs" dxfId="10512" priority="3097" operator="lessThan">
      <formula>0.8</formula>
    </cfRule>
    <cfRule type="cellIs" dxfId="10511" priority="3098" operator="greaterThan">
      <formula>1</formula>
    </cfRule>
  </conditionalFormatting>
  <conditionalFormatting sqref="R83">
    <cfRule type="cellIs" dxfId="10510" priority="3095" operator="greaterThan">
      <formula>1</formula>
    </cfRule>
    <cfRule type="cellIs" dxfId="10509" priority="3096" operator="lessThan">
      <formula>0.8</formula>
    </cfRule>
  </conditionalFormatting>
  <conditionalFormatting sqref="P83">
    <cfRule type="cellIs" dxfId="10508" priority="3094" operator="greaterThan">
      <formula>0</formula>
    </cfRule>
  </conditionalFormatting>
  <conditionalFormatting sqref="Q83">
    <cfRule type="cellIs" dxfId="10507" priority="3092" operator="lessThan">
      <formula>0</formula>
    </cfRule>
  </conditionalFormatting>
  <conditionalFormatting sqref="R83">
    <cfRule type="cellIs" dxfId="10506" priority="3090" operator="lessThan">
      <formula>0.8</formula>
    </cfRule>
    <cfRule type="cellIs" dxfId="10505" priority="3091" operator="greaterThan">
      <formula>1</formula>
    </cfRule>
  </conditionalFormatting>
  <conditionalFormatting sqref="R83">
    <cfRule type="cellIs" dxfId="10504" priority="3088" operator="greaterThan">
      <formula>1</formula>
    </cfRule>
    <cfRule type="cellIs" dxfId="10503" priority="3089" operator="lessThan">
      <formula>0.8</formula>
    </cfRule>
  </conditionalFormatting>
  <conditionalFormatting sqref="P83">
    <cfRule type="cellIs" dxfId="10502" priority="3087" operator="greaterThan">
      <formula>0</formula>
    </cfRule>
  </conditionalFormatting>
  <conditionalFormatting sqref="Q83">
    <cfRule type="cellIs" dxfId="10501" priority="3086" operator="lessThan">
      <formula>0</formula>
    </cfRule>
  </conditionalFormatting>
  <conditionalFormatting sqref="R83">
    <cfRule type="cellIs" dxfId="10500" priority="3084" operator="lessThan">
      <formula>0.8</formula>
    </cfRule>
    <cfRule type="cellIs" dxfId="10499" priority="3085" operator="greaterThan">
      <formula>1</formula>
    </cfRule>
  </conditionalFormatting>
  <conditionalFormatting sqref="R83">
    <cfRule type="cellIs" dxfId="10498" priority="3082" operator="greaterThan">
      <formula>1</formula>
    </cfRule>
    <cfRule type="cellIs" dxfId="10497" priority="3083" operator="lessThan">
      <formula>0.8</formula>
    </cfRule>
  </conditionalFormatting>
  <conditionalFormatting sqref="P83">
    <cfRule type="cellIs" dxfId="10496" priority="3081" operator="greaterThan">
      <formula>0</formula>
    </cfRule>
  </conditionalFormatting>
  <conditionalFormatting sqref="Q83">
    <cfRule type="cellIs" dxfId="10495" priority="3080" operator="lessThan">
      <formula>0</formula>
    </cfRule>
  </conditionalFormatting>
  <conditionalFormatting sqref="R83">
    <cfRule type="cellIs" dxfId="10494" priority="3078" operator="lessThan">
      <formula>0.8</formula>
    </cfRule>
    <cfRule type="cellIs" dxfId="10493" priority="3079" operator="greaterThan">
      <formula>1</formula>
    </cfRule>
  </conditionalFormatting>
  <conditionalFormatting sqref="R83">
    <cfRule type="cellIs" dxfId="10492" priority="3076" operator="greaterThan">
      <formula>1</formula>
    </cfRule>
    <cfRule type="cellIs" dxfId="10491" priority="3077" operator="lessThan">
      <formula>0.8</formula>
    </cfRule>
  </conditionalFormatting>
  <conditionalFormatting sqref="P83">
    <cfRule type="cellIs" dxfId="10490" priority="3075" operator="greaterThan">
      <formula>0</formula>
    </cfRule>
  </conditionalFormatting>
  <conditionalFormatting sqref="Q83">
    <cfRule type="cellIs" dxfId="10489" priority="3074" operator="lessThan">
      <formula>0</formula>
    </cfRule>
  </conditionalFormatting>
  <conditionalFormatting sqref="R83">
    <cfRule type="cellIs" dxfId="10488" priority="3072" operator="lessThan">
      <formula>0.8</formula>
    </cfRule>
    <cfRule type="cellIs" dxfId="10487" priority="3073" operator="greaterThan">
      <formula>1</formula>
    </cfRule>
  </conditionalFormatting>
  <conditionalFormatting sqref="R83">
    <cfRule type="cellIs" dxfId="10486" priority="3070" operator="greaterThan">
      <formula>1</formula>
    </cfRule>
    <cfRule type="cellIs" dxfId="10485" priority="3071" operator="lessThan">
      <formula>0.8</formula>
    </cfRule>
  </conditionalFormatting>
  <conditionalFormatting sqref="P83">
    <cfRule type="cellIs" dxfId="10484" priority="3069" operator="greaterThan">
      <formula>0</formula>
    </cfRule>
  </conditionalFormatting>
  <conditionalFormatting sqref="Q83">
    <cfRule type="cellIs" dxfId="10483" priority="3068" operator="lessThan">
      <formula>0</formula>
    </cfRule>
  </conditionalFormatting>
  <conditionalFormatting sqref="R83">
    <cfRule type="cellIs" dxfId="10482" priority="3066" operator="lessThan">
      <formula>0.8</formula>
    </cfRule>
    <cfRule type="cellIs" dxfId="10481" priority="3067" operator="greaterThan">
      <formula>1</formula>
    </cfRule>
  </conditionalFormatting>
  <conditionalFormatting sqref="R83">
    <cfRule type="cellIs" dxfId="10480" priority="3064" operator="greaterThan">
      <formula>1</formula>
    </cfRule>
    <cfRule type="cellIs" dxfId="10479" priority="3065" operator="lessThan">
      <formula>0.8</formula>
    </cfRule>
  </conditionalFormatting>
  <conditionalFormatting sqref="P83">
    <cfRule type="cellIs" dxfId="10478" priority="3063" operator="greaterThan">
      <formula>0</formula>
    </cfRule>
  </conditionalFormatting>
  <conditionalFormatting sqref="Q83">
    <cfRule type="cellIs" dxfId="10477" priority="3062" operator="lessThan">
      <formula>0</formula>
    </cfRule>
  </conditionalFormatting>
  <conditionalFormatting sqref="R83">
    <cfRule type="cellIs" dxfId="10476" priority="3060" operator="lessThan">
      <formula>0.8</formula>
    </cfRule>
    <cfRule type="cellIs" dxfId="10475" priority="3061" operator="greaterThan">
      <formula>1</formula>
    </cfRule>
  </conditionalFormatting>
  <conditionalFormatting sqref="R83">
    <cfRule type="cellIs" dxfId="10474" priority="3058" operator="greaterThan">
      <formula>1</formula>
    </cfRule>
    <cfRule type="cellIs" dxfId="10473" priority="3059" operator="lessThan">
      <formula>0.8</formula>
    </cfRule>
  </conditionalFormatting>
  <conditionalFormatting sqref="P83">
    <cfRule type="cellIs" dxfId="10472" priority="3057" operator="greaterThan">
      <formula>0</formula>
    </cfRule>
  </conditionalFormatting>
  <conditionalFormatting sqref="Q83">
    <cfRule type="cellIs" dxfId="10471" priority="3056" operator="lessThan">
      <formula>0</formula>
    </cfRule>
  </conditionalFormatting>
  <conditionalFormatting sqref="R83">
    <cfRule type="cellIs" dxfId="10470" priority="3054" operator="lessThan">
      <formula>0.8</formula>
    </cfRule>
    <cfRule type="cellIs" dxfId="10469" priority="3055" operator="greaterThan">
      <formula>1</formula>
    </cfRule>
  </conditionalFormatting>
  <conditionalFormatting sqref="R83">
    <cfRule type="cellIs" dxfId="10468" priority="3052" operator="greaterThan">
      <formula>1</formula>
    </cfRule>
    <cfRule type="cellIs" dxfId="10467" priority="3053" operator="lessThan">
      <formula>0.8</formula>
    </cfRule>
  </conditionalFormatting>
  <conditionalFormatting sqref="P83">
    <cfRule type="cellIs" dxfId="10466" priority="3051" operator="greaterThan">
      <formula>0</formula>
    </cfRule>
  </conditionalFormatting>
  <conditionalFormatting sqref="P83">
    <cfRule type="cellIs" dxfId="10465" priority="3045" operator="greaterThan">
      <formula>0</formula>
    </cfRule>
  </conditionalFormatting>
  <conditionalFormatting sqref="Q83">
    <cfRule type="cellIs" dxfId="10464" priority="3050" operator="lessThan">
      <formula>0</formula>
    </cfRule>
  </conditionalFormatting>
  <conditionalFormatting sqref="R83">
    <cfRule type="cellIs" dxfId="10463" priority="3048" operator="lessThan">
      <formula>0.8</formula>
    </cfRule>
    <cfRule type="cellIs" dxfId="10462" priority="3049" operator="greaterThan">
      <formula>1</formula>
    </cfRule>
  </conditionalFormatting>
  <conditionalFormatting sqref="R83">
    <cfRule type="cellIs" dxfId="10461" priority="3046" operator="greaterThan">
      <formula>1</formula>
    </cfRule>
    <cfRule type="cellIs" dxfId="10460" priority="3047" operator="lessThan">
      <formula>0.8</formula>
    </cfRule>
  </conditionalFormatting>
  <conditionalFormatting sqref="P83">
    <cfRule type="cellIs" dxfId="10459" priority="3039" operator="greaterThan">
      <formula>0</formula>
    </cfRule>
  </conditionalFormatting>
  <conditionalFormatting sqref="Q83">
    <cfRule type="cellIs" dxfId="10458" priority="3044" operator="lessThan">
      <formula>0</formula>
    </cfRule>
  </conditionalFormatting>
  <conditionalFormatting sqref="R83">
    <cfRule type="cellIs" dxfId="10457" priority="3042" operator="lessThan">
      <formula>0.8</formula>
    </cfRule>
    <cfRule type="cellIs" dxfId="10456" priority="3043" operator="greaterThan">
      <formula>1</formula>
    </cfRule>
  </conditionalFormatting>
  <conditionalFormatting sqref="R83">
    <cfRule type="cellIs" dxfId="10455" priority="3040" operator="greaterThan">
      <formula>1</formula>
    </cfRule>
    <cfRule type="cellIs" dxfId="10454" priority="3041" operator="lessThan">
      <formula>0.8</formula>
    </cfRule>
  </conditionalFormatting>
  <conditionalFormatting sqref="R83">
    <cfRule type="cellIs" dxfId="10453" priority="3036" operator="lessThan">
      <formula>0.8</formula>
    </cfRule>
    <cfRule type="cellIs" dxfId="10452" priority="3037" operator="greaterThan">
      <formula>1</formula>
    </cfRule>
  </conditionalFormatting>
  <conditionalFormatting sqref="R83">
    <cfRule type="cellIs" dxfId="10451" priority="3034" operator="greaterThan">
      <formula>1</formula>
    </cfRule>
    <cfRule type="cellIs" dxfId="10450" priority="3035" operator="lessThan">
      <formula>0.8</formula>
    </cfRule>
  </conditionalFormatting>
  <conditionalFormatting sqref="P83">
    <cfRule type="cellIs" dxfId="10449" priority="3033" operator="greaterThan">
      <formula>0</formula>
    </cfRule>
  </conditionalFormatting>
  <conditionalFormatting sqref="Q83">
    <cfRule type="cellIs" dxfId="10448" priority="3038" operator="lessThan">
      <formula>0</formula>
    </cfRule>
  </conditionalFormatting>
  <conditionalFormatting sqref="Q83">
    <cfRule type="cellIs" dxfId="10447" priority="3032" operator="lessThan">
      <formula>0</formula>
    </cfRule>
  </conditionalFormatting>
  <conditionalFormatting sqref="R83">
    <cfRule type="cellIs" dxfId="10446" priority="3030" operator="lessThan">
      <formula>0.8</formula>
    </cfRule>
    <cfRule type="cellIs" dxfId="10445" priority="3031" operator="greaterThan">
      <formula>1</formula>
    </cfRule>
  </conditionalFormatting>
  <conditionalFormatting sqref="R83">
    <cfRule type="cellIs" dxfId="10444" priority="3028" operator="greaterThan">
      <formula>1</formula>
    </cfRule>
    <cfRule type="cellIs" dxfId="10443" priority="3029" operator="lessThan">
      <formula>0.8</formula>
    </cfRule>
  </conditionalFormatting>
  <conditionalFormatting sqref="P83">
    <cfRule type="cellIs" dxfId="10442" priority="3027" operator="greaterThan">
      <formula>0</formula>
    </cfRule>
  </conditionalFormatting>
  <conditionalFormatting sqref="P83">
    <cfRule type="cellIs" dxfId="10441" priority="3021" operator="greaterThan">
      <formula>0</formula>
    </cfRule>
  </conditionalFormatting>
  <conditionalFormatting sqref="Q83">
    <cfRule type="cellIs" dxfId="10440" priority="3026" operator="lessThan">
      <formula>0</formula>
    </cfRule>
  </conditionalFormatting>
  <conditionalFormatting sqref="R83">
    <cfRule type="cellIs" dxfId="10439" priority="3024" operator="lessThan">
      <formula>0.8</formula>
    </cfRule>
    <cfRule type="cellIs" dxfId="10438" priority="3025" operator="greaterThan">
      <formula>1</formula>
    </cfRule>
  </conditionalFormatting>
  <conditionalFormatting sqref="R83">
    <cfRule type="cellIs" dxfId="10437" priority="3022" operator="greaterThan">
      <formula>1</formula>
    </cfRule>
    <cfRule type="cellIs" dxfId="10436" priority="3023" operator="lessThan">
      <formula>0.8</formula>
    </cfRule>
  </conditionalFormatting>
  <conditionalFormatting sqref="P83">
    <cfRule type="cellIs" dxfId="10435" priority="3015" operator="greaterThan">
      <formula>0</formula>
    </cfRule>
  </conditionalFormatting>
  <conditionalFormatting sqref="Q83">
    <cfRule type="cellIs" dxfId="10434" priority="3020" operator="lessThan">
      <formula>0</formula>
    </cfRule>
  </conditionalFormatting>
  <conditionalFormatting sqref="R83">
    <cfRule type="cellIs" dxfId="10433" priority="3018" operator="lessThan">
      <formula>0.8</formula>
    </cfRule>
    <cfRule type="cellIs" dxfId="10432" priority="3019" operator="greaterThan">
      <formula>1</formula>
    </cfRule>
  </conditionalFormatting>
  <conditionalFormatting sqref="R83">
    <cfRule type="cellIs" dxfId="10431" priority="3016" operator="greaterThan">
      <formula>1</formula>
    </cfRule>
    <cfRule type="cellIs" dxfId="10430" priority="3017" operator="lessThan">
      <formula>0.8</formula>
    </cfRule>
  </conditionalFormatting>
  <conditionalFormatting sqref="R83">
    <cfRule type="cellIs" dxfId="10429" priority="3012" operator="lessThan">
      <formula>0.8</formula>
    </cfRule>
    <cfRule type="cellIs" dxfId="10428" priority="3013" operator="greaterThan">
      <formula>1</formula>
    </cfRule>
  </conditionalFormatting>
  <conditionalFormatting sqref="R83">
    <cfRule type="cellIs" dxfId="10427" priority="3010" operator="greaterThan">
      <formula>1</formula>
    </cfRule>
    <cfRule type="cellIs" dxfId="10426" priority="3011" operator="lessThan">
      <formula>0.8</formula>
    </cfRule>
  </conditionalFormatting>
  <conditionalFormatting sqref="P83">
    <cfRule type="cellIs" dxfId="10425" priority="3009" operator="greaterThan">
      <formula>0</formula>
    </cfRule>
  </conditionalFormatting>
  <conditionalFormatting sqref="Q83">
    <cfRule type="cellIs" dxfId="10424" priority="3014" operator="lessThan">
      <formula>0</formula>
    </cfRule>
  </conditionalFormatting>
  <conditionalFormatting sqref="P83">
    <cfRule type="cellIs" dxfId="10423" priority="3003" operator="greaterThan">
      <formula>0</formula>
    </cfRule>
  </conditionalFormatting>
  <conditionalFormatting sqref="Q83">
    <cfRule type="cellIs" dxfId="10422" priority="3008" operator="lessThan">
      <formula>0</formula>
    </cfRule>
  </conditionalFormatting>
  <conditionalFormatting sqref="R83">
    <cfRule type="cellIs" dxfId="10421" priority="3006" operator="lessThan">
      <formula>0.8</formula>
    </cfRule>
    <cfRule type="cellIs" dxfId="10420" priority="3007" operator="greaterThan">
      <formula>1</formula>
    </cfRule>
  </conditionalFormatting>
  <conditionalFormatting sqref="R83">
    <cfRule type="cellIs" dxfId="10419" priority="3004" operator="greaterThan">
      <formula>1</formula>
    </cfRule>
    <cfRule type="cellIs" dxfId="10418" priority="3005" operator="lessThan">
      <formula>0.8</formula>
    </cfRule>
  </conditionalFormatting>
  <conditionalFormatting sqref="R83">
    <cfRule type="cellIs" dxfId="10417" priority="3000" operator="lessThan">
      <formula>0.8</formula>
    </cfRule>
    <cfRule type="cellIs" dxfId="10416" priority="3001" operator="greaterThan">
      <formula>1</formula>
    </cfRule>
  </conditionalFormatting>
  <conditionalFormatting sqref="R83">
    <cfRule type="cellIs" dxfId="10415" priority="2998" operator="greaterThan">
      <formula>1</formula>
    </cfRule>
    <cfRule type="cellIs" dxfId="10414" priority="2999" operator="lessThan">
      <formula>0.8</formula>
    </cfRule>
  </conditionalFormatting>
  <conditionalFormatting sqref="P83">
    <cfRule type="cellIs" dxfId="10413" priority="2997" operator="greaterThan">
      <formula>0</formula>
    </cfRule>
  </conditionalFormatting>
  <conditionalFormatting sqref="Q83">
    <cfRule type="cellIs" dxfId="10412" priority="3002" operator="lessThan">
      <formula>0</formula>
    </cfRule>
  </conditionalFormatting>
  <conditionalFormatting sqref="R83">
    <cfRule type="cellIs" dxfId="10411" priority="2994" operator="lessThan">
      <formula>0.8</formula>
    </cfRule>
    <cfRule type="cellIs" dxfId="10410" priority="2995" operator="greaterThan">
      <formula>1</formula>
    </cfRule>
  </conditionalFormatting>
  <conditionalFormatting sqref="R83">
    <cfRule type="cellIs" dxfId="10409" priority="2992" operator="greaterThan">
      <formula>1</formula>
    </cfRule>
    <cfRule type="cellIs" dxfId="10408" priority="2993" operator="lessThan">
      <formula>0.8</formula>
    </cfRule>
  </conditionalFormatting>
  <conditionalFormatting sqref="P83">
    <cfRule type="cellIs" dxfId="10407" priority="2991" operator="greaterThan">
      <formula>0</formula>
    </cfRule>
  </conditionalFormatting>
  <conditionalFormatting sqref="Q83">
    <cfRule type="cellIs" dxfId="10406" priority="2996" operator="lessThan">
      <formula>0</formula>
    </cfRule>
  </conditionalFormatting>
  <conditionalFormatting sqref="Q83">
    <cfRule type="cellIs" dxfId="10405" priority="2990" operator="lessThan">
      <formula>0</formula>
    </cfRule>
  </conditionalFormatting>
  <conditionalFormatting sqref="R83">
    <cfRule type="cellIs" dxfId="10404" priority="2988" operator="lessThan">
      <formula>0.8</formula>
    </cfRule>
    <cfRule type="cellIs" dxfId="10403" priority="2989" operator="greaterThan">
      <formula>1</formula>
    </cfRule>
  </conditionalFormatting>
  <conditionalFormatting sqref="R83">
    <cfRule type="cellIs" dxfId="10402" priority="2986" operator="greaterThan">
      <formula>1</formula>
    </cfRule>
    <cfRule type="cellIs" dxfId="10401" priority="2987" operator="lessThan">
      <formula>0.8</formula>
    </cfRule>
  </conditionalFormatting>
  <conditionalFormatting sqref="P83">
    <cfRule type="cellIs" dxfId="10400" priority="2985" operator="greaterThan">
      <formula>0</formula>
    </cfRule>
  </conditionalFormatting>
  <conditionalFormatting sqref="Q83">
    <cfRule type="cellIs" dxfId="10399" priority="2979" operator="lessThan">
      <formula>0</formula>
    </cfRule>
  </conditionalFormatting>
  <conditionalFormatting sqref="R83">
    <cfRule type="cellIs" dxfId="10398" priority="2983" operator="lessThan">
      <formula>0.8</formula>
    </cfRule>
    <cfRule type="cellIs" dxfId="10397" priority="2984" operator="greaterThan">
      <formula>1</formula>
    </cfRule>
  </conditionalFormatting>
  <conditionalFormatting sqref="R83">
    <cfRule type="cellIs" dxfId="10396" priority="2981" operator="greaterThan">
      <formula>1</formula>
    </cfRule>
    <cfRule type="cellIs" dxfId="10395" priority="2982" operator="lessThan">
      <formula>0.8</formula>
    </cfRule>
  </conditionalFormatting>
  <conditionalFormatting sqref="P83">
    <cfRule type="cellIs" dxfId="10394" priority="2980" operator="greaterThan">
      <formula>0</formula>
    </cfRule>
  </conditionalFormatting>
  <conditionalFormatting sqref="Q83">
    <cfRule type="cellIs" dxfId="10393" priority="2978" operator="lessThan">
      <formula>0</formula>
    </cfRule>
  </conditionalFormatting>
  <conditionalFormatting sqref="R83">
    <cfRule type="cellIs" dxfId="10392" priority="2976" operator="lessThan">
      <formula>0.8</formula>
    </cfRule>
    <cfRule type="cellIs" dxfId="10391" priority="2977" operator="greaterThan">
      <formula>1</formula>
    </cfRule>
  </conditionalFormatting>
  <conditionalFormatting sqref="R83">
    <cfRule type="cellIs" dxfId="10390" priority="2974" operator="greaterThan">
      <formula>1</formula>
    </cfRule>
    <cfRule type="cellIs" dxfId="10389" priority="2975" operator="lessThan">
      <formula>0.8</formula>
    </cfRule>
  </conditionalFormatting>
  <conditionalFormatting sqref="P83">
    <cfRule type="cellIs" dxfId="10388" priority="2973" operator="greaterThan">
      <formula>0</formula>
    </cfRule>
  </conditionalFormatting>
  <conditionalFormatting sqref="Q83">
    <cfRule type="cellIs" dxfId="10387" priority="2972" operator="lessThan">
      <formula>0</formula>
    </cfRule>
  </conditionalFormatting>
  <conditionalFormatting sqref="R83">
    <cfRule type="cellIs" dxfId="10386" priority="2970" operator="lessThan">
      <formula>0.8</formula>
    </cfRule>
    <cfRule type="cellIs" dxfId="10385" priority="2971" operator="greaterThan">
      <formula>1</formula>
    </cfRule>
  </conditionalFormatting>
  <conditionalFormatting sqref="R83">
    <cfRule type="cellIs" dxfId="10384" priority="2968" operator="greaterThan">
      <formula>1</formula>
    </cfRule>
    <cfRule type="cellIs" dxfId="10383" priority="2969" operator="lessThan">
      <formula>0.8</formula>
    </cfRule>
  </conditionalFormatting>
  <conditionalFormatting sqref="P83">
    <cfRule type="cellIs" dxfId="10382" priority="2967" operator="greaterThan">
      <formula>0</formula>
    </cfRule>
  </conditionalFormatting>
  <conditionalFormatting sqref="Q83">
    <cfRule type="cellIs" dxfId="10381" priority="2966" operator="lessThan">
      <formula>0</formula>
    </cfRule>
  </conditionalFormatting>
  <conditionalFormatting sqref="R83">
    <cfRule type="cellIs" dxfId="10380" priority="2964" operator="lessThan">
      <formula>0.8</formula>
    </cfRule>
    <cfRule type="cellIs" dxfId="10379" priority="2965" operator="greaterThan">
      <formula>1</formula>
    </cfRule>
  </conditionalFormatting>
  <conditionalFormatting sqref="R83">
    <cfRule type="cellIs" dxfId="10378" priority="2962" operator="greaterThan">
      <formula>1</formula>
    </cfRule>
    <cfRule type="cellIs" dxfId="10377" priority="2963" operator="lessThan">
      <formula>0.8</formula>
    </cfRule>
  </conditionalFormatting>
  <conditionalFormatting sqref="P83">
    <cfRule type="cellIs" dxfId="10376" priority="2961" operator="greaterThan">
      <formula>0</formula>
    </cfRule>
  </conditionalFormatting>
  <conditionalFormatting sqref="Q83">
    <cfRule type="cellIs" dxfId="10375" priority="2960" operator="lessThan">
      <formula>0</formula>
    </cfRule>
  </conditionalFormatting>
  <conditionalFormatting sqref="R83">
    <cfRule type="cellIs" dxfId="10374" priority="2958" operator="lessThan">
      <formula>0.8</formula>
    </cfRule>
    <cfRule type="cellIs" dxfId="10373" priority="2959" operator="greaterThan">
      <formula>1</formula>
    </cfRule>
  </conditionalFormatting>
  <conditionalFormatting sqref="R83">
    <cfRule type="cellIs" dxfId="10372" priority="2956" operator="greaterThan">
      <formula>1</formula>
    </cfRule>
    <cfRule type="cellIs" dxfId="10371" priority="2957" operator="lessThan">
      <formula>0.8</formula>
    </cfRule>
  </conditionalFormatting>
  <conditionalFormatting sqref="P83">
    <cfRule type="cellIs" dxfId="10370" priority="2955" operator="greaterThan">
      <formula>0</formula>
    </cfRule>
  </conditionalFormatting>
  <conditionalFormatting sqref="Q83">
    <cfRule type="cellIs" dxfId="10369" priority="2954" operator="lessThan">
      <formula>0</formula>
    </cfRule>
  </conditionalFormatting>
  <conditionalFormatting sqref="R83">
    <cfRule type="cellIs" dxfId="10368" priority="2952" operator="lessThan">
      <formula>0.8</formula>
    </cfRule>
    <cfRule type="cellIs" dxfId="10367" priority="2953" operator="greaterThan">
      <formula>1</formula>
    </cfRule>
  </conditionalFormatting>
  <conditionalFormatting sqref="R83">
    <cfRule type="cellIs" dxfId="10366" priority="2950" operator="greaterThan">
      <formula>1</formula>
    </cfRule>
    <cfRule type="cellIs" dxfId="10365" priority="2951" operator="lessThan">
      <formula>0.8</formula>
    </cfRule>
  </conditionalFormatting>
  <conditionalFormatting sqref="P83">
    <cfRule type="cellIs" dxfId="10364" priority="2949" operator="greaterThan">
      <formula>0</formula>
    </cfRule>
  </conditionalFormatting>
  <conditionalFormatting sqref="P83">
    <cfRule type="cellIs" dxfId="10363" priority="2943" operator="greaterThan">
      <formula>0</formula>
    </cfRule>
  </conditionalFormatting>
  <conditionalFormatting sqref="Q83">
    <cfRule type="cellIs" dxfId="10362" priority="2948" operator="lessThan">
      <formula>0</formula>
    </cfRule>
  </conditionalFormatting>
  <conditionalFormatting sqref="R83">
    <cfRule type="cellIs" dxfId="10361" priority="2946" operator="lessThan">
      <formula>0.8</formula>
    </cfRule>
    <cfRule type="cellIs" dxfId="10360" priority="2947" operator="greaterThan">
      <formula>1</formula>
    </cfRule>
  </conditionalFormatting>
  <conditionalFormatting sqref="R83">
    <cfRule type="cellIs" dxfId="10359" priority="2944" operator="greaterThan">
      <formula>1</formula>
    </cfRule>
    <cfRule type="cellIs" dxfId="10358" priority="2945" operator="lessThan">
      <formula>0.8</formula>
    </cfRule>
  </conditionalFormatting>
  <conditionalFormatting sqref="P83">
    <cfRule type="cellIs" dxfId="10357" priority="2937" operator="greaterThan">
      <formula>0</formula>
    </cfRule>
  </conditionalFormatting>
  <conditionalFormatting sqref="Q83">
    <cfRule type="cellIs" dxfId="10356" priority="2942" operator="lessThan">
      <formula>0</formula>
    </cfRule>
  </conditionalFormatting>
  <conditionalFormatting sqref="R83">
    <cfRule type="cellIs" dxfId="10355" priority="2940" operator="lessThan">
      <formula>0.8</formula>
    </cfRule>
    <cfRule type="cellIs" dxfId="10354" priority="2941" operator="greaterThan">
      <formula>1</formula>
    </cfRule>
  </conditionalFormatting>
  <conditionalFormatting sqref="R83">
    <cfRule type="cellIs" dxfId="10353" priority="2938" operator="greaterThan">
      <formula>1</formula>
    </cfRule>
    <cfRule type="cellIs" dxfId="10352" priority="2939" operator="lessThan">
      <formula>0.8</formula>
    </cfRule>
  </conditionalFormatting>
  <conditionalFormatting sqref="R83">
    <cfRule type="cellIs" dxfId="10351" priority="2934" operator="lessThan">
      <formula>0.8</formula>
    </cfRule>
    <cfRule type="cellIs" dxfId="10350" priority="2935" operator="greaterThan">
      <formula>1</formula>
    </cfRule>
  </conditionalFormatting>
  <conditionalFormatting sqref="R83">
    <cfRule type="cellIs" dxfId="10349" priority="2932" operator="greaterThan">
      <formula>1</formula>
    </cfRule>
    <cfRule type="cellIs" dxfId="10348" priority="2933" operator="lessThan">
      <formula>0.8</formula>
    </cfRule>
  </conditionalFormatting>
  <conditionalFormatting sqref="P83">
    <cfRule type="cellIs" dxfId="10347" priority="2931" operator="greaterThan">
      <formula>0</formula>
    </cfRule>
  </conditionalFormatting>
  <conditionalFormatting sqref="Q83">
    <cfRule type="cellIs" dxfId="10346" priority="2936" operator="lessThan">
      <formula>0</formula>
    </cfRule>
  </conditionalFormatting>
  <conditionalFormatting sqref="P123 P125:P129">
    <cfRule type="cellIs" dxfId="10345" priority="2925" operator="greaterThan">
      <formula>0</formula>
    </cfRule>
  </conditionalFormatting>
  <conditionalFormatting sqref="Q123 Q125:Q129">
    <cfRule type="cellIs" dxfId="10344" priority="2930" operator="lessThan">
      <formula>0</formula>
    </cfRule>
  </conditionalFormatting>
  <conditionalFormatting sqref="R123 R125:R129">
    <cfRule type="cellIs" dxfId="10343" priority="2928" operator="lessThan">
      <formula>0.8</formula>
    </cfRule>
    <cfRule type="cellIs" dxfId="10342" priority="2929" operator="greaterThan">
      <formula>1</formula>
    </cfRule>
  </conditionalFormatting>
  <conditionalFormatting sqref="R123 R125:R129">
    <cfRule type="cellIs" dxfId="10341" priority="2926" operator="greaterThan">
      <formula>1</formula>
    </cfRule>
    <cfRule type="cellIs" dxfId="10340" priority="2927" operator="lessThan">
      <formula>0.8</formula>
    </cfRule>
  </conditionalFormatting>
  <conditionalFormatting sqref="Q123 Q125:Q129">
    <cfRule type="cellIs" dxfId="10339" priority="2924" operator="lessThan">
      <formula>0</formula>
    </cfRule>
  </conditionalFormatting>
  <conditionalFormatting sqref="R123 R125:R129">
    <cfRule type="cellIs" dxfId="10338" priority="2922" operator="lessThan">
      <formula>0.8</formula>
    </cfRule>
    <cfRule type="cellIs" dxfId="10337" priority="2923" operator="greaterThan">
      <formula>1</formula>
    </cfRule>
  </conditionalFormatting>
  <conditionalFormatting sqref="R123 R125:R129">
    <cfRule type="cellIs" dxfId="10336" priority="2920" operator="greaterThan">
      <formula>1</formula>
    </cfRule>
    <cfRule type="cellIs" dxfId="10335" priority="2921" operator="lessThan">
      <formula>0.8</formula>
    </cfRule>
  </conditionalFormatting>
  <conditionalFormatting sqref="P123 P125:P129">
    <cfRule type="cellIs" dxfId="10334" priority="2919" operator="greaterThan">
      <formula>0</formula>
    </cfRule>
  </conditionalFormatting>
  <conditionalFormatting sqref="Q31">
    <cfRule type="cellIs" dxfId="10333" priority="2918" operator="lessThan">
      <formula>0</formula>
    </cfRule>
  </conditionalFormatting>
  <conditionalFormatting sqref="R31">
    <cfRule type="cellIs" dxfId="10332" priority="2916" operator="lessThan">
      <formula>0.8</formula>
    </cfRule>
    <cfRule type="cellIs" dxfId="10331" priority="2917" operator="greaterThan">
      <formula>1</formula>
    </cfRule>
  </conditionalFormatting>
  <conditionalFormatting sqref="R31">
    <cfRule type="cellIs" dxfId="10330" priority="2914" operator="greaterThan">
      <formula>1</formula>
    </cfRule>
    <cfRule type="cellIs" dxfId="10329" priority="2915" operator="lessThan">
      <formula>0.8</formula>
    </cfRule>
  </conditionalFormatting>
  <conditionalFormatting sqref="P31">
    <cfRule type="cellIs" dxfId="10328" priority="2913" operator="greaterThan">
      <formula>0</formula>
    </cfRule>
  </conditionalFormatting>
  <conditionalFormatting sqref="Q31">
    <cfRule type="cellIs" dxfId="10327" priority="2912" operator="lessThan">
      <formula>0</formula>
    </cfRule>
  </conditionalFormatting>
  <conditionalFormatting sqref="R31">
    <cfRule type="cellIs" dxfId="10326" priority="2910" operator="lessThan">
      <formula>0.8</formula>
    </cfRule>
    <cfRule type="cellIs" dxfId="10325" priority="2911" operator="greaterThan">
      <formula>1</formula>
    </cfRule>
  </conditionalFormatting>
  <conditionalFormatting sqref="R31">
    <cfRule type="cellIs" dxfId="10324" priority="2908" operator="greaterThan">
      <formula>1</formula>
    </cfRule>
    <cfRule type="cellIs" dxfId="10323" priority="2909" operator="lessThan">
      <formula>0.8</formula>
    </cfRule>
  </conditionalFormatting>
  <conditionalFormatting sqref="P31">
    <cfRule type="cellIs" dxfId="10322" priority="2907" operator="greaterThan">
      <formula>0</formula>
    </cfRule>
  </conditionalFormatting>
  <conditionalFormatting sqref="Q31">
    <cfRule type="cellIs" dxfId="10321" priority="2906" operator="lessThan">
      <formula>0</formula>
    </cfRule>
  </conditionalFormatting>
  <conditionalFormatting sqref="R31">
    <cfRule type="cellIs" dxfId="10320" priority="2904" operator="lessThan">
      <formula>0.8</formula>
    </cfRule>
    <cfRule type="cellIs" dxfId="10319" priority="2905" operator="greaterThan">
      <formula>1</formula>
    </cfRule>
  </conditionalFormatting>
  <conditionalFormatting sqref="R31">
    <cfRule type="cellIs" dxfId="10318" priority="2902" operator="greaterThan">
      <formula>1</formula>
    </cfRule>
    <cfRule type="cellIs" dxfId="10317" priority="2903" operator="lessThan">
      <formula>0.8</formula>
    </cfRule>
  </conditionalFormatting>
  <conditionalFormatting sqref="P31">
    <cfRule type="cellIs" dxfId="10316" priority="2901" operator="greaterThan">
      <formula>0</formula>
    </cfRule>
  </conditionalFormatting>
  <conditionalFormatting sqref="Q31">
    <cfRule type="cellIs" dxfId="10315" priority="2900" operator="lessThan">
      <formula>0</formula>
    </cfRule>
  </conditionalFormatting>
  <conditionalFormatting sqref="R31">
    <cfRule type="cellIs" dxfId="10314" priority="2898" operator="lessThan">
      <formula>0.8</formula>
    </cfRule>
    <cfRule type="cellIs" dxfId="10313" priority="2899" operator="greaterThan">
      <formula>1</formula>
    </cfRule>
  </conditionalFormatting>
  <conditionalFormatting sqref="R31">
    <cfRule type="cellIs" dxfId="10312" priority="2896" operator="greaterThan">
      <formula>1</formula>
    </cfRule>
    <cfRule type="cellIs" dxfId="10311" priority="2897" operator="lessThan">
      <formula>0.8</formula>
    </cfRule>
  </conditionalFormatting>
  <conditionalFormatting sqref="P31">
    <cfRule type="cellIs" dxfId="10310" priority="2895" operator="greaterThan">
      <formula>0</formula>
    </cfRule>
  </conditionalFormatting>
  <conditionalFormatting sqref="P31">
    <cfRule type="cellIs" dxfId="10309" priority="2889" operator="greaterThan">
      <formula>0</formula>
    </cfRule>
  </conditionalFormatting>
  <conditionalFormatting sqref="Q31">
    <cfRule type="cellIs" dxfId="10308" priority="2894" operator="lessThan">
      <formula>0</formula>
    </cfRule>
  </conditionalFormatting>
  <conditionalFormatting sqref="R31">
    <cfRule type="cellIs" dxfId="10307" priority="2892" operator="lessThan">
      <formula>0.8</formula>
    </cfRule>
    <cfRule type="cellIs" dxfId="10306" priority="2893" operator="greaterThan">
      <formula>1</formula>
    </cfRule>
  </conditionalFormatting>
  <conditionalFormatting sqref="R31">
    <cfRule type="cellIs" dxfId="10305" priority="2890" operator="greaterThan">
      <formula>1</formula>
    </cfRule>
    <cfRule type="cellIs" dxfId="10304" priority="2891" operator="lessThan">
      <formula>0.8</formula>
    </cfRule>
  </conditionalFormatting>
  <conditionalFormatting sqref="P31">
    <cfRule type="cellIs" dxfId="10303" priority="2883" operator="greaterThan">
      <formula>0</formula>
    </cfRule>
  </conditionalFormatting>
  <conditionalFormatting sqref="Q31">
    <cfRule type="cellIs" dxfId="10302" priority="2888" operator="lessThan">
      <formula>0</formula>
    </cfRule>
  </conditionalFormatting>
  <conditionalFormatting sqref="R31">
    <cfRule type="cellIs" dxfId="10301" priority="2886" operator="lessThan">
      <formula>0.8</formula>
    </cfRule>
    <cfRule type="cellIs" dxfId="10300" priority="2887" operator="greaterThan">
      <formula>1</formula>
    </cfRule>
  </conditionalFormatting>
  <conditionalFormatting sqref="R31">
    <cfRule type="cellIs" dxfId="10299" priority="2884" operator="greaterThan">
      <formula>1</formula>
    </cfRule>
    <cfRule type="cellIs" dxfId="10298" priority="2885" operator="lessThan">
      <formula>0.8</formula>
    </cfRule>
  </conditionalFormatting>
  <conditionalFormatting sqref="R31">
    <cfRule type="cellIs" dxfId="10297" priority="2880" operator="lessThan">
      <formula>0.8</formula>
    </cfRule>
    <cfRule type="cellIs" dxfId="10296" priority="2881" operator="greaterThan">
      <formula>1</formula>
    </cfRule>
  </conditionalFormatting>
  <conditionalFormatting sqref="R31">
    <cfRule type="cellIs" dxfId="10295" priority="2878" operator="greaterThan">
      <formula>1</formula>
    </cfRule>
    <cfRule type="cellIs" dxfId="10294" priority="2879" operator="lessThan">
      <formula>0.8</formula>
    </cfRule>
  </conditionalFormatting>
  <conditionalFormatting sqref="P31">
    <cfRule type="cellIs" dxfId="10293" priority="2877" operator="greaterThan">
      <formula>0</formula>
    </cfRule>
  </conditionalFormatting>
  <conditionalFormatting sqref="Q31">
    <cfRule type="cellIs" dxfId="10292" priority="2882" operator="lessThan">
      <formula>0</formula>
    </cfRule>
  </conditionalFormatting>
  <conditionalFormatting sqref="Q31">
    <cfRule type="cellIs" dxfId="10291" priority="2876" operator="lessThan">
      <formula>0</formula>
    </cfRule>
  </conditionalFormatting>
  <conditionalFormatting sqref="R31">
    <cfRule type="cellIs" dxfId="10290" priority="2874" operator="lessThan">
      <formula>0.8</formula>
    </cfRule>
    <cfRule type="cellIs" dxfId="10289" priority="2875" operator="greaterThan">
      <formula>1</formula>
    </cfRule>
  </conditionalFormatting>
  <conditionalFormatting sqref="R31">
    <cfRule type="cellIs" dxfId="10288" priority="2872" operator="greaterThan">
      <formula>1</formula>
    </cfRule>
    <cfRule type="cellIs" dxfId="10287" priority="2873" operator="lessThan">
      <formula>0.8</formula>
    </cfRule>
  </conditionalFormatting>
  <conditionalFormatting sqref="P31">
    <cfRule type="cellIs" dxfId="10286" priority="2871" operator="greaterThan">
      <formula>0</formula>
    </cfRule>
  </conditionalFormatting>
  <conditionalFormatting sqref="P31">
    <cfRule type="cellIs" dxfId="10285" priority="2865" operator="greaterThan">
      <formula>0</formula>
    </cfRule>
  </conditionalFormatting>
  <conditionalFormatting sqref="Q31">
    <cfRule type="cellIs" dxfId="10284" priority="2870" operator="lessThan">
      <formula>0</formula>
    </cfRule>
  </conditionalFormatting>
  <conditionalFormatting sqref="R31">
    <cfRule type="cellIs" dxfId="10283" priority="2868" operator="lessThan">
      <formula>0.8</formula>
    </cfRule>
    <cfRule type="cellIs" dxfId="10282" priority="2869" operator="greaterThan">
      <formula>1</formula>
    </cfRule>
  </conditionalFormatting>
  <conditionalFormatting sqref="R31">
    <cfRule type="cellIs" dxfId="10281" priority="2866" operator="greaterThan">
      <formula>1</formula>
    </cfRule>
    <cfRule type="cellIs" dxfId="10280" priority="2867" operator="lessThan">
      <formula>0.8</formula>
    </cfRule>
  </conditionalFormatting>
  <conditionalFormatting sqref="P31">
    <cfRule type="cellIs" dxfId="10279" priority="2859" operator="greaterThan">
      <formula>0</formula>
    </cfRule>
  </conditionalFormatting>
  <conditionalFormatting sqref="Q31">
    <cfRule type="cellIs" dxfId="10278" priority="2864" operator="lessThan">
      <formula>0</formula>
    </cfRule>
  </conditionalFormatting>
  <conditionalFormatting sqref="R31">
    <cfRule type="cellIs" dxfId="10277" priority="2862" operator="lessThan">
      <formula>0.8</formula>
    </cfRule>
    <cfRule type="cellIs" dxfId="10276" priority="2863" operator="greaterThan">
      <formula>1</formula>
    </cfRule>
  </conditionalFormatting>
  <conditionalFormatting sqref="R31">
    <cfRule type="cellIs" dxfId="10275" priority="2860" operator="greaterThan">
      <formula>1</formula>
    </cfRule>
    <cfRule type="cellIs" dxfId="10274" priority="2861" operator="lessThan">
      <formula>0.8</formula>
    </cfRule>
  </conditionalFormatting>
  <conditionalFormatting sqref="R31">
    <cfRule type="cellIs" dxfId="10273" priority="2856" operator="lessThan">
      <formula>0.8</formula>
    </cfRule>
    <cfRule type="cellIs" dxfId="10272" priority="2857" operator="greaterThan">
      <formula>1</formula>
    </cfRule>
  </conditionalFormatting>
  <conditionalFormatting sqref="R31">
    <cfRule type="cellIs" dxfId="10271" priority="2854" operator="greaterThan">
      <formula>1</formula>
    </cfRule>
    <cfRule type="cellIs" dxfId="10270" priority="2855" operator="lessThan">
      <formula>0.8</formula>
    </cfRule>
  </conditionalFormatting>
  <conditionalFormatting sqref="P31">
    <cfRule type="cellIs" dxfId="10269" priority="2853" operator="greaterThan">
      <formula>0</formula>
    </cfRule>
  </conditionalFormatting>
  <conditionalFormatting sqref="Q31">
    <cfRule type="cellIs" dxfId="10268" priority="2858" operator="lessThan">
      <formula>0</formula>
    </cfRule>
  </conditionalFormatting>
  <conditionalFormatting sqref="P31">
    <cfRule type="cellIs" dxfId="10267" priority="2847" operator="greaterThan">
      <formula>0</formula>
    </cfRule>
  </conditionalFormatting>
  <conditionalFormatting sqref="Q31">
    <cfRule type="cellIs" dxfId="10266" priority="2852" operator="lessThan">
      <formula>0</formula>
    </cfRule>
  </conditionalFormatting>
  <conditionalFormatting sqref="R31">
    <cfRule type="cellIs" dxfId="10265" priority="2850" operator="lessThan">
      <formula>0.8</formula>
    </cfRule>
    <cfRule type="cellIs" dxfId="10264" priority="2851" operator="greaterThan">
      <formula>1</formula>
    </cfRule>
  </conditionalFormatting>
  <conditionalFormatting sqref="R31">
    <cfRule type="cellIs" dxfId="10263" priority="2848" operator="greaterThan">
      <formula>1</formula>
    </cfRule>
    <cfRule type="cellIs" dxfId="10262" priority="2849" operator="lessThan">
      <formula>0.8</formula>
    </cfRule>
  </conditionalFormatting>
  <conditionalFormatting sqref="R31">
    <cfRule type="cellIs" dxfId="10261" priority="2844" operator="lessThan">
      <formula>0.8</formula>
    </cfRule>
    <cfRule type="cellIs" dxfId="10260" priority="2845" operator="greaterThan">
      <formula>1</formula>
    </cfRule>
  </conditionalFormatting>
  <conditionalFormatting sqref="R31">
    <cfRule type="cellIs" dxfId="10259" priority="2842" operator="greaterThan">
      <formula>1</formula>
    </cfRule>
    <cfRule type="cellIs" dxfId="10258" priority="2843" operator="lessThan">
      <formula>0.8</formula>
    </cfRule>
  </conditionalFormatting>
  <conditionalFormatting sqref="P31">
    <cfRule type="cellIs" dxfId="10257" priority="2841" operator="greaterThan">
      <formula>0</formula>
    </cfRule>
  </conditionalFormatting>
  <conditionalFormatting sqref="Q31">
    <cfRule type="cellIs" dxfId="10256" priority="2846" operator="lessThan">
      <formula>0</formula>
    </cfRule>
  </conditionalFormatting>
  <conditionalFormatting sqref="R31">
    <cfRule type="cellIs" dxfId="10255" priority="2838" operator="lessThan">
      <formula>0.8</formula>
    </cfRule>
    <cfRule type="cellIs" dxfId="10254" priority="2839" operator="greaterThan">
      <formula>1</formula>
    </cfRule>
  </conditionalFormatting>
  <conditionalFormatting sqref="R31">
    <cfRule type="cellIs" dxfId="10253" priority="2836" operator="greaterThan">
      <formula>1</formula>
    </cfRule>
    <cfRule type="cellIs" dxfId="10252" priority="2837" operator="lessThan">
      <formula>0.8</formula>
    </cfRule>
  </conditionalFormatting>
  <conditionalFormatting sqref="P31">
    <cfRule type="cellIs" dxfId="10251" priority="2835" operator="greaterThan">
      <formula>0</formula>
    </cfRule>
  </conditionalFormatting>
  <conditionalFormatting sqref="Q31">
    <cfRule type="cellIs" dxfId="10250" priority="2840" operator="lessThan">
      <formula>0</formula>
    </cfRule>
  </conditionalFormatting>
  <conditionalFormatting sqref="Q31">
    <cfRule type="cellIs" dxfId="10249" priority="2834" operator="lessThan">
      <formula>0</formula>
    </cfRule>
  </conditionalFormatting>
  <conditionalFormatting sqref="R31">
    <cfRule type="cellIs" dxfId="10248" priority="2832" operator="lessThan">
      <formula>0.8</formula>
    </cfRule>
    <cfRule type="cellIs" dxfId="10247" priority="2833" operator="greaterThan">
      <formula>1</formula>
    </cfRule>
  </conditionalFormatting>
  <conditionalFormatting sqref="R31">
    <cfRule type="cellIs" dxfId="10246" priority="2830" operator="greaterThan">
      <formula>1</formula>
    </cfRule>
    <cfRule type="cellIs" dxfId="10245" priority="2831" operator="lessThan">
      <formula>0.8</formula>
    </cfRule>
  </conditionalFormatting>
  <conditionalFormatting sqref="P31">
    <cfRule type="cellIs" dxfId="10244" priority="2829" operator="greaterThan">
      <formula>0</formula>
    </cfRule>
  </conditionalFormatting>
  <conditionalFormatting sqref="Q31">
    <cfRule type="cellIs" dxfId="10243" priority="2823" operator="lessThan">
      <formula>0</formula>
    </cfRule>
  </conditionalFormatting>
  <conditionalFormatting sqref="R31">
    <cfRule type="cellIs" dxfId="10242" priority="2827" operator="lessThan">
      <formula>0.8</formula>
    </cfRule>
    <cfRule type="cellIs" dxfId="10241" priority="2828" operator="greaterThan">
      <formula>1</formula>
    </cfRule>
  </conditionalFormatting>
  <conditionalFormatting sqref="R31">
    <cfRule type="cellIs" dxfId="10240" priority="2825" operator="greaterThan">
      <formula>1</formula>
    </cfRule>
    <cfRule type="cellIs" dxfId="10239" priority="2826" operator="lessThan">
      <formula>0.8</formula>
    </cfRule>
  </conditionalFormatting>
  <conditionalFormatting sqref="P31">
    <cfRule type="cellIs" dxfId="10238" priority="2824" operator="greaterThan">
      <formula>0</formula>
    </cfRule>
  </conditionalFormatting>
  <conditionalFormatting sqref="Q31">
    <cfRule type="cellIs" dxfId="10237" priority="2822" operator="lessThan">
      <formula>0</formula>
    </cfRule>
  </conditionalFormatting>
  <conditionalFormatting sqref="R31">
    <cfRule type="cellIs" dxfId="10236" priority="2820" operator="lessThan">
      <formula>0.8</formula>
    </cfRule>
    <cfRule type="cellIs" dxfId="10235" priority="2821" operator="greaterThan">
      <formula>1</formula>
    </cfRule>
  </conditionalFormatting>
  <conditionalFormatting sqref="R31">
    <cfRule type="cellIs" dxfId="10234" priority="2818" operator="greaterThan">
      <formula>1</formula>
    </cfRule>
    <cfRule type="cellIs" dxfId="10233" priority="2819" operator="lessThan">
      <formula>0.8</formula>
    </cfRule>
  </conditionalFormatting>
  <conditionalFormatting sqref="P31">
    <cfRule type="cellIs" dxfId="10232" priority="2817" operator="greaterThan">
      <formula>0</formula>
    </cfRule>
  </conditionalFormatting>
  <conditionalFormatting sqref="Q31">
    <cfRule type="cellIs" dxfId="10231" priority="2816" operator="lessThan">
      <formula>0</formula>
    </cfRule>
  </conditionalFormatting>
  <conditionalFormatting sqref="R31">
    <cfRule type="cellIs" dxfId="10230" priority="2814" operator="lessThan">
      <formula>0.8</formula>
    </cfRule>
    <cfRule type="cellIs" dxfId="10229" priority="2815" operator="greaterThan">
      <formula>1</formula>
    </cfRule>
  </conditionalFormatting>
  <conditionalFormatting sqref="R31">
    <cfRule type="cellIs" dxfId="10228" priority="2812" operator="greaterThan">
      <formula>1</formula>
    </cfRule>
    <cfRule type="cellIs" dxfId="10227" priority="2813" operator="lessThan">
      <formula>0.8</formula>
    </cfRule>
  </conditionalFormatting>
  <conditionalFormatting sqref="P31">
    <cfRule type="cellIs" dxfId="10226" priority="2811" operator="greaterThan">
      <formula>0</formula>
    </cfRule>
  </conditionalFormatting>
  <conditionalFormatting sqref="Q31">
    <cfRule type="cellIs" dxfId="10225" priority="2810" operator="lessThan">
      <formula>0</formula>
    </cfRule>
  </conditionalFormatting>
  <conditionalFormatting sqref="R31">
    <cfRule type="cellIs" dxfId="10224" priority="2808" operator="lessThan">
      <formula>0.8</formula>
    </cfRule>
    <cfRule type="cellIs" dxfId="10223" priority="2809" operator="greaterThan">
      <formula>1</formula>
    </cfRule>
  </conditionalFormatting>
  <conditionalFormatting sqref="R31">
    <cfRule type="cellIs" dxfId="10222" priority="2806" operator="greaterThan">
      <formula>1</formula>
    </cfRule>
    <cfRule type="cellIs" dxfId="10221" priority="2807" operator="lessThan">
      <formula>0.8</formula>
    </cfRule>
  </conditionalFormatting>
  <conditionalFormatting sqref="P31">
    <cfRule type="cellIs" dxfId="10220" priority="2805" operator="greaterThan">
      <formula>0</formula>
    </cfRule>
  </conditionalFormatting>
  <conditionalFormatting sqref="Q31">
    <cfRule type="cellIs" dxfId="10219" priority="2804" operator="lessThan">
      <formula>0</formula>
    </cfRule>
  </conditionalFormatting>
  <conditionalFormatting sqref="R31">
    <cfRule type="cellIs" dxfId="10218" priority="2802" operator="lessThan">
      <formula>0.8</formula>
    </cfRule>
    <cfRule type="cellIs" dxfId="10217" priority="2803" operator="greaterThan">
      <formula>1</formula>
    </cfRule>
  </conditionalFormatting>
  <conditionalFormatting sqref="R31">
    <cfRule type="cellIs" dxfId="10216" priority="2800" operator="greaterThan">
      <formula>1</formula>
    </cfRule>
    <cfRule type="cellIs" dxfId="10215" priority="2801" operator="lessThan">
      <formula>0.8</formula>
    </cfRule>
  </conditionalFormatting>
  <conditionalFormatting sqref="P31">
    <cfRule type="cellIs" dxfId="10214" priority="2799" operator="greaterThan">
      <formula>0</formula>
    </cfRule>
  </conditionalFormatting>
  <conditionalFormatting sqref="Q31">
    <cfRule type="cellIs" dxfId="10213" priority="2798" operator="lessThan">
      <formula>0</formula>
    </cfRule>
  </conditionalFormatting>
  <conditionalFormatting sqref="R31">
    <cfRule type="cellIs" dxfId="10212" priority="2796" operator="lessThan">
      <formula>0.8</formula>
    </cfRule>
    <cfRule type="cellIs" dxfId="10211" priority="2797" operator="greaterThan">
      <formula>1</formula>
    </cfRule>
  </conditionalFormatting>
  <conditionalFormatting sqref="R31">
    <cfRule type="cellIs" dxfId="10210" priority="2794" operator="greaterThan">
      <formula>1</formula>
    </cfRule>
    <cfRule type="cellIs" dxfId="10209" priority="2795" operator="lessThan">
      <formula>0.8</formula>
    </cfRule>
  </conditionalFormatting>
  <conditionalFormatting sqref="P31">
    <cfRule type="cellIs" dxfId="10208" priority="2793" operator="greaterThan">
      <formula>0</formula>
    </cfRule>
  </conditionalFormatting>
  <conditionalFormatting sqref="P31">
    <cfRule type="cellIs" dxfId="10207" priority="2787" operator="greaterThan">
      <formula>0</formula>
    </cfRule>
  </conditionalFormatting>
  <conditionalFormatting sqref="Q31">
    <cfRule type="cellIs" dxfId="10206" priority="2792" operator="lessThan">
      <formula>0</formula>
    </cfRule>
  </conditionalFormatting>
  <conditionalFormatting sqref="R31">
    <cfRule type="cellIs" dxfId="10205" priority="2790" operator="lessThan">
      <formula>0.8</formula>
    </cfRule>
    <cfRule type="cellIs" dxfId="10204" priority="2791" operator="greaterThan">
      <formula>1</formula>
    </cfRule>
  </conditionalFormatting>
  <conditionalFormatting sqref="R31">
    <cfRule type="cellIs" dxfId="10203" priority="2788" operator="greaterThan">
      <formula>1</formula>
    </cfRule>
    <cfRule type="cellIs" dxfId="10202" priority="2789" operator="lessThan">
      <formula>0.8</formula>
    </cfRule>
  </conditionalFormatting>
  <conditionalFormatting sqref="P31">
    <cfRule type="cellIs" dxfId="10201" priority="2781" operator="greaterThan">
      <formula>0</formula>
    </cfRule>
  </conditionalFormatting>
  <conditionalFormatting sqref="Q31">
    <cfRule type="cellIs" dxfId="10200" priority="2786" operator="lessThan">
      <formula>0</formula>
    </cfRule>
  </conditionalFormatting>
  <conditionalFormatting sqref="R31">
    <cfRule type="cellIs" dxfId="10199" priority="2784" operator="lessThan">
      <formula>0.8</formula>
    </cfRule>
    <cfRule type="cellIs" dxfId="10198" priority="2785" operator="greaterThan">
      <formula>1</formula>
    </cfRule>
  </conditionalFormatting>
  <conditionalFormatting sqref="R31">
    <cfRule type="cellIs" dxfId="10197" priority="2782" operator="greaterThan">
      <formula>1</formula>
    </cfRule>
    <cfRule type="cellIs" dxfId="10196" priority="2783" operator="lessThan">
      <formula>0.8</formula>
    </cfRule>
  </conditionalFormatting>
  <conditionalFormatting sqref="R31">
    <cfRule type="cellIs" dxfId="10195" priority="2778" operator="lessThan">
      <formula>0.8</formula>
    </cfRule>
    <cfRule type="cellIs" dxfId="10194" priority="2779" operator="greaterThan">
      <formula>1</formula>
    </cfRule>
  </conditionalFormatting>
  <conditionalFormatting sqref="R31">
    <cfRule type="cellIs" dxfId="10193" priority="2776" operator="greaterThan">
      <formula>1</formula>
    </cfRule>
    <cfRule type="cellIs" dxfId="10192" priority="2777" operator="lessThan">
      <formula>0.8</formula>
    </cfRule>
  </conditionalFormatting>
  <conditionalFormatting sqref="P31">
    <cfRule type="cellIs" dxfId="10191" priority="2775" operator="greaterThan">
      <formula>0</formula>
    </cfRule>
  </conditionalFormatting>
  <conditionalFormatting sqref="Q31">
    <cfRule type="cellIs" dxfId="10190" priority="2780" operator="lessThan">
      <formula>0</formula>
    </cfRule>
  </conditionalFormatting>
  <conditionalFormatting sqref="Q31">
    <cfRule type="cellIs" dxfId="10189" priority="2774" operator="lessThan">
      <formula>0</formula>
    </cfRule>
  </conditionalFormatting>
  <conditionalFormatting sqref="R31">
    <cfRule type="cellIs" dxfId="10188" priority="2772" operator="lessThan">
      <formula>0.8</formula>
    </cfRule>
    <cfRule type="cellIs" dxfId="10187" priority="2773" operator="greaterThan">
      <formula>1</formula>
    </cfRule>
  </conditionalFormatting>
  <conditionalFormatting sqref="R31">
    <cfRule type="cellIs" dxfId="10186" priority="2770" operator="greaterThan">
      <formula>1</formula>
    </cfRule>
    <cfRule type="cellIs" dxfId="10185" priority="2771" operator="lessThan">
      <formula>0.8</formula>
    </cfRule>
  </conditionalFormatting>
  <conditionalFormatting sqref="P31">
    <cfRule type="cellIs" dxfId="10184" priority="2769" operator="greaterThan">
      <formula>0</formula>
    </cfRule>
  </conditionalFormatting>
  <conditionalFormatting sqref="Q31">
    <cfRule type="cellIs" dxfId="10183" priority="2768" operator="lessThan">
      <formula>0</formula>
    </cfRule>
  </conditionalFormatting>
  <conditionalFormatting sqref="R31">
    <cfRule type="cellIs" dxfId="10182" priority="2766" operator="lessThan">
      <formula>0.8</formula>
    </cfRule>
    <cfRule type="cellIs" dxfId="10181" priority="2767" operator="greaterThan">
      <formula>1</formula>
    </cfRule>
  </conditionalFormatting>
  <conditionalFormatting sqref="R31">
    <cfRule type="cellIs" dxfId="10180" priority="2764" operator="greaterThan">
      <formula>1</formula>
    </cfRule>
    <cfRule type="cellIs" dxfId="10179" priority="2765" operator="lessThan">
      <formula>0.8</formula>
    </cfRule>
  </conditionalFormatting>
  <conditionalFormatting sqref="P31">
    <cfRule type="cellIs" dxfId="10178" priority="2763" operator="greaterThan">
      <formula>0</formula>
    </cfRule>
  </conditionalFormatting>
  <conditionalFormatting sqref="Q31">
    <cfRule type="cellIs" dxfId="10177" priority="2762" operator="lessThan">
      <formula>0</formula>
    </cfRule>
  </conditionalFormatting>
  <conditionalFormatting sqref="R31">
    <cfRule type="cellIs" dxfId="10176" priority="2760" operator="lessThan">
      <formula>0.8</formula>
    </cfRule>
    <cfRule type="cellIs" dxfId="10175" priority="2761" operator="greaterThan">
      <formula>1</formula>
    </cfRule>
  </conditionalFormatting>
  <conditionalFormatting sqref="R31">
    <cfRule type="cellIs" dxfId="10174" priority="2758" operator="greaterThan">
      <formula>1</formula>
    </cfRule>
    <cfRule type="cellIs" dxfId="10173" priority="2759" operator="lessThan">
      <formula>0.8</formula>
    </cfRule>
  </conditionalFormatting>
  <conditionalFormatting sqref="P31">
    <cfRule type="cellIs" dxfId="10172" priority="2757" operator="greaterThan">
      <formula>0</formula>
    </cfRule>
  </conditionalFormatting>
  <conditionalFormatting sqref="Q31">
    <cfRule type="cellIs" dxfId="10171" priority="2756" operator="lessThan">
      <formula>0</formula>
    </cfRule>
  </conditionalFormatting>
  <conditionalFormatting sqref="R31">
    <cfRule type="cellIs" dxfId="10170" priority="2754" operator="lessThan">
      <formula>0.8</formula>
    </cfRule>
    <cfRule type="cellIs" dxfId="10169" priority="2755" operator="greaterThan">
      <formula>1</formula>
    </cfRule>
  </conditionalFormatting>
  <conditionalFormatting sqref="R31">
    <cfRule type="cellIs" dxfId="10168" priority="2752" operator="greaterThan">
      <formula>1</formula>
    </cfRule>
    <cfRule type="cellIs" dxfId="10167" priority="2753" operator="lessThan">
      <formula>0.8</formula>
    </cfRule>
  </conditionalFormatting>
  <conditionalFormatting sqref="P31">
    <cfRule type="cellIs" dxfId="10166" priority="2751" operator="greaterThan">
      <formula>0</formula>
    </cfRule>
  </conditionalFormatting>
  <conditionalFormatting sqref="P31">
    <cfRule type="cellIs" dxfId="10165" priority="2745" operator="greaterThan">
      <formula>0</formula>
    </cfRule>
  </conditionalFormatting>
  <conditionalFormatting sqref="Q31">
    <cfRule type="cellIs" dxfId="10164" priority="2750" operator="lessThan">
      <formula>0</formula>
    </cfRule>
  </conditionalFormatting>
  <conditionalFormatting sqref="R31">
    <cfRule type="cellIs" dxfId="10163" priority="2748" operator="lessThan">
      <formula>0.8</formula>
    </cfRule>
    <cfRule type="cellIs" dxfId="10162" priority="2749" operator="greaterThan">
      <formula>1</formula>
    </cfRule>
  </conditionalFormatting>
  <conditionalFormatting sqref="R31">
    <cfRule type="cellIs" dxfId="10161" priority="2746" operator="greaterThan">
      <formula>1</formula>
    </cfRule>
    <cfRule type="cellIs" dxfId="10160" priority="2747" operator="lessThan">
      <formula>0.8</formula>
    </cfRule>
  </conditionalFormatting>
  <conditionalFormatting sqref="P31">
    <cfRule type="cellIs" dxfId="10159" priority="2739" operator="greaterThan">
      <formula>0</formula>
    </cfRule>
  </conditionalFormatting>
  <conditionalFormatting sqref="Q31">
    <cfRule type="cellIs" dxfId="10158" priority="2744" operator="lessThan">
      <formula>0</formula>
    </cfRule>
  </conditionalFormatting>
  <conditionalFormatting sqref="R31">
    <cfRule type="cellIs" dxfId="10157" priority="2742" operator="lessThan">
      <formula>0.8</formula>
    </cfRule>
    <cfRule type="cellIs" dxfId="10156" priority="2743" operator="greaterThan">
      <formula>1</formula>
    </cfRule>
  </conditionalFormatting>
  <conditionalFormatting sqref="R31">
    <cfRule type="cellIs" dxfId="10155" priority="2740" operator="greaterThan">
      <formula>1</formula>
    </cfRule>
    <cfRule type="cellIs" dxfId="10154" priority="2741" operator="lessThan">
      <formula>0.8</formula>
    </cfRule>
  </conditionalFormatting>
  <conditionalFormatting sqref="R31">
    <cfRule type="cellIs" dxfId="10153" priority="2736" operator="lessThan">
      <formula>0.8</formula>
    </cfRule>
    <cfRule type="cellIs" dxfId="10152" priority="2737" operator="greaterThan">
      <formula>1</formula>
    </cfRule>
  </conditionalFormatting>
  <conditionalFormatting sqref="R31">
    <cfRule type="cellIs" dxfId="10151" priority="2734" operator="greaterThan">
      <formula>1</formula>
    </cfRule>
    <cfRule type="cellIs" dxfId="10150" priority="2735" operator="lessThan">
      <formula>0.8</formula>
    </cfRule>
  </conditionalFormatting>
  <conditionalFormatting sqref="P31">
    <cfRule type="cellIs" dxfId="10149" priority="2733" operator="greaterThan">
      <formula>0</formula>
    </cfRule>
  </conditionalFormatting>
  <conditionalFormatting sqref="Q31">
    <cfRule type="cellIs" dxfId="10148" priority="2738" operator="lessThan">
      <formula>0</formula>
    </cfRule>
  </conditionalFormatting>
  <conditionalFormatting sqref="Q31">
    <cfRule type="cellIs" dxfId="10147" priority="2732" operator="lessThan">
      <formula>0</formula>
    </cfRule>
  </conditionalFormatting>
  <conditionalFormatting sqref="R31">
    <cfRule type="cellIs" dxfId="10146" priority="2730" operator="lessThan">
      <formula>0.8</formula>
    </cfRule>
    <cfRule type="cellIs" dxfId="10145" priority="2731" operator="greaterThan">
      <formula>1</formula>
    </cfRule>
  </conditionalFormatting>
  <conditionalFormatting sqref="R31">
    <cfRule type="cellIs" dxfId="10144" priority="2728" operator="greaterThan">
      <formula>1</formula>
    </cfRule>
    <cfRule type="cellIs" dxfId="10143" priority="2729" operator="lessThan">
      <formula>0.8</formula>
    </cfRule>
  </conditionalFormatting>
  <conditionalFormatting sqref="P31">
    <cfRule type="cellIs" dxfId="10142" priority="2727" operator="greaterThan">
      <formula>0</formula>
    </cfRule>
  </conditionalFormatting>
  <conditionalFormatting sqref="P31">
    <cfRule type="cellIs" dxfId="10141" priority="2721" operator="greaterThan">
      <formula>0</formula>
    </cfRule>
  </conditionalFormatting>
  <conditionalFormatting sqref="Q31">
    <cfRule type="cellIs" dxfId="10140" priority="2726" operator="lessThan">
      <formula>0</formula>
    </cfRule>
  </conditionalFormatting>
  <conditionalFormatting sqref="R31">
    <cfRule type="cellIs" dxfId="10139" priority="2724" operator="lessThan">
      <formula>0.8</formula>
    </cfRule>
    <cfRule type="cellIs" dxfId="10138" priority="2725" operator="greaterThan">
      <formula>1</formula>
    </cfRule>
  </conditionalFormatting>
  <conditionalFormatting sqref="R31">
    <cfRule type="cellIs" dxfId="10137" priority="2722" operator="greaterThan">
      <formula>1</formula>
    </cfRule>
    <cfRule type="cellIs" dxfId="10136" priority="2723" operator="lessThan">
      <formula>0.8</formula>
    </cfRule>
  </conditionalFormatting>
  <conditionalFormatting sqref="P31">
    <cfRule type="cellIs" dxfId="10135" priority="2715" operator="greaterThan">
      <formula>0</formula>
    </cfRule>
  </conditionalFormatting>
  <conditionalFormatting sqref="Q31">
    <cfRule type="cellIs" dxfId="10134" priority="2720" operator="lessThan">
      <formula>0</formula>
    </cfRule>
  </conditionalFormatting>
  <conditionalFormatting sqref="R31">
    <cfRule type="cellIs" dxfId="10133" priority="2718" operator="lessThan">
      <formula>0.8</formula>
    </cfRule>
    <cfRule type="cellIs" dxfId="10132" priority="2719" operator="greaterThan">
      <formula>1</formula>
    </cfRule>
  </conditionalFormatting>
  <conditionalFormatting sqref="R31">
    <cfRule type="cellIs" dxfId="10131" priority="2716" operator="greaterThan">
      <formula>1</formula>
    </cfRule>
    <cfRule type="cellIs" dxfId="10130" priority="2717" operator="lessThan">
      <formula>0.8</formula>
    </cfRule>
  </conditionalFormatting>
  <conditionalFormatting sqref="R31">
    <cfRule type="cellIs" dxfId="10129" priority="2712" operator="lessThan">
      <formula>0.8</formula>
    </cfRule>
    <cfRule type="cellIs" dxfId="10128" priority="2713" operator="greaterThan">
      <formula>1</formula>
    </cfRule>
  </conditionalFormatting>
  <conditionalFormatting sqref="R31">
    <cfRule type="cellIs" dxfId="10127" priority="2710" operator="greaterThan">
      <formula>1</formula>
    </cfRule>
    <cfRule type="cellIs" dxfId="10126" priority="2711" operator="lessThan">
      <formula>0.8</formula>
    </cfRule>
  </conditionalFormatting>
  <conditionalFormatting sqref="P31">
    <cfRule type="cellIs" dxfId="10125" priority="2709" operator="greaterThan">
      <formula>0</formula>
    </cfRule>
  </conditionalFormatting>
  <conditionalFormatting sqref="Q31">
    <cfRule type="cellIs" dxfId="10124" priority="2714" operator="lessThan">
      <formula>0</formula>
    </cfRule>
  </conditionalFormatting>
  <conditionalFormatting sqref="P31">
    <cfRule type="cellIs" dxfId="10123" priority="2703" operator="greaterThan">
      <formula>0</formula>
    </cfRule>
  </conditionalFormatting>
  <conditionalFormatting sqref="Q31">
    <cfRule type="cellIs" dxfId="10122" priority="2708" operator="lessThan">
      <formula>0</formula>
    </cfRule>
  </conditionalFormatting>
  <conditionalFormatting sqref="R31">
    <cfRule type="cellIs" dxfId="10121" priority="2706" operator="lessThan">
      <formula>0.8</formula>
    </cfRule>
    <cfRule type="cellIs" dxfId="10120" priority="2707" operator="greaterThan">
      <formula>1</formula>
    </cfRule>
  </conditionalFormatting>
  <conditionalFormatting sqref="R31">
    <cfRule type="cellIs" dxfId="10119" priority="2704" operator="greaterThan">
      <formula>1</formula>
    </cfRule>
    <cfRule type="cellIs" dxfId="10118" priority="2705" operator="lessThan">
      <formula>0.8</formula>
    </cfRule>
  </conditionalFormatting>
  <conditionalFormatting sqref="R31">
    <cfRule type="cellIs" dxfId="10117" priority="2700" operator="lessThan">
      <formula>0.8</formula>
    </cfRule>
    <cfRule type="cellIs" dxfId="10116" priority="2701" operator="greaterThan">
      <formula>1</formula>
    </cfRule>
  </conditionalFormatting>
  <conditionalFormatting sqref="R31">
    <cfRule type="cellIs" dxfId="10115" priority="2698" operator="greaterThan">
      <formula>1</formula>
    </cfRule>
    <cfRule type="cellIs" dxfId="10114" priority="2699" operator="lessThan">
      <formula>0.8</formula>
    </cfRule>
  </conditionalFormatting>
  <conditionalFormatting sqref="P31">
    <cfRule type="cellIs" dxfId="10113" priority="2697" operator="greaterThan">
      <formula>0</formula>
    </cfRule>
  </conditionalFormatting>
  <conditionalFormatting sqref="Q31">
    <cfRule type="cellIs" dxfId="10112" priority="2702" operator="lessThan">
      <formula>0</formula>
    </cfRule>
  </conditionalFormatting>
  <conditionalFormatting sqref="R31">
    <cfRule type="cellIs" dxfId="10111" priority="2694" operator="lessThan">
      <formula>0.8</formula>
    </cfRule>
    <cfRule type="cellIs" dxfId="10110" priority="2695" operator="greaterThan">
      <formula>1</formula>
    </cfRule>
  </conditionalFormatting>
  <conditionalFormatting sqref="R31">
    <cfRule type="cellIs" dxfId="10109" priority="2692" operator="greaterThan">
      <formula>1</formula>
    </cfRule>
    <cfRule type="cellIs" dxfId="10108" priority="2693" operator="lessThan">
      <formula>0.8</formula>
    </cfRule>
  </conditionalFormatting>
  <conditionalFormatting sqref="P31">
    <cfRule type="cellIs" dxfId="10107" priority="2691" operator="greaterThan">
      <formula>0</formula>
    </cfRule>
  </conditionalFormatting>
  <conditionalFormatting sqref="Q31">
    <cfRule type="cellIs" dxfId="10106" priority="2696" operator="lessThan">
      <formula>0</formula>
    </cfRule>
  </conditionalFormatting>
  <conditionalFormatting sqref="Q31">
    <cfRule type="cellIs" dxfId="10105" priority="2690" operator="lessThan">
      <formula>0</formula>
    </cfRule>
  </conditionalFormatting>
  <conditionalFormatting sqref="R31">
    <cfRule type="cellIs" dxfId="10104" priority="2688" operator="lessThan">
      <formula>0.8</formula>
    </cfRule>
    <cfRule type="cellIs" dxfId="10103" priority="2689" operator="greaterThan">
      <formula>1</formula>
    </cfRule>
  </conditionalFormatting>
  <conditionalFormatting sqref="R31">
    <cfRule type="cellIs" dxfId="10102" priority="2686" operator="greaterThan">
      <formula>1</formula>
    </cfRule>
    <cfRule type="cellIs" dxfId="10101" priority="2687" operator="lessThan">
      <formula>0.8</formula>
    </cfRule>
  </conditionalFormatting>
  <conditionalFormatting sqref="P31">
    <cfRule type="cellIs" dxfId="10100" priority="2685" operator="greaterThan">
      <formula>0</formula>
    </cfRule>
  </conditionalFormatting>
  <conditionalFormatting sqref="Q31">
    <cfRule type="cellIs" dxfId="10099" priority="2679" operator="lessThan">
      <formula>0</formula>
    </cfRule>
  </conditionalFormatting>
  <conditionalFormatting sqref="R31">
    <cfRule type="cellIs" dxfId="10098" priority="2683" operator="lessThan">
      <formula>0.8</formula>
    </cfRule>
    <cfRule type="cellIs" dxfId="10097" priority="2684" operator="greaterThan">
      <formula>1</formula>
    </cfRule>
  </conditionalFormatting>
  <conditionalFormatting sqref="R31">
    <cfRule type="cellIs" dxfId="10096" priority="2681" operator="greaterThan">
      <formula>1</formula>
    </cfRule>
    <cfRule type="cellIs" dxfId="10095" priority="2682" operator="lessThan">
      <formula>0.8</formula>
    </cfRule>
  </conditionalFormatting>
  <conditionalFormatting sqref="P31">
    <cfRule type="cellIs" dxfId="10094" priority="2680" operator="greaterThan">
      <formula>0</formula>
    </cfRule>
  </conditionalFormatting>
  <conditionalFormatting sqref="Q31">
    <cfRule type="cellIs" dxfId="10093" priority="2678" operator="lessThan">
      <formula>0</formula>
    </cfRule>
  </conditionalFormatting>
  <conditionalFormatting sqref="R31">
    <cfRule type="cellIs" dxfId="10092" priority="2676" operator="lessThan">
      <formula>0.8</formula>
    </cfRule>
    <cfRule type="cellIs" dxfId="10091" priority="2677" operator="greaterThan">
      <formula>1</formula>
    </cfRule>
  </conditionalFormatting>
  <conditionalFormatting sqref="R31">
    <cfRule type="cellIs" dxfId="10090" priority="2674" operator="greaterThan">
      <formula>1</formula>
    </cfRule>
    <cfRule type="cellIs" dxfId="10089" priority="2675" operator="lessThan">
      <formula>0.8</formula>
    </cfRule>
  </conditionalFormatting>
  <conditionalFormatting sqref="P31">
    <cfRule type="cellIs" dxfId="10088" priority="2673" operator="greaterThan">
      <formula>0</formula>
    </cfRule>
  </conditionalFormatting>
  <conditionalFormatting sqref="Q31">
    <cfRule type="cellIs" dxfId="10087" priority="2672" operator="lessThan">
      <formula>0</formula>
    </cfRule>
  </conditionalFormatting>
  <conditionalFormatting sqref="R31">
    <cfRule type="cellIs" dxfId="10086" priority="2670" operator="lessThan">
      <formula>0.8</formula>
    </cfRule>
    <cfRule type="cellIs" dxfId="10085" priority="2671" operator="greaterThan">
      <formula>1</formula>
    </cfRule>
  </conditionalFormatting>
  <conditionalFormatting sqref="R31">
    <cfRule type="cellIs" dxfId="10084" priority="2668" operator="greaterThan">
      <formula>1</formula>
    </cfRule>
    <cfRule type="cellIs" dxfId="10083" priority="2669" operator="lessThan">
      <formula>0.8</formula>
    </cfRule>
  </conditionalFormatting>
  <conditionalFormatting sqref="P31">
    <cfRule type="cellIs" dxfId="10082" priority="2667" operator="greaterThan">
      <formula>0</formula>
    </cfRule>
  </conditionalFormatting>
  <conditionalFormatting sqref="Q31">
    <cfRule type="cellIs" dxfId="10081" priority="2666" operator="lessThan">
      <formula>0</formula>
    </cfRule>
  </conditionalFormatting>
  <conditionalFormatting sqref="R31">
    <cfRule type="cellIs" dxfId="10080" priority="2664" operator="lessThan">
      <formula>0.8</formula>
    </cfRule>
    <cfRule type="cellIs" dxfId="10079" priority="2665" operator="greaterThan">
      <formula>1</formula>
    </cfRule>
  </conditionalFormatting>
  <conditionalFormatting sqref="R31">
    <cfRule type="cellIs" dxfId="10078" priority="2662" operator="greaterThan">
      <formula>1</formula>
    </cfRule>
    <cfRule type="cellIs" dxfId="10077" priority="2663" operator="lessThan">
      <formula>0.8</formula>
    </cfRule>
  </conditionalFormatting>
  <conditionalFormatting sqref="P31">
    <cfRule type="cellIs" dxfId="10076" priority="2661" operator="greaterThan">
      <formula>0</formula>
    </cfRule>
  </conditionalFormatting>
  <conditionalFormatting sqref="Q31">
    <cfRule type="cellIs" dxfId="10075" priority="2660" operator="lessThan">
      <formula>0</formula>
    </cfRule>
  </conditionalFormatting>
  <conditionalFormatting sqref="R31">
    <cfRule type="cellIs" dxfId="10074" priority="2658" operator="lessThan">
      <formula>0.8</formula>
    </cfRule>
    <cfRule type="cellIs" dxfId="10073" priority="2659" operator="greaterThan">
      <formula>1</formula>
    </cfRule>
  </conditionalFormatting>
  <conditionalFormatting sqref="R31">
    <cfRule type="cellIs" dxfId="10072" priority="2656" operator="greaterThan">
      <formula>1</formula>
    </cfRule>
    <cfRule type="cellIs" dxfId="10071" priority="2657" operator="lessThan">
      <formula>0.8</formula>
    </cfRule>
  </conditionalFormatting>
  <conditionalFormatting sqref="P31">
    <cfRule type="cellIs" dxfId="10070" priority="2655" operator="greaterThan">
      <formula>0</formula>
    </cfRule>
  </conditionalFormatting>
  <conditionalFormatting sqref="Q31">
    <cfRule type="cellIs" dxfId="10069" priority="2654" operator="lessThan">
      <formula>0</formula>
    </cfRule>
  </conditionalFormatting>
  <conditionalFormatting sqref="R31">
    <cfRule type="cellIs" dxfId="10068" priority="2652" operator="lessThan">
      <formula>0.8</formula>
    </cfRule>
    <cfRule type="cellIs" dxfId="10067" priority="2653" operator="greaterThan">
      <formula>1</formula>
    </cfRule>
  </conditionalFormatting>
  <conditionalFormatting sqref="R31">
    <cfRule type="cellIs" dxfId="10066" priority="2650" operator="greaterThan">
      <formula>1</formula>
    </cfRule>
    <cfRule type="cellIs" dxfId="10065" priority="2651" operator="lessThan">
      <formula>0.8</formula>
    </cfRule>
  </conditionalFormatting>
  <conditionalFormatting sqref="P31">
    <cfRule type="cellIs" dxfId="10064" priority="2649" operator="greaterThan">
      <formula>0</formula>
    </cfRule>
  </conditionalFormatting>
  <conditionalFormatting sqref="P31">
    <cfRule type="cellIs" dxfId="10063" priority="2643" operator="greaterThan">
      <formula>0</formula>
    </cfRule>
  </conditionalFormatting>
  <conditionalFormatting sqref="Q31">
    <cfRule type="cellIs" dxfId="10062" priority="2648" operator="lessThan">
      <formula>0</formula>
    </cfRule>
  </conditionalFormatting>
  <conditionalFormatting sqref="R31">
    <cfRule type="cellIs" dxfId="10061" priority="2646" operator="lessThan">
      <formula>0.8</formula>
    </cfRule>
    <cfRule type="cellIs" dxfId="10060" priority="2647" operator="greaterThan">
      <formula>1</formula>
    </cfRule>
  </conditionalFormatting>
  <conditionalFormatting sqref="R31">
    <cfRule type="cellIs" dxfId="10059" priority="2644" operator="greaterThan">
      <formula>1</formula>
    </cfRule>
    <cfRule type="cellIs" dxfId="10058" priority="2645" operator="lessThan">
      <formula>0.8</formula>
    </cfRule>
  </conditionalFormatting>
  <conditionalFormatting sqref="P31">
    <cfRule type="cellIs" dxfId="10057" priority="2637" operator="greaterThan">
      <formula>0</formula>
    </cfRule>
  </conditionalFormatting>
  <conditionalFormatting sqref="Q31">
    <cfRule type="cellIs" dxfId="10056" priority="2642" operator="lessThan">
      <formula>0</formula>
    </cfRule>
  </conditionalFormatting>
  <conditionalFormatting sqref="R31">
    <cfRule type="cellIs" dxfId="10055" priority="2640" operator="lessThan">
      <formula>0.8</formula>
    </cfRule>
    <cfRule type="cellIs" dxfId="10054" priority="2641" operator="greaterThan">
      <formula>1</formula>
    </cfRule>
  </conditionalFormatting>
  <conditionalFormatting sqref="R31">
    <cfRule type="cellIs" dxfId="10053" priority="2638" operator="greaterThan">
      <formula>1</formula>
    </cfRule>
    <cfRule type="cellIs" dxfId="10052" priority="2639" operator="lessThan">
      <formula>0.8</formula>
    </cfRule>
  </conditionalFormatting>
  <conditionalFormatting sqref="R31">
    <cfRule type="cellIs" dxfId="10051" priority="2634" operator="lessThan">
      <formula>0.8</formula>
    </cfRule>
    <cfRule type="cellIs" dxfId="10050" priority="2635" operator="greaterThan">
      <formula>1</formula>
    </cfRule>
  </conditionalFormatting>
  <conditionalFormatting sqref="R31">
    <cfRule type="cellIs" dxfId="10049" priority="2632" operator="greaterThan">
      <formula>1</formula>
    </cfRule>
    <cfRule type="cellIs" dxfId="10048" priority="2633" operator="lessThan">
      <formula>0.8</formula>
    </cfRule>
  </conditionalFormatting>
  <conditionalFormatting sqref="P31">
    <cfRule type="cellIs" dxfId="10047" priority="2631" operator="greaterThan">
      <formula>0</formula>
    </cfRule>
  </conditionalFormatting>
  <conditionalFormatting sqref="Q31">
    <cfRule type="cellIs" dxfId="10046" priority="2636" operator="lessThan">
      <formula>0</formula>
    </cfRule>
  </conditionalFormatting>
  <conditionalFormatting sqref="P79">
    <cfRule type="cellIs" dxfId="10045" priority="2625" operator="greaterThan">
      <formula>0</formula>
    </cfRule>
  </conditionalFormatting>
  <conditionalFormatting sqref="Q79">
    <cfRule type="cellIs" dxfId="10044" priority="2630" operator="lessThan">
      <formula>0</formula>
    </cfRule>
  </conditionalFormatting>
  <conditionalFormatting sqref="R79">
    <cfRule type="cellIs" dxfId="10043" priority="2628" operator="lessThan">
      <formula>0.8</formula>
    </cfRule>
    <cfRule type="cellIs" dxfId="10042" priority="2629" operator="greaterThan">
      <formula>1</formula>
    </cfRule>
  </conditionalFormatting>
  <conditionalFormatting sqref="R79">
    <cfRule type="cellIs" dxfId="10041" priority="2626" operator="greaterThan">
      <formula>1</formula>
    </cfRule>
    <cfRule type="cellIs" dxfId="10040" priority="2627" operator="lessThan">
      <formula>0.8</formula>
    </cfRule>
  </conditionalFormatting>
  <conditionalFormatting sqref="Q79">
    <cfRule type="cellIs" dxfId="10039" priority="2624" operator="lessThan">
      <formula>0</formula>
    </cfRule>
  </conditionalFormatting>
  <conditionalFormatting sqref="R79">
    <cfRule type="cellIs" dxfId="10038" priority="2622" operator="lessThan">
      <formula>0.8</formula>
    </cfRule>
    <cfRule type="cellIs" dxfId="10037" priority="2623" operator="greaterThan">
      <formula>1</formula>
    </cfRule>
  </conditionalFormatting>
  <conditionalFormatting sqref="R79">
    <cfRule type="cellIs" dxfId="10036" priority="2620" operator="greaterThan">
      <formula>1</formula>
    </cfRule>
    <cfRule type="cellIs" dxfId="10035" priority="2621" operator="lessThan">
      <formula>0.8</formula>
    </cfRule>
  </conditionalFormatting>
  <conditionalFormatting sqref="P79">
    <cfRule type="cellIs" dxfId="10034" priority="2619" operator="greaterThan">
      <formula>0</formula>
    </cfRule>
  </conditionalFormatting>
  <conditionalFormatting sqref="P79">
    <cfRule type="cellIs" dxfId="10033" priority="2613" operator="greaterThan">
      <formula>0</formula>
    </cfRule>
  </conditionalFormatting>
  <conditionalFormatting sqref="Q79">
    <cfRule type="cellIs" dxfId="10032" priority="2618" operator="lessThan">
      <formula>0</formula>
    </cfRule>
  </conditionalFormatting>
  <conditionalFormatting sqref="R79">
    <cfRule type="cellIs" dxfId="10031" priority="2616" operator="lessThan">
      <formula>0.8</formula>
    </cfRule>
    <cfRule type="cellIs" dxfId="10030" priority="2617" operator="greaterThan">
      <formula>1</formula>
    </cfRule>
  </conditionalFormatting>
  <conditionalFormatting sqref="R79">
    <cfRule type="cellIs" dxfId="10029" priority="2614" operator="greaterThan">
      <formula>1</formula>
    </cfRule>
    <cfRule type="cellIs" dxfId="10028" priority="2615" operator="lessThan">
      <formula>0.8</formula>
    </cfRule>
  </conditionalFormatting>
  <conditionalFormatting sqref="Q79">
    <cfRule type="cellIs" dxfId="10027" priority="2607" operator="lessThan">
      <formula>0</formula>
    </cfRule>
  </conditionalFormatting>
  <conditionalFormatting sqref="P79">
    <cfRule type="cellIs" dxfId="10026" priority="2608" operator="greaterThan">
      <formula>0</formula>
    </cfRule>
  </conditionalFormatting>
  <conditionalFormatting sqref="R79">
    <cfRule type="cellIs" dxfId="10025" priority="2611" operator="lessThan">
      <formula>0.8</formula>
    </cfRule>
    <cfRule type="cellIs" dxfId="10024" priority="2612" operator="greaterThan">
      <formula>1</formula>
    </cfRule>
  </conditionalFormatting>
  <conditionalFormatting sqref="R79">
    <cfRule type="cellIs" dxfId="10023" priority="2609" operator="greaterThan">
      <formula>1</formula>
    </cfRule>
    <cfRule type="cellIs" dxfId="10022" priority="2610" operator="lessThan">
      <formula>0.8</formula>
    </cfRule>
  </conditionalFormatting>
  <conditionalFormatting sqref="Q79">
    <cfRule type="cellIs" dxfId="10021" priority="2601" operator="lessThan">
      <formula>0</formula>
    </cfRule>
  </conditionalFormatting>
  <conditionalFormatting sqref="R79">
    <cfRule type="cellIs" dxfId="10020" priority="2605" operator="lessThan">
      <formula>0.8</formula>
    </cfRule>
    <cfRule type="cellIs" dxfId="10019" priority="2606" operator="greaterThan">
      <formula>1</formula>
    </cfRule>
  </conditionalFormatting>
  <conditionalFormatting sqref="R79">
    <cfRule type="cellIs" dxfId="10018" priority="2603" operator="greaterThan">
      <formula>1</formula>
    </cfRule>
    <cfRule type="cellIs" dxfId="10017" priority="2604" operator="lessThan">
      <formula>0.8</formula>
    </cfRule>
  </conditionalFormatting>
  <conditionalFormatting sqref="P79">
    <cfRule type="cellIs" dxfId="10016" priority="2602" operator="greaterThan">
      <formula>0</formula>
    </cfRule>
  </conditionalFormatting>
  <conditionalFormatting sqref="Q79">
    <cfRule type="cellIs" dxfId="10015" priority="2600" operator="lessThan">
      <formula>0</formula>
    </cfRule>
  </conditionalFormatting>
  <conditionalFormatting sqref="R79">
    <cfRule type="cellIs" dxfId="10014" priority="2598" operator="lessThan">
      <formula>0.8</formula>
    </cfRule>
    <cfRule type="cellIs" dxfId="10013" priority="2599" operator="greaterThan">
      <formula>1</formula>
    </cfRule>
  </conditionalFormatting>
  <conditionalFormatting sqref="R79">
    <cfRule type="cellIs" dxfId="10012" priority="2596" operator="greaterThan">
      <formula>1</formula>
    </cfRule>
    <cfRule type="cellIs" dxfId="10011" priority="2597" operator="lessThan">
      <formula>0.8</formula>
    </cfRule>
  </conditionalFormatting>
  <conditionalFormatting sqref="P79">
    <cfRule type="cellIs" dxfId="10010" priority="2595" operator="greaterThan">
      <formula>0</formula>
    </cfRule>
  </conditionalFormatting>
  <conditionalFormatting sqref="Q79">
    <cfRule type="cellIs" dxfId="10009" priority="2594" operator="lessThan">
      <formula>0</formula>
    </cfRule>
  </conditionalFormatting>
  <conditionalFormatting sqref="R79">
    <cfRule type="cellIs" dxfId="10008" priority="2592" operator="lessThan">
      <formula>0.8</formula>
    </cfRule>
    <cfRule type="cellIs" dxfId="10007" priority="2593" operator="greaterThan">
      <formula>1</formula>
    </cfRule>
  </conditionalFormatting>
  <conditionalFormatting sqref="R79">
    <cfRule type="cellIs" dxfId="10006" priority="2590" operator="greaterThan">
      <formula>1</formula>
    </cfRule>
    <cfRule type="cellIs" dxfId="10005" priority="2591" operator="lessThan">
      <formula>0.8</formula>
    </cfRule>
  </conditionalFormatting>
  <conditionalFormatting sqref="P79">
    <cfRule type="cellIs" dxfId="10004" priority="2589" operator="greaterThan">
      <formula>0</formula>
    </cfRule>
  </conditionalFormatting>
  <conditionalFormatting sqref="P79">
    <cfRule type="cellIs" dxfId="10003" priority="2583" operator="greaterThan">
      <formula>0</formula>
    </cfRule>
  </conditionalFormatting>
  <conditionalFormatting sqref="Q79">
    <cfRule type="cellIs" dxfId="10002" priority="2588" operator="lessThan">
      <formula>0</formula>
    </cfRule>
  </conditionalFormatting>
  <conditionalFormatting sqref="R79">
    <cfRule type="cellIs" dxfId="10001" priority="2586" operator="lessThan">
      <formula>0.8</formula>
    </cfRule>
    <cfRule type="cellIs" dxfId="10000" priority="2587" operator="greaterThan">
      <formula>1</formula>
    </cfRule>
  </conditionalFormatting>
  <conditionalFormatting sqref="R79">
    <cfRule type="cellIs" dxfId="9999" priority="2584" operator="greaterThan">
      <formula>1</formula>
    </cfRule>
    <cfRule type="cellIs" dxfId="9998" priority="2585" operator="lessThan">
      <formula>0.8</formula>
    </cfRule>
  </conditionalFormatting>
  <conditionalFormatting sqref="P71:P78">
    <cfRule type="cellIs" dxfId="9997" priority="2577" operator="greaterThan">
      <formula>0</formula>
    </cfRule>
  </conditionalFormatting>
  <conditionalFormatting sqref="Q71:Q78">
    <cfRule type="cellIs" dxfId="9996" priority="2582" operator="lessThan">
      <formula>0</formula>
    </cfRule>
  </conditionalFormatting>
  <conditionalFormatting sqref="R71:R78">
    <cfRule type="cellIs" dxfId="9995" priority="2580" operator="lessThan">
      <formula>0.8</formula>
    </cfRule>
    <cfRule type="cellIs" dxfId="9994" priority="2581" operator="greaterThan">
      <formula>1</formula>
    </cfRule>
  </conditionalFormatting>
  <conditionalFormatting sqref="R71:R78">
    <cfRule type="cellIs" dxfId="9993" priority="2578" operator="greaterThan">
      <formula>1</formula>
    </cfRule>
    <cfRule type="cellIs" dxfId="9992" priority="2579" operator="lessThan">
      <formula>0.8</formula>
    </cfRule>
  </conditionalFormatting>
  <conditionalFormatting sqref="Q148:Q153">
    <cfRule type="cellIs" dxfId="9991" priority="2576" operator="lessThan">
      <formula>0</formula>
    </cfRule>
  </conditionalFormatting>
  <conditionalFormatting sqref="R148:R153">
    <cfRule type="cellIs" dxfId="9990" priority="2574" operator="lessThan">
      <formula>0.8</formula>
    </cfRule>
    <cfRule type="cellIs" dxfId="9989" priority="2575" operator="greaterThan">
      <formula>1</formula>
    </cfRule>
  </conditionalFormatting>
  <conditionalFormatting sqref="R148:R153">
    <cfRule type="cellIs" dxfId="9988" priority="2572" operator="greaterThan">
      <formula>1</formula>
    </cfRule>
    <cfRule type="cellIs" dxfId="9987" priority="2573" operator="lessThan">
      <formula>0.8</formula>
    </cfRule>
  </conditionalFormatting>
  <conditionalFormatting sqref="P148:P153">
    <cfRule type="cellIs" dxfId="9986" priority="2571" operator="greaterThan">
      <formula>0</formula>
    </cfRule>
  </conditionalFormatting>
  <conditionalFormatting sqref="Q148:Q153">
    <cfRule type="cellIs" dxfId="9985" priority="2570" operator="lessThan">
      <formula>0</formula>
    </cfRule>
  </conditionalFormatting>
  <conditionalFormatting sqref="R148:R153">
    <cfRule type="cellIs" dxfId="9984" priority="2568" operator="lessThan">
      <formula>0.8</formula>
    </cfRule>
    <cfRule type="cellIs" dxfId="9983" priority="2569" operator="greaterThan">
      <formula>1</formula>
    </cfRule>
  </conditionalFormatting>
  <conditionalFormatting sqref="R148:R153">
    <cfRule type="cellIs" dxfId="9982" priority="2566" operator="greaterThan">
      <formula>1</formula>
    </cfRule>
    <cfRule type="cellIs" dxfId="9981" priority="2567" operator="lessThan">
      <formula>0.8</formula>
    </cfRule>
  </conditionalFormatting>
  <conditionalFormatting sqref="P148:P153">
    <cfRule type="cellIs" dxfId="9980" priority="2565" operator="greaterThan">
      <formula>0</formula>
    </cfRule>
  </conditionalFormatting>
  <conditionalFormatting sqref="Q148:Q153">
    <cfRule type="cellIs" dxfId="9979" priority="2564" operator="lessThan">
      <formula>0</formula>
    </cfRule>
  </conditionalFormatting>
  <conditionalFormatting sqref="R148:R153">
    <cfRule type="cellIs" dxfId="9978" priority="2562" operator="lessThan">
      <formula>0.8</formula>
    </cfRule>
    <cfRule type="cellIs" dxfId="9977" priority="2563" operator="greaterThan">
      <formula>1</formula>
    </cfRule>
  </conditionalFormatting>
  <conditionalFormatting sqref="R148:R153">
    <cfRule type="cellIs" dxfId="9976" priority="2560" operator="greaterThan">
      <formula>1</formula>
    </cfRule>
    <cfRule type="cellIs" dxfId="9975" priority="2561" operator="lessThan">
      <formula>0.8</formula>
    </cfRule>
  </conditionalFormatting>
  <conditionalFormatting sqref="P148:P153">
    <cfRule type="cellIs" dxfId="9974" priority="2559" operator="greaterThan">
      <formula>0</formula>
    </cfRule>
  </conditionalFormatting>
  <conditionalFormatting sqref="Q148:Q153">
    <cfRule type="cellIs" dxfId="9973" priority="2558" operator="lessThan">
      <formula>0</formula>
    </cfRule>
  </conditionalFormatting>
  <conditionalFormatting sqref="R148:R153">
    <cfRule type="cellIs" dxfId="9972" priority="2556" operator="lessThan">
      <formula>0.8</formula>
    </cfRule>
    <cfRule type="cellIs" dxfId="9971" priority="2557" operator="greaterThan">
      <formula>1</formula>
    </cfRule>
  </conditionalFormatting>
  <conditionalFormatting sqref="R148:R153">
    <cfRule type="cellIs" dxfId="9970" priority="2554" operator="greaterThan">
      <formula>1</formula>
    </cfRule>
    <cfRule type="cellIs" dxfId="9969" priority="2555" operator="lessThan">
      <formula>0.8</formula>
    </cfRule>
  </conditionalFormatting>
  <conditionalFormatting sqref="P148:P153">
    <cfRule type="cellIs" dxfId="9968" priority="2553" operator="greaterThan">
      <formula>0</formula>
    </cfRule>
  </conditionalFormatting>
  <conditionalFormatting sqref="P148:P153">
    <cfRule type="cellIs" dxfId="9967" priority="2547" operator="greaterThan">
      <formula>0</formula>
    </cfRule>
  </conditionalFormatting>
  <conditionalFormatting sqref="Q148:Q153">
    <cfRule type="cellIs" dxfId="9966" priority="2552" operator="lessThan">
      <formula>0</formula>
    </cfRule>
  </conditionalFormatting>
  <conditionalFormatting sqref="R148:R153">
    <cfRule type="cellIs" dxfId="9965" priority="2550" operator="lessThan">
      <formula>0.8</formula>
    </cfRule>
    <cfRule type="cellIs" dxfId="9964" priority="2551" operator="greaterThan">
      <formula>1</formula>
    </cfRule>
  </conditionalFormatting>
  <conditionalFormatting sqref="R148:R153">
    <cfRule type="cellIs" dxfId="9963" priority="2548" operator="greaterThan">
      <formula>1</formula>
    </cfRule>
    <cfRule type="cellIs" dxfId="9962" priority="2549" operator="lessThan">
      <formula>0.8</formula>
    </cfRule>
  </conditionalFormatting>
  <conditionalFormatting sqref="P148:P153">
    <cfRule type="cellIs" dxfId="9961" priority="2541" operator="greaterThan">
      <formula>0</formula>
    </cfRule>
  </conditionalFormatting>
  <conditionalFormatting sqref="Q148:Q153">
    <cfRule type="cellIs" dxfId="9960" priority="2546" operator="lessThan">
      <formula>0</formula>
    </cfRule>
  </conditionalFormatting>
  <conditionalFormatting sqref="R148:R153">
    <cfRule type="cellIs" dxfId="9959" priority="2544" operator="lessThan">
      <formula>0.8</formula>
    </cfRule>
    <cfRule type="cellIs" dxfId="9958" priority="2545" operator="greaterThan">
      <formula>1</formula>
    </cfRule>
  </conditionalFormatting>
  <conditionalFormatting sqref="R148:R153">
    <cfRule type="cellIs" dxfId="9957" priority="2542" operator="greaterThan">
      <formula>1</formula>
    </cfRule>
    <cfRule type="cellIs" dxfId="9956" priority="2543" operator="lessThan">
      <formula>0.8</formula>
    </cfRule>
  </conditionalFormatting>
  <conditionalFormatting sqref="R148:R153">
    <cfRule type="cellIs" dxfId="9955" priority="2538" operator="lessThan">
      <formula>0.8</formula>
    </cfRule>
    <cfRule type="cellIs" dxfId="9954" priority="2539" operator="greaterThan">
      <formula>1</formula>
    </cfRule>
  </conditionalFormatting>
  <conditionalFormatting sqref="R148:R153">
    <cfRule type="cellIs" dxfId="9953" priority="2536" operator="greaterThan">
      <formula>1</formula>
    </cfRule>
    <cfRule type="cellIs" dxfId="9952" priority="2537" operator="lessThan">
      <formula>0.8</formula>
    </cfRule>
  </conditionalFormatting>
  <conditionalFormatting sqref="P148:P153">
    <cfRule type="cellIs" dxfId="9951" priority="2535" operator="greaterThan">
      <formula>0</formula>
    </cfRule>
  </conditionalFormatting>
  <conditionalFormatting sqref="Q148:Q153">
    <cfRule type="cellIs" dxfId="9950" priority="2540" operator="lessThan">
      <formula>0</formula>
    </cfRule>
  </conditionalFormatting>
  <conditionalFormatting sqref="Q148:Q153">
    <cfRule type="cellIs" dxfId="9949" priority="2534" operator="lessThan">
      <formula>0</formula>
    </cfRule>
  </conditionalFormatting>
  <conditionalFormatting sqref="R148:R153">
    <cfRule type="cellIs" dxfId="9948" priority="2532" operator="lessThan">
      <formula>0.8</formula>
    </cfRule>
    <cfRule type="cellIs" dxfId="9947" priority="2533" operator="greaterThan">
      <formula>1</formula>
    </cfRule>
  </conditionalFormatting>
  <conditionalFormatting sqref="R148:R153">
    <cfRule type="cellIs" dxfId="9946" priority="2530" operator="greaterThan">
      <formula>1</formula>
    </cfRule>
    <cfRule type="cellIs" dxfId="9945" priority="2531" operator="lessThan">
      <formula>0.8</formula>
    </cfRule>
  </conditionalFormatting>
  <conditionalFormatting sqref="P148:P153">
    <cfRule type="cellIs" dxfId="9944" priority="2529" operator="greaterThan">
      <formula>0</formula>
    </cfRule>
  </conditionalFormatting>
  <conditionalFormatting sqref="P148:P153">
    <cfRule type="cellIs" dxfId="9943" priority="2523" operator="greaterThan">
      <formula>0</formula>
    </cfRule>
  </conditionalFormatting>
  <conditionalFormatting sqref="Q148:Q153">
    <cfRule type="cellIs" dxfId="9942" priority="2528" operator="lessThan">
      <formula>0</formula>
    </cfRule>
  </conditionalFormatting>
  <conditionalFormatting sqref="R148:R153">
    <cfRule type="cellIs" dxfId="9941" priority="2526" operator="lessThan">
      <formula>0.8</formula>
    </cfRule>
    <cfRule type="cellIs" dxfId="9940" priority="2527" operator="greaterThan">
      <formula>1</formula>
    </cfRule>
  </conditionalFormatting>
  <conditionalFormatting sqref="R148:R153">
    <cfRule type="cellIs" dxfId="9939" priority="2524" operator="greaterThan">
      <formula>1</formula>
    </cfRule>
    <cfRule type="cellIs" dxfId="9938" priority="2525" operator="lessThan">
      <formula>0.8</formula>
    </cfRule>
  </conditionalFormatting>
  <conditionalFormatting sqref="P148:P153">
    <cfRule type="cellIs" dxfId="9937" priority="2517" operator="greaterThan">
      <formula>0</formula>
    </cfRule>
  </conditionalFormatting>
  <conditionalFormatting sqref="Q148:Q153">
    <cfRule type="cellIs" dxfId="9936" priority="2522" operator="lessThan">
      <formula>0</formula>
    </cfRule>
  </conditionalFormatting>
  <conditionalFormatting sqref="R148:R153">
    <cfRule type="cellIs" dxfId="9935" priority="2520" operator="lessThan">
      <formula>0.8</formula>
    </cfRule>
    <cfRule type="cellIs" dxfId="9934" priority="2521" operator="greaterThan">
      <formula>1</formula>
    </cfRule>
  </conditionalFormatting>
  <conditionalFormatting sqref="R148:R153">
    <cfRule type="cellIs" dxfId="9933" priority="2518" operator="greaterThan">
      <formula>1</formula>
    </cfRule>
    <cfRule type="cellIs" dxfId="9932" priority="2519" operator="lessThan">
      <formula>0.8</formula>
    </cfRule>
  </conditionalFormatting>
  <conditionalFormatting sqref="R148:R153">
    <cfRule type="cellIs" dxfId="9931" priority="2514" operator="lessThan">
      <formula>0.8</formula>
    </cfRule>
    <cfRule type="cellIs" dxfId="9930" priority="2515" operator="greaterThan">
      <formula>1</formula>
    </cfRule>
  </conditionalFormatting>
  <conditionalFormatting sqref="R148:R153">
    <cfRule type="cellIs" dxfId="9929" priority="2512" operator="greaterThan">
      <formula>1</formula>
    </cfRule>
    <cfRule type="cellIs" dxfId="9928" priority="2513" operator="lessThan">
      <formula>0.8</formula>
    </cfRule>
  </conditionalFormatting>
  <conditionalFormatting sqref="P148:P153">
    <cfRule type="cellIs" dxfId="9927" priority="2511" operator="greaterThan">
      <formula>0</formula>
    </cfRule>
  </conditionalFormatting>
  <conditionalFormatting sqref="Q148:Q153">
    <cfRule type="cellIs" dxfId="9926" priority="2516" operator="lessThan">
      <formula>0</formula>
    </cfRule>
  </conditionalFormatting>
  <conditionalFormatting sqref="P148:P153">
    <cfRule type="cellIs" dxfId="9925" priority="2505" operator="greaterThan">
      <formula>0</formula>
    </cfRule>
  </conditionalFormatting>
  <conditionalFormatting sqref="Q148:Q153">
    <cfRule type="cellIs" dxfId="9924" priority="2510" operator="lessThan">
      <formula>0</formula>
    </cfRule>
  </conditionalFormatting>
  <conditionalFormatting sqref="R148:R153">
    <cfRule type="cellIs" dxfId="9923" priority="2508" operator="lessThan">
      <formula>0.8</formula>
    </cfRule>
    <cfRule type="cellIs" dxfId="9922" priority="2509" operator="greaterThan">
      <formula>1</formula>
    </cfRule>
  </conditionalFormatting>
  <conditionalFormatting sqref="R148:R153">
    <cfRule type="cellIs" dxfId="9921" priority="2506" operator="greaterThan">
      <formula>1</formula>
    </cfRule>
    <cfRule type="cellIs" dxfId="9920" priority="2507" operator="lessThan">
      <formula>0.8</formula>
    </cfRule>
  </conditionalFormatting>
  <conditionalFormatting sqref="R148:R153">
    <cfRule type="cellIs" dxfId="9919" priority="2502" operator="lessThan">
      <formula>0.8</formula>
    </cfRule>
    <cfRule type="cellIs" dxfId="9918" priority="2503" operator="greaterThan">
      <formula>1</formula>
    </cfRule>
  </conditionalFormatting>
  <conditionalFormatting sqref="R148:R153">
    <cfRule type="cellIs" dxfId="9917" priority="2500" operator="greaterThan">
      <formula>1</formula>
    </cfRule>
    <cfRule type="cellIs" dxfId="9916" priority="2501" operator="lessThan">
      <formula>0.8</formula>
    </cfRule>
  </conditionalFormatting>
  <conditionalFormatting sqref="P148:P153">
    <cfRule type="cellIs" dxfId="9915" priority="2499" operator="greaterThan">
      <formula>0</formula>
    </cfRule>
  </conditionalFormatting>
  <conditionalFormatting sqref="Q148:Q153">
    <cfRule type="cellIs" dxfId="9914" priority="2504" operator="lessThan">
      <formula>0</formula>
    </cfRule>
  </conditionalFormatting>
  <conditionalFormatting sqref="R148:R153">
    <cfRule type="cellIs" dxfId="9913" priority="2496" operator="lessThan">
      <formula>0.8</formula>
    </cfRule>
    <cfRule type="cellIs" dxfId="9912" priority="2497" operator="greaterThan">
      <formula>1</formula>
    </cfRule>
  </conditionalFormatting>
  <conditionalFormatting sqref="R148:R153">
    <cfRule type="cellIs" dxfId="9911" priority="2494" operator="greaterThan">
      <formula>1</formula>
    </cfRule>
    <cfRule type="cellIs" dxfId="9910" priority="2495" operator="lessThan">
      <formula>0.8</formula>
    </cfRule>
  </conditionalFormatting>
  <conditionalFormatting sqref="P148:P153">
    <cfRule type="cellIs" dxfId="9909" priority="2493" operator="greaterThan">
      <formula>0</formula>
    </cfRule>
  </conditionalFormatting>
  <conditionalFormatting sqref="Q148:Q153">
    <cfRule type="cellIs" dxfId="9908" priority="2498" operator="lessThan">
      <formula>0</formula>
    </cfRule>
  </conditionalFormatting>
  <conditionalFormatting sqref="Q148:Q153">
    <cfRule type="cellIs" dxfId="9907" priority="2492" operator="lessThan">
      <formula>0</formula>
    </cfRule>
  </conditionalFormatting>
  <conditionalFormatting sqref="R148:R153">
    <cfRule type="cellIs" dxfId="9906" priority="2490" operator="lessThan">
      <formula>0.8</formula>
    </cfRule>
    <cfRule type="cellIs" dxfId="9905" priority="2491" operator="greaterThan">
      <formula>1</formula>
    </cfRule>
  </conditionalFormatting>
  <conditionalFormatting sqref="R148:R153">
    <cfRule type="cellIs" dxfId="9904" priority="2488" operator="greaterThan">
      <formula>1</formula>
    </cfRule>
    <cfRule type="cellIs" dxfId="9903" priority="2489" operator="lessThan">
      <formula>0.8</formula>
    </cfRule>
  </conditionalFormatting>
  <conditionalFormatting sqref="P148:P153">
    <cfRule type="cellIs" dxfId="9902" priority="2487" operator="greaterThan">
      <formula>0</formula>
    </cfRule>
  </conditionalFormatting>
  <conditionalFormatting sqref="Q148:Q153">
    <cfRule type="cellIs" dxfId="9901" priority="2481" operator="lessThan">
      <formula>0</formula>
    </cfRule>
  </conditionalFormatting>
  <conditionalFormatting sqref="R148:R153">
    <cfRule type="cellIs" dxfId="9900" priority="2485" operator="lessThan">
      <formula>0.8</formula>
    </cfRule>
    <cfRule type="cellIs" dxfId="9899" priority="2486" operator="greaterThan">
      <formula>1</formula>
    </cfRule>
  </conditionalFormatting>
  <conditionalFormatting sqref="R148:R153">
    <cfRule type="cellIs" dxfId="9898" priority="2483" operator="greaterThan">
      <formula>1</formula>
    </cfRule>
    <cfRule type="cellIs" dxfId="9897" priority="2484" operator="lessThan">
      <formula>0.8</formula>
    </cfRule>
  </conditionalFormatting>
  <conditionalFormatting sqref="P148:P153">
    <cfRule type="cellIs" dxfId="9896" priority="2482" operator="greaterThan">
      <formula>0</formula>
    </cfRule>
  </conditionalFormatting>
  <conditionalFormatting sqref="Q148:Q153">
    <cfRule type="cellIs" dxfId="9895" priority="2480" operator="lessThan">
      <formula>0</formula>
    </cfRule>
  </conditionalFormatting>
  <conditionalFormatting sqref="R148:R153">
    <cfRule type="cellIs" dxfId="9894" priority="2478" operator="lessThan">
      <formula>0.8</formula>
    </cfRule>
    <cfRule type="cellIs" dxfId="9893" priority="2479" operator="greaterThan">
      <formula>1</formula>
    </cfRule>
  </conditionalFormatting>
  <conditionalFormatting sqref="R148:R153">
    <cfRule type="cellIs" dxfId="9892" priority="2476" operator="greaterThan">
      <formula>1</formula>
    </cfRule>
    <cfRule type="cellIs" dxfId="9891" priority="2477" operator="lessThan">
      <formula>0.8</formula>
    </cfRule>
  </conditionalFormatting>
  <conditionalFormatting sqref="P148:P153">
    <cfRule type="cellIs" dxfId="9890" priority="2475" operator="greaterThan">
      <formula>0</formula>
    </cfRule>
  </conditionalFormatting>
  <conditionalFormatting sqref="Q148:Q153">
    <cfRule type="cellIs" dxfId="9889" priority="2474" operator="lessThan">
      <formula>0</formula>
    </cfRule>
  </conditionalFormatting>
  <conditionalFormatting sqref="R148:R153">
    <cfRule type="cellIs" dxfId="9888" priority="2472" operator="lessThan">
      <formula>0.8</formula>
    </cfRule>
    <cfRule type="cellIs" dxfId="9887" priority="2473" operator="greaterThan">
      <formula>1</formula>
    </cfRule>
  </conditionalFormatting>
  <conditionalFormatting sqref="R148:R153">
    <cfRule type="cellIs" dxfId="9886" priority="2470" operator="greaterThan">
      <formula>1</formula>
    </cfRule>
    <cfRule type="cellIs" dxfId="9885" priority="2471" operator="lessThan">
      <formula>0.8</formula>
    </cfRule>
  </conditionalFormatting>
  <conditionalFormatting sqref="P148:P153">
    <cfRule type="cellIs" dxfId="9884" priority="2469" operator="greaterThan">
      <formula>0</formula>
    </cfRule>
  </conditionalFormatting>
  <conditionalFormatting sqref="Q148:Q153">
    <cfRule type="cellIs" dxfId="9883" priority="2468" operator="lessThan">
      <formula>0</formula>
    </cfRule>
  </conditionalFormatting>
  <conditionalFormatting sqref="R148:R153">
    <cfRule type="cellIs" dxfId="9882" priority="2466" operator="lessThan">
      <formula>0.8</formula>
    </cfRule>
    <cfRule type="cellIs" dxfId="9881" priority="2467" operator="greaterThan">
      <formula>1</formula>
    </cfRule>
  </conditionalFormatting>
  <conditionalFormatting sqref="R148:R153">
    <cfRule type="cellIs" dxfId="9880" priority="2464" operator="greaterThan">
      <formula>1</formula>
    </cfRule>
    <cfRule type="cellIs" dxfId="9879" priority="2465" operator="lessThan">
      <formula>0.8</formula>
    </cfRule>
  </conditionalFormatting>
  <conditionalFormatting sqref="P148:P153">
    <cfRule type="cellIs" dxfId="9878" priority="2463" operator="greaterThan">
      <formula>0</formula>
    </cfRule>
  </conditionalFormatting>
  <conditionalFormatting sqref="Q148:Q153">
    <cfRule type="cellIs" dxfId="9877" priority="2462" operator="lessThan">
      <formula>0</formula>
    </cfRule>
  </conditionalFormatting>
  <conditionalFormatting sqref="R148:R153">
    <cfRule type="cellIs" dxfId="9876" priority="2460" operator="lessThan">
      <formula>0.8</formula>
    </cfRule>
    <cfRule type="cellIs" dxfId="9875" priority="2461" operator="greaterThan">
      <formula>1</formula>
    </cfRule>
  </conditionalFormatting>
  <conditionalFormatting sqref="R148:R153">
    <cfRule type="cellIs" dxfId="9874" priority="2458" operator="greaterThan">
      <formula>1</formula>
    </cfRule>
    <cfRule type="cellIs" dxfId="9873" priority="2459" operator="lessThan">
      <formula>0.8</formula>
    </cfRule>
  </conditionalFormatting>
  <conditionalFormatting sqref="P148:P153">
    <cfRule type="cellIs" dxfId="9872" priority="2457" operator="greaterThan">
      <formula>0</formula>
    </cfRule>
  </conditionalFormatting>
  <conditionalFormatting sqref="Q148:Q153">
    <cfRule type="cellIs" dxfId="9871" priority="2456" operator="lessThan">
      <formula>0</formula>
    </cfRule>
  </conditionalFormatting>
  <conditionalFormatting sqref="R148:R153">
    <cfRule type="cellIs" dxfId="9870" priority="2454" operator="lessThan">
      <formula>0.8</formula>
    </cfRule>
    <cfRule type="cellIs" dxfId="9869" priority="2455" operator="greaterThan">
      <formula>1</formula>
    </cfRule>
  </conditionalFormatting>
  <conditionalFormatting sqref="R148:R153">
    <cfRule type="cellIs" dxfId="9868" priority="2452" operator="greaterThan">
      <formula>1</formula>
    </cfRule>
    <cfRule type="cellIs" dxfId="9867" priority="2453" operator="lessThan">
      <formula>0.8</formula>
    </cfRule>
  </conditionalFormatting>
  <conditionalFormatting sqref="P148:P153">
    <cfRule type="cellIs" dxfId="9866" priority="2451" operator="greaterThan">
      <formula>0</formula>
    </cfRule>
  </conditionalFormatting>
  <conditionalFormatting sqref="P148:P153">
    <cfRule type="cellIs" dxfId="9865" priority="2445" operator="greaterThan">
      <formula>0</formula>
    </cfRule>
  </conditionalFormatting>
  <conditionalFormatting sqref="Q148:Q153">
    <cfRule type="cellIs" dxfId="9864" priority="2450" operator="lessThan">
      <formula>0</formula>
    </cfRule>
  </conditionalFormatting>
  <conditionalFormatting sqref="R148:R153">
    <cfRule type="cellIs" dxfId="9863" priority="2448" operator="lessThan">
      <formula>0.8</formula>
    </cfRule>
    <cfRule type="cellIs" dxfId="9862" priority="2449" operator="greaterThan">
      <formula>1</formula>
    </cfRule>
  </conditionalFormatting>
  <conditionalFormatting sqref="R148:R153">
    <cfRule type="cellIs" dxfId="9861" priority="2446" operator="greaterThan">
      <formula>1</formula>
    </cfRule>
    <cfRule type="cellIs" dxfId="9860" priority="2447" operator="lessThan">
      <formula>0.8</formula>
    </cfRule>
  </conditionalFormatting>
  <conditionalFormatting sqref="P148:P153">
    <cfRule type="cellIs" dxfId="9859" priority="2439" operator="greaterThan">
      <formula>0</formula>
    </cfRule>
  </conditionalFormatting>
  <conditionalFormatting sqref="Q148:Q153">
    <cfRule type="cellIs" dxfId="9858" priority="2444" operator="lessThan">
      <formula>0</formula>
    </cfRule>
  </conditionalFormatting>
  <conditionalFormatting sqref="R148:R153">
    <cfRule type="cellIs" dxfId="9857" priority="2442" operator="lessThan">
      <formula>0.8</formula>
    </cfRule>
    <cfRule type="cellIs" dxfId="9856" priority="2443" operator="greaterThan">
      <formula>1</formula>
    </cfRule>
  </conditionalFormatting>
  <conditionalFormatting sqref="R148:R153">
    <cfRule type="cellIs" dxfId="9855" priority="2440" operator="greaterThan">
      <formula>1</formula>
    </cfRule>
    <cfRule type="cellIs" dxfId="9854" priority="2441" operator="lessThan">
      <formula>0.8</formula>
    </cfRule>
  </conditionalFormatting>
  <conditionalFormatting sqref="R148:R153">
    <cfRule type="cellIs" dxfId="9853" priority="2436" operator="lessThan">
      <formula>0.8</formula>
    </cfRule>
    <cfRule type="cellIs" dxfId="9852" priority="2437" operator="greaterThan">
      <formula>1</formula>
    </cfRule>
  </conditionalFormatting>
  <conditionalFormatting sqref="R148:R153">
    <cfRule type="cellIs" dxfId="9851" priority="2434" operator="greaterThan">
      <formula>1</formula>
    </cfRule>
    <cfRule type="cellIs" dxfId="9850" priority="2435" operator="lessThan">
      <formula>0.8</formula>
    </cfRule>
  </conditionalFormatting>
  <conditionalFormatting sqref="P148:P153">
    <cfRule type="cellIs" dxfId="9849" priority="2433" operator="greaterThan">
      <formula>0</formula>
    </cfRule>
  </conditionalFormatting>
  <conditionalFormatting sqref="Q148:Q153">
    <cfRule type="cellIs" dxfId="9848" priority="2438" operator="lessThan">
      <formula>0</formula>
    </cfRule>
  </conditionalFormatting>
  <conditionalFormatting sqref="Q148:Q153">
    <cfRule type="cellIs" dxfId="9847" priority="2427" operator="lessThan">
      <formula>0</formula>
    </cfRule>
  </conditionalFormatting>
  <conditionalFormatting sqref="P148:P153">
    <cfRule type="cellIs" dxfId="9846" priority="2428" operator="greaterThan">
      <formula>0</formula>
    </cfRule>
  </conditionalFormatting>
  <conditionalFormatting sqref="R148:R153">
    <cfRule type="cellIs" dxfId="9845" priority="2431" operator="lessThan">
      <formula>0.8</formula>
    </cfRule>
    <cfRule type="cellIs" dxfId="9844" priority="2432" operator="greaterThan">
      <formula>1</formula>
    </cfRule>
  </conditionalFormatting>
  <conditionalFormatting sqref="R148:R153">
    <cfRule type="cellIs" dxfId="9843" priority="2429" operator="greaterThan">
      <formula>1</formula>
    </cfRule>
    <cfRule type="cellIs" dxfId="9842" priority="2430" operator="lessThan">
      <formula>0.8</formula>
    </cfRule>
  </conditionalFormatting>
  <conditionalFormatting sqref="Q148:Q153">
    <cfRule type="cellIs" dxfId="9841" priority="2421" operator="lessThan">
      <formula>0</formula>
    </cfRule>
  </conditionalFormatting>
  <conditionalFormatting sqref="R148:R153">
    <cfRule type="cellIs" dxfId="9840" priority="2425" operator="lessThan">
      <formula>0.8</formula>
    </cfRule>
    <cfRule type="cellIs" dxfId="9839" priority="2426" operator="greaterThan">
      <formula>1</formula>
    </cfRule>
  </conditionalFormatting>
  <conditionalFormatting sqref="R148:R153">
    <cfRule type="cellIs" dxfId="9838" priority="2423" operator="greaterThan">
      <formula>1</formula>
    </cfRule>
    <cfRule type="cellIs" dxfId="9837" priority="2424" operator="lessThan">
      <formula>0.8</formula>
    </cfRule>
  </conditionalFormatting>
  <conditionalFormatting sqref="P148:P153">
    <cfRule type="cellIs" dxfId="9836" priority="2422" operator="greaterThan">
      <formula>0</formula>
    </cfRule>
  </conditionalFormatting>
  <conditionalFormatting sqref="Q148:Q153">
    <cfRule type="cellIs" dxfId="9835" priority="2420" operator="lessThan">
      <formula>0</formula>
    </cfRule>
  </conditionalFormatting>
  <conditionalFormatting sqref="R148:R153">
    <cfRule type="cellIs" dxfId="9834" priority="2418" operator="lessThan">
      <formula>0.8</formula>
    </cfRule>
    <cfRule type="cellIs" dxfId="9833" priority="2419" operator="greaterThan">
      <formula>1</formula>
    </cfRule>
  </conditionalFormatting>
  <conditionalFormatting sqref="R148:R153">
    <cfRule type="cellIs" dxfId="9832" priority="2416" operator="greaterThan">
      <formula>1</formula>
    </cfRule>
    <cfRule type="cellIs" dxfId="9831" priority="2417" operator="lessThan">
      <formula>0.8</formula>
    </cfRule>
  </conditionalFormatting>
  <conditionalFormatting sqref="P148:P153">
    <cfRule type="cellIs" dxfId="9830" priority="2415" operator="greaterThan">
      <formula>0</formula>
    </cfRule>
  </conditionalFormatting>
  <conditionalFormatting sqref="Q148:Q153">
    <cfRule type="cellIs" dxfId="9829" priority="2414" operator="lessThan">
      <formula>0</formula>
    </cfRule>
  </conditionalFormatting>
  <conditionalFormatting sqref="R148:R153">
    <cfRule type="cellIs" dxfId="9828" priority="2412" operator="lessThan">
      <formula>0.8</formula>
    </cfRule>
    <cfRule type="cellIs" dxfId="9827" priority="2413" operator="greaterThan">
      <formula>1</formula>
    </cfRule>
  </conditionalFormatting>
  <conditionalFormatting sqref="R148:R153">
    <cfRule type="cellIs" dxfId="9826" priority="2410" operator="greaterThan">
      <formula>1</formula>
    </cfRule>
    <cfRule type="cellIs" dxfId="9825" priority="2411" operator="lessThan">
      <formula>0.8</formula>
    </cfRule>
  </conditionalFormatting>
  <conditionalFormatting sqref="P148:P153">
    <cfRule type="cellIs" dxfId="9824" priority="2409" operator="greaterThan">
      <formula>0</formula>
    </cfRule>
  </conditionalFormatting>
  <conditionalFormatting sqref="Q148:Q153">
    <cfRule type="cellIs" dxfId="9823" priority="2408" operator="lessThan">
      <formula>0</formula>
    </cfRule>
  </conditionalFormatting>
  <conditionalFormatting sqref="R148:R153">
    <cfRule type="cellIs" dxfId="9822" priority="2406" operator="lessThan">
      <formula>0.8</formula>
    </cfRule>
    <cfRule type="cellIs" dxfId="9821" priority="2407" operator="greaterThan">
      <formula>1</formula>
    </cfRule>
  </conditionalFormatting>
  <conditionalFormatting sqref="R148:R153">
    <cfRule type="cellIs" dxfId="9820" priority="2404" operator="greaterThan">
      <formula>1</formula>
    </cfRule>
    <cfRule type="cellIs" dxfId="9819" priority="2405" operator="lessThan">
      <formula>0.8</formula>
    </cfRule>
  </conditionalFormatting>
  <conditionalFormatting sqref="P148:P153">
    <cfRule type="cellIs" dxfId="9818" priority="2403" operator="greaterThan">
      <formula>0</formula>
    </cfRule>
  </conditionalFormatting>
  <conditionalFormatting sqref="Q148:Q153">
    <cfRule type="cellIs" dxfId="9817" priority="2402" operator="lessThan">
      <formula>0</formula>
    </cfRule>
  </conditionalFormatting>
  <conditionalFormatting sqref="R148:R153">
    <cfRule type="cellIs" dxfId="9816" priority="2400" operator="lessThan">
      <formula>0.8</formula>
    </cfRule>
    <cfRule type="cellIs" dxfId="9815" priority="2401" operator="greaterThan">
      <formula>1</formula>
    </cfRule>
  </conditionalFormatting>
  <conditionalFormatting sqref="R148:R153">
    <cfRule type="cellIs" dxfId="9814" priority="2398" operator="greaterThan">
      <formula>1</formula>
    </cfRule>
    <cfRule type="cellIs" dxfId="9813" priority="2399" operator="lessThan">
      <formula>0.8</formula>
    </cfRule>
  </conditionalFormatting>
  <conditionalFormatting sqref="P148:P153">
    <cfRule type="cellIs" dxfId="9812" priority="2397" operator="greaterThan">
      <formula>0</formula>
    </cfRule>
  </conditionalFormatting>
  <conditionalFormatting sqref="Q124">
    <cfRule type="cellIs" dxfId="9811" priority="2391" operator="lessThan">
      <formula>0</formula>
    </cfRule>
  </conditionalFormatting>
  <conditionalFormatting sqref="P124">
    <cfRule type="cellIs" dxfId="9810" priority="2392" operator="greaterThan">
      <formula>0</formula>
    </cfRule>
  </conditionalFormatting>
  <conditionalFormatting sqref="R124">
    <cfRule type="cellIs" dxfId="9809" priority="2395" operator="lessThan">
      <formula>0.8</formula>
    </cfRule>
    <cfRule type="cellIs" dxfId="9808" priority="2396" operator="greaterThan">
      <formula>1</formula>
    </cfRule>
  </conditionalFormatting>
  <conditionalFormatting sqref="R124">
    <cfRule type="cellIs" dxfId="9807" priority="2393" operator="greaterThan">
      <formula>1</formula>
    </cfRule>
    <cfRule type="cellIs" dxfId="9806" priority="2394" operator="lessThan">
      <formula>0.8</formula>
    </cfRule>
  </conditionalFormatting>
  <conditionalFormatting sqref="Q124">
    <cfRule type="cellIs" dxfId="9805" priority="2385" operator="lessThan">
      <formula>0</formula>
    </cfRule>
  </conditionalFormatting>
  <conditionalFormatting sqref="R124">
    <cfRule type="cellIs" dxfId="9804" priority="2389" operator="lessThan">
      <formula>0.8</formula>
    </cfRule>
    <cfRule type="cellIs" dxfId="9803" priority="2390" operator="greaterThan">
      <formula>1</formula>
    </cfRule>
  </conditionalFormatting>
  <conditionalFormatting sqref="R124">
    <cfRule type="cellIs" dxfId="9802" priority="2387" operator="greaterThan">
      <formula>1</formula>
    </cfRule>
    <cfRule type="cellIs" dxfId="9801" priority="2388" operator="lessThan">
      <formula>0.8</formula>
    </cfRule>
  </conditionalFormatting>
  <conditionalFormatting sqref="P124">
    <cfRule type="cellIs" dxfId="9800" priority="2386" operator="greaterThan">
      <formula>0</formula>
    </cfRule>
  </conditionalFormatting>
  <conditionalFormatting sqref="Q124">
    <cfRule type="cellIs" dxfId="9799" priority="2384" operator="lessThan">
      <formula>0</formula>
    </cfRule>
  </conditionalFormatting>
  <conditionalFormatting sqref="R124">
    <cfRule type="cellIs" dxfId="9798" priority="2382" operator="lessThan">
      <formula>0.8</formula>
    </cfRule>
    <cfRule type="cellIs" dxfId="9797" priority="2383" operator="greaterThan">
      <formula>1</formula>
    </cfRule>
  </conditionalFormatting>
  <conditionalFormatting sqref="R124">
    <cfRule type="cellIs" dxfId="9796" priority="2380" operator="greaterThan">
      <formula>1</formula>
    </cfRule>
    <cfRule type="cellIs" dxfId="9795" priority="2381" operator="lessThan">
      <formula>0.8</formula>
    </cfRule>
  </conditionalFormatting>
  <conditionalFormatting sqref="P124">
    <cfRule type="cellIs" dxfId="9794" priority="2379" operator="greaterThan">
      <formula>0</formula>
    </cfRule>
  </conditionalFormatting>
  <conditionalFormatting sqref="Q124">
    <cfRule type="cellIs" dxfId="9793" priority="2378" operator="lessThan">
      <formula>0</formula>
    </cfRule>
  </conditionalFormatting>
  <conditionalFormatting sqref="R124">
    <cfRule type="cellIs" dxfId="9792" priority="2376" operator="lessThan">
      <formula>0.8</formula>
    </cfRule>
    <cfRule type="cellIs" dxfId="9791" priority="2377" operator="greaterThan">
      <formula>1</formula>
    </cfRule>
  </conditionalFormatting>
  <conditionalFormatting sqref="R124">
    <cfRule type="cellIs" dxfId="9790" priority="2374" operator="greaterThan">
      <formula>1</formula>
    </cfRule>
    <cfRule type="cellIs" dxfId="9789" priority="2375" operator="lessThan">
      <formula>0.8</formula>
    </cfRule>
  </conditionalFormatting>
  <conditionalFormatting sqref="P124">
    <cfRule type="cellIs" dxfId="9788" priority="2373" operator="greaterThan">
      <formula>0</formula>
    </cfRule>
  </conditionalFormatting>
  <conditionalFormatting sqref="Q124">
    <cfRule type="cellIs" dxfId="9787" priority="2372" operator="lessThan">
      <formula>0</formula>
    </cfRule>
  </conditionalFormatting>
  <conditionalFormatting sqref="R124">
    <cfRule type="cellIs" dxfId="9786" priority="2370" operator="lessThan">
      <formula>0.8</formula>
    </cfRule>
    <cfRule type="cellIs" dxfId="9785" priority="2371" operator="greaterThan">
      <formula>1</formula>
    </cfRule>
  </conditionalFormatting>
  <conditionalFormatting sqref="R124">
    <cfRule type="cellIs" dxfId="9784" priority="2368" operator="greaterThan">
      <formula>1</formula>
    </cfRule>
    <cfRule type="cellIs" dxfId="9783" priority="2369" operator="lessThan">
      <formula>0.8</formula>
    </cfRule>
  </conditionalFormatting>
  <conditionalFormatting sqref="P124">
    <cfRule type="cellIs" dxfId="9782" priority="2367" operator="greaterThan">
      <formula>0</formula>
    </cfRule>
  </conditionalFormatting>
  <conditionalFormatting sqref="Q124">
    <cfRule type="cellIs" dxfId="9781" priority="2366" operator="lessThan">
      <formula>0</formula>
    </cfRule>
  </conditionalFormatting>
  <conditionalFormatting sqref="R124">
    <cfRule type="cellIs" dxfId="9780" priority="2364" operator="lessThan">
      <formula>0.8</formula>
    </cfRule>
    <cfRule type="cellIs" dxfId="9779" priority="2365" operator="greaterThan">
      <formula>1</formula>
    </cfRule>
  </conditionalFormatting>
  <conditionalFormatting sqref="R124">
    <cfRule type="cellIs" dxfId="9778" priority="2362" operator="greaterThan">
      <formula>1</formula>
    </cfRule>
    <cfRule type="cellIs" dxfId="9777" priority="2363" operator="lessThan">
      <formula>0.8</formula>
    </cfRule>
  </conditionalFormatting>
  <conditionalFormatting sqref="P124">
    <cfRule type="cellIs" dxfId="9776" priority="2361" operator="greaterThan">
      <formula>0</formula>
    </cfRule>
  </conditionalFormatting>
  <conditionalFormatting sqref="Q124">
    <cfRule type="cellIs" dxfId="9775" priority="2360" operator="lessThan">
      <formula>0</formula>
    </cfRule>
  </conditionalFormatting>
  <conditionalFormatting sqref="R124">
    <cfRule type="cellIs" dxfId="9774" priority="2358" operator="lessThan">
      <formula>0.8</formula>
    </cfRule>
    <cfRule type="cellIs" dxfId="9773" priority="2359" operator="greaterThan">
      <formula>1</formula>
    </cfRule>
  </conditionalFormatting>
  <conditionalFormatting sqref="R124">
    <cfRule type="cellIs" dxfId="9772" priority="2356" operator="greaterThan">
      <formula>1</formula>
    </cfRule>
    <cfRule type="cellIs" dxfId="9771" priority="2357" operator="lessThan">
      <formula>0.8</formula>
    </cfRule>
  </conditionalFormatting>
  <conditionalFormatting sqref="P124">
    <cfRule type="cellIs" dxfId="9770" priority="2355" operator="greaterThan">
      <formula>0</formula>
    </cfRule>
  </conditionalFormatting>
  <conditionalFormatting sqref="Q124">
    <cfRule type="cellIs" dxfId="9769" priority="2354" operator="lessThan">
      <formula>0</formula>
    </cfRule>
  </conditionalFormatting>
  <conditionalFormatting sqref="R124">
    <cfRule type="cellIs" dxfId="9768" priority="2352" operator="lessThan">
      <formula>0.8</formula>
    </cfRule>
    <cfRule type="cellIs" dxfId="9767" priority="2353" operator="greaterThan">
      <formula>1</formula>
    </cfRule>
  </conditionalFormatting>
  <conditionalFormatting sqref="R124">
    <cfRule type="cellIs" dxfId="9766" priority="2350" operator="greaterThan">
      <formula>1</formula>
    </cfRule>
    <cfRule type="cellIs" dxfId="9765" priority="2351" operator="lessThan">
      <formula>0.8</formula>
    </cfRule>
  </conditionalFormatting>
  <conditionalFormatting sqref="P124">
    <cfRule type="cellIs" dxfId="9764" priority="2349" operator="greaterThan">
      <formula>0</formula>
    </cfRule>
  </conditionalFormatting>
  <conditionalFormatting sqref="Q124">
    <cfRule type="cellIs" dxfId="9763" priority="2348" operator="lessThan">
      <formula>0</formula>
    </cfRule>
  </conditionalFormatting>
  <conditionalFormatting sqref="R124">
    <cfRule type="cellIs" dxfId="9762" priority="2346" operator="lessThan">
      <formula>0.8</formula>
    </cfRule>
    <cfRule type="cellIs" dxfId="9761" priority="2347" operator="greaterThan">
      <formula>1</formula>
    </cfRule>
  </conditionalFormatting>
  <conditionalFormatting sqref="R124">
    <cfRule type="cellIs" dxfId="9760" priority="2344" operator="greaterThan">
      <formula>1</formula>
    </cfRule>
    <cfRule type="cellIs" dxfId="9759" priority="2345" operator="lessThan">
      <formula>0.8</formula>
    </cfRule>
  </conditionalFormatting>
  <conditionalFormatting sqref="P124">
    <cfRule type="cellIs" dxfId="9758" priority="2343" operator="greaterThan">
      <formula>0</formula>
    </cfRule>
  </conditionalFormatting>
  <conditionalFormatting sqref="P124">
    <cfRule type="cellIs" dxfId="9757" priority="2337" operator="greaterThan">
      <formula>0</formula>
    </cfRule>
  </conditionalFormatting>
  <conditionalFormatting sqref="Q124">
    <cfRule type="cellIs" dxfId="9756" priority="2342" operator="lessThan">
      <formula>0</formula>
    </cfRule>
  </conditionalFormatting>
  <conditionalFormatting sqref="R124">
    <cfRule type="cellIs" dxfId="9755" priority="2340" operator="lessThan">
      <formula>0.8</formula>
    </cfRule>
    <cfRule type="cellIs" dxfId="9754" priority="2341" operator="greaterThan">
      <formula>1</formula>
    </cfRule>
  </conditionalFormatting>
  <conditionalFormatting sqref="R124">
    <cfRule type="cellIs" dxfId="9753" priority="2338" operator="greaterThan">
      <formula>1</formula>
    </cfRule>
    <cfRule type="cellIs" dxfId="9752" priority="2339" operator="lessThan">
      <formula>0.8</formula>
    </cfRule>
  </conditionalFormatting>
  <conditionalFormatting sqref="P124">
    <cfRule type="cellIs" dxfId="9751" priority="2331" operator="greaterThan">
      <formula>0</formula>
    </cfRule>
  </conditionalFormatting>
  <conditionalFormatting sqref="Q124">
    <cfRule type="cellIs" dxfId="9750" priority="2336" operator="lessThan">
      <formula>0</formula>
    </cfRule>
  </conditionalFormatting>
  <conditionalFormatting sqref="R124">
    <cfRule type="cellIs" dxfId="9749" priority="2334" operator="lessThan">
      <formula>0.8</formula>
    </cfRule>
    <cfRule type="cellIs" dxfId="9748" priority="2335" operator="greaterThan">
      <formula>1</formula>
    </cfRule>
  </conditionalFormatting>
  <conditionalFormatting sqref="R124">
    <cfRule type="cellIs" dxfId="9747" priority="2332" operator="greaterThan">
      <formula>1</formula>
    </cfRule>
    <cfRule type="cellIs" dxfId="9746" priority="2333" operator="lessThan">
      <formula>0.8</formula>
    </cfRule>
  </conditionalFormatting>
  <conditionalFormatting sqref="R124">
    <cfRule type="cellIs" dxfId="9745" priority="2328" operator="lessThan">
      <formula>0.8</formula>
    </cfRule>
    <cfRule type="cellIs" dxfId="9744" priority="2329" operator="greaterThan">
      <formula>1</formula>
    </cfRule>
  </conditionalFormatting>
  <conditionalFormatting sqref="R124">
    <cfRule type="cellIs" dxfId="9743" priority="2326" operator="greaterThan">
      <formula>1</formula>
    </cfRule>
    <cfRule type="cellIs" dxfId="9742" priority="2327" operator="lessThan">
      <formula>0.8</formula>
    </cfRule>
  </conditionalFormatting>
  <conditionalFormatting sqref="P124">
    <cfRule type="cellIs" dxfId="9741" priority="2325" operator="greaterThan">
      <formula>0</formula>
    </cfRule>
  </conditionalFormatting>
  <conditionalFormatting sqref="Q124">
    <cfRule type="cellIs" dxfId="9740" priority="2330" operator="lessThan">
      <formula>0</formula>
    </cfRule>
  </conditionalFormatting>
  <conditionalFormatting sqref="Q124">
    <cfRule type="cellIs" dxfId="9739" priority="2324" operator="lessThan">
      <formula>0</formula>
    </cfRule>
  </conditionalFormatting>
  <conditionalFormatting sqref="R124">
    <cfRule type="cellIs" dxfId="9738" priority="2322" operator="lessThan">
      <formula>0.8</formula>
    </cfRule>
    <cfRule type="cellIs" dxfId="9737" priority="2323" operator="greaterThan">
      <formula>1</formula>
    </cfRule>
  </conditionalFormatting>
  <conditionalFormatting sqref="R124">
    <cfRule type="cellIs" dxfId="9736" priority="2320" operator="greaterThan">
      <formula>1</formula>
    </cfRule>
    <cfRule type="cellIs" dxfId="9735" priority="2321" operator="lessThan">
      <formula>0.8</formula>
    </cfRule>
  </conditionalFormatting>
  <conditionalFormatting sqref="P124">
    <cfRule type="cellIs" dxfId="9734" priority="2319" operator="greaterThan">
      <formula>0</formula>
    </cfRule>
  </conditionalFormatting>
  <conditionalFormatting sqref="P124">
    <cfRule type="cellIs" dxfId="9733" priority="2313" operator="greaterThan">
      <formula>0</formula>
    </cfRule>
  </conditionalFormatting>
  <conditionalFormatting sqref="Q124">
    <cfRule type="cellIs" dxfId="9732" priority="2318" operator="lessThan">
      <formula>0</formula>
    </cfRule>
  </conditionalFormatting>
  <conditionalFormatting sqref="R124">
    <cfRule type="cellIs" dxfId="9731" priority="2316" operator="lessThan">
      <formula>0.8</formula>
    </cfRule>
    <cfRule type="cellIs" dxfId="9730" priority="2317" operator="greaterThan">
      <formula>1</formula>
    </cfRule>
  </conditionalFormatting>
  <conditionalFormatting sqref="R124">
    <cfRule type="cellIs" dxfId="9729" priority="2314" operator="greaterThan">
      <formula>1</formula>
    </cfRule>
    <cfRule type="cellIs" dxfId="9728" priority="2315" operator="lessThan">
      <formula>0.8</formula>
    </cfRule>
  </conditionalFormatting>
  <conditionalFormatting sqref="P124">
    <cfRule type="cellIs" dxfId="9727" priority="2307" operator="greaterThan">
      <formula>0</formula>
    </cfRule>
  </conditionalFormatting>
  <conditionalFormatting sqref="Q124">
    <cfRule type="cellIs" dxfId="9726" priority="2312" operator="lessThan">
      <formula>0</formula>
    </cfRule>
  </conditionalFormatting>
  <conditionalFormatting sqref="R124">
    <cfRule type="cellIs" dxfId="9725" priority="2310" operator="lessThan">
      <formula>0.8</formula>
    </cfRule>
    <cfRule type="cellIs" dxfId="9724" priority="2311" operator="greaterThan">
      <formula>1</formula>
    </cfRule>
  </conditionalFormatting>
  <conditionalFormatting sqref="R124">
    <cfRule type="cellIs" dxfId="9723" priority="2308" operator="greaterThan">
      <formula>1</formula>
    </cfRule>
    <cfRule type="cellIs" dxfId="9722" priority="2309" operator="lessThan">
      <formula>0.8</formula>
    </cfRule>
  </conditionalFormatting>
  <conditionalFormatting sqref="R124">
    <cfRule type="cellIs" dxfId="9721" priority="2304" operator="lessThan">
      <formula>0.8</formula>
    </cfRule>
    <cfRule type="cellIs" dxfId="9720" priority="2305" operator="greaterThan">
      <formula>1</formula>
    </cfRule>
  </conditionalFormatting>
  <conditionalFormatting sqref="R124">
    <cfRule type="cellIs" dxfId="9719" priority="2302" operator="greaterThan">
      <formula>1</formula>
    </cfRule>
    <cfRule type="cellIs" dxfId="9718" priority="2303" operator="lessThan">
      <formula>0.8</formula>
    </cfRule>
  </conditionalFormatting>
  <conditionalFormatting sqref="P124">
    <cfRule type="cellIs" dxfId="9717" priority="2301" operator="greaterThan">
      <formula>0</formula>
    </cfRule>
  </conditionalFormatting>
  <conditionalFormatting sqref="Q124">
    <cfRule type="cellIs" dxfId="9716" priority="2306" operator="lessThan">
      <formula>0</formula>
    </cfRule>
  </conditionalFormatting>
  <conditionalFormatting sqref="P124">
    <cfRule type="cellIs" dxfId="9715" priority="2295" operator="greaterThan">
      <formula>0</formula>
    </cfRule>
  </conditionalFormatting>
  <conditionalFormatting sqref="Q124">
    <cfRule type="cellIs" dxfId="9714" priority="2300" operator="lessThan">
      <formula>0</formula>
    </cfRule>
  </conditionalFormatting>
  <conditionalFormatting sqref="R124">
    <cfRule type="cellIs" dxfId="9713" priority="2298" operator="lessThan">
      <formula>0.8</formula>
    </cfRule>
    <cfRule type="cellIs" dxfId="9712" priority="2299" operator="greaterThan">
      <formula>1</formula>
    </cfRule>
  </conditionalFormatting>
  <conditionalFormatting sqref="R124">
    <cfRule type="cellIs" dxfId="9711" priority="2296" operator="greaterThan">
      <formula>1</formula>
    </cfRule>
    <cfRule type="cellIs" dxfId="9710" priority="2297" operator="lessThan">
      <formula>0.8</formula>
    </cfRule>
  </conditionalFormatting>
  <conditionalFormatting sqref="R124">
    <cfRule type="cellIs" dxfId="9709" priority="2292" operator="lessThan">
      <formula>0.8</formula>
    </cfRule>
    <cfRule type="cellIs" dxfId="9708" priority="2293" operator="greaterThan">
      <formula>1</formula>
    </cfRule>
  </conditionalFormatting>
  <conditionalFormatting sqref="R124">
    <cfRule type="cellIs" dxfId="9707" priority="2290" operator="greaterThan">
      <formula>1</formula>
    </cfRule>
    <cfRule type="cellIs" dxfId="9706" priority="2291" operator="lessThan">
      <formula>0.8</formula>
    </cfRule>
  </conditionalFormatting>
  <conditionalFormatting sqref="P124">
    <cfRule type="cellIs" dxfId="9705" priority="2289" operator="greaterThan">
      <formula>0</formula>
    </cfRule>
  </conditionalFormatting>
  <conditionalFormatting sqref="Q124">
    <cfRule type="cellIs" dxfId="9704" priority="2294" operator="lessThan">
      <formula>0</formula>
    </cfRule>
  </conditionalFormatting>
  <conditionalFormatting sqref="R124">
    <cfRule type="cellIs" dxfId="9703" priority="2286" operator="lessThan">
      <formula>0.8</formula>
    </cfRule>
    <cfRule type="cellIs" dxfId="9702" priority="2287" operator="greaterThan">
      <formula>1</formula>
    </cfRule>
  </conditionalFormatting>
  <conditionalFormatting sqref="R124">
    <cfRule type="cellIs" dxfId="9701" priority="2284" operator="greaterThan">
      <formula>1</formula>
    </cfRule>
    <cfRule type="cellIs" dxfId="9700" priority="2285" operator="lessThan">
      <formula>0.8</formula>
    </cfRule>
  </conditionalFormatting>
  <conditionalFormatting sqref="P124">
    <cfRule type="cellIs" dxfId="9699" priority="2283" operator="greaterThan">
      <formula>0</formula>
    </cfRule>
  </conditionalFormatting>
  <conditionalFormatting sqref="Q124">
    <cfRule type="cellIs" dxfId="9698" priority="2288" operator="lessThan">
      <formula>0</formula>
    </cfRule>
  </conditionalFormatting>
  <conditionalFormatting sqref="Q124">
    <cfRule type="cellIs" dxfId="9697" priority="2282" operator="lessThan">
      <formula>0</formula>
    </cfRule>
  </conditionalFormatting>
  <conditionalFormatting sqref="R124">
    <cfRule type="cellIs" dxfId="9696" priority="2280" operator="lessThan">
      <formula>0.8</formula>
    </cfRule>
    <cfRule type="cellIs" dxfId="9695" priority="2281" operator="greaterThan">
      <formula>1</formula>
    </cfRule>
  </conditionalFormatting>
  <conditionalFormatting sqref="R124">
    <cfRule type="cellIs" dxfId="9694" priority="2278" operator="greaterThan">
      <formula>1</formula>
    </cfRule>
    <cfRule type="cellIs" dxfId="9693" priority="2279" operator="lessThan">
      <formula>0.8</formula>
    </cfRule>
  </conditionalFormatting>
  <conditionalFormatting sqref="P124">
    <cfRule type="cellIs" dxfId="9692" priority="2277" operator="greaterThan">
      <formula>0</formula>
    </cfRule>
  </conditionalFormatting>
  <conditionalFormatting sqref="Q124">
    <cfRule type="cellIs" dxfId="9691" priority="2271" operator="lessThan">
      <formula>0</formula>
    </cfRule>
  </conditionalFormatting>
  <conditionalFormatting sqref="R124">
    <cfRule type="cellIs" dxfId="9690" priority="2275" operator="lessThan">
      <formula>0.8</formula>
    </cfRule>
    <cfRule type="cellIs" dxfId="9689" priority="2276" operator="greaterThan">
      <formula>1</formula>
    </cfRule>
  </conditionalFormatting>
  <conditionalFormatting sqref="R124">
    <cfRule type="cellIs" dxfId="9688" priority="2273" operator="greaterThan">
      <formula>1</formula>
    </cfRule>
    <cfRule type="cellIs" dxfId="9687" priority="2274" operator="lessThan">
      <formula>0.8</formula>
    </cfRule>
  </conditionalFormatting>
  <conditionalFormatting sqref="P124">
    <cfRule type="cellIs" dxfId="9686" priority="2272" operator="greaterThan">
      <formula>0</formula>
    </cfRule>
  </conditionalFormatting>
  <conditionalFormatting sqref="Q124">
    <cfRule type="cellIs" dxfId="9685" priority="2270" operator="lessThan">
      <formula>0</formula>
    </cfRule>
  </conditionalFormatting>
  <conditionalFormatting sqref="R124">
    <cfRule type="cellIs" dxfId="9684" priority="2268" operator="lessThan">
      <formula>0.8</formula>
    </cfRule>
    <cfRule type="cellIs" dxfId="9683" priority="2269" operator="greaterThan">
      <formula>1</formula>
    </cfRule>
  </conditionalFormatting>
  <conditionalFormatting sqref="R124">
    <cfRule type="cellIs" dxfId="9682" priority="2266" operator="greaterThan">
      <formula>1</formula>
    </cfRule>
    <cfRule type="cellIs" dxfId="9681" priority="2267" operator="lessThan">
      <formula>0.8</formula>
    </cfRule>
  </conditionalFormatting>
  <conditionalFormatting sqref="P124">
    <cfRule type="cellIs" dxfId="9680" priority="2265" operator="greaterThan">
      <formula>0</formula>
    </cfRule>
  </conditionalFormatting>
  <conditionalFormatting sqref="Q124">
    <cfRule type="cellIs" dxfId="9679" priority="2264" operator="lessThan">
      <formula>0</formula>
    </cfRule>
  </conditionalFormatting>
  <conditionalFormatting sqref="R124">
    <cfRule type="cellIs" dxfId="9678" priority="2262" operator="lessThan">
      <formula>0.8</formula>
    </cfRule>
    <cfRule type="cellIs" dxfId="9677" priority="2263" operator="greaterThan">
      <formula>1</formula>
    </cfRule>
  </conditionalFormatting>
  <conditionalFormatting sqref="R124">
    <cfRule type="cellIs" dxfId="9676" priority="2260" operator="greaterThan">
      <formula>1</formula>
    </cfRule>
    <cfRule type="cellIs" dxfId="9675" priority="2261" operator="lessThan">
      <formula>0.8</formula>
    </cfRule>
  </conditionalFormatting>
  <conditionalFormatting sqref="P124">
    <cfRule type="cellIs" dxfId="9674" priority="2259" operator="greaterThan">
      <formula>0</formula>
    </cfRule>
  </conditionalFormatting>
  <conditionalFormatting sqref="Q124">
    <cfRule type="cellIs" dxfId="9673" priority="2258" operator="lessThan">
      <formula>0</formula>
    </cfRule>
  </conditionalFormatting>
  <conditionalFormatting sqref="R124">
    <cfRule type="cellIs" dxfId="9672" priority="2256" operator="lessThan">
      <formula>0.8</formula>
    </cfRule>
    <cfRule type="cellIs" dxfId="9671" priority="2257" operator="greaterThan">
      <formula>1</formula>
    </cfRule>
  </conditionalFormatting>
  <conditionalFormatting sqref="R124">
    <cfRule type="cellIs" dxfId="9670" priority="2254" operator="greaterThan">
      <formula>1</formula>
    </cfRule>
    <cfRule type="cellIs" dxfId="9669" priority="2255" operator="lessThan">
      <formula>0.8</formula>
    </cfRule>
  </conditionalFormatting>
  <conditionalFormatting sqref="P124">
    <cfRule type="cellIs" dxfId="9668" priority="2253" operator="greaterThan">
      <formula>0</formula>
    </cfRule>
  </conditionalFormatting>
  <conditionalFormatting sqref="Q124">
    <cfRule type="cellIs" dxfId="9667" priority="2252" operator="lessThan">
      <formula>0</formula>
    </cfRule>
  </conditionalFormatting>
  <conditionalFormatting sqref="R124">
    <cfRule type="cellIs" dxfId="9666" priority="2250" operator="lessThan">
      <formula>0.8</formula>
    </cfRule>
    <cfRule type="cellIs" dxfId="9665" priority="2251" operator="greaterThan">
      <formula>1</formula>
    </cfRule>
  </conditionalFormatting>
  <conditionalFormatting sqref="R124">
    <cfRule type="cellIs" dxfId="9664" priority="2248" operator="greaterThan">
      <formula>1</formula>
    </cfRule>
    <cfRule type="cellIs" dxfId="9663" priority="2249" operator="lessThan">
      <formula>0.8</formula>
    </cfRule>
  </conditionalFormatting>
  <conditionalFormatting sqref="P124">
    <cfRule type="cellIs" dxfId="9662" priority="2247" operator="greaterThan">
      <formula>0</formula>
    </cfRule>
  </conditionalFormatting>
  <conditionalFormatting sqref="Q124">
    <cfRule type="cellIs" dxfId="9661" priority="2246" operator="lessThan">
      <formula>0</formula>
    </cfRule>
  </conditionalFormatting>
  <conditionalFormatting sqref="R124">
    <cfRule type="cellIs" dxfId="9660" priority="2244" operator="lessThan">
      <formula>0.8</formula>
    </cfRule>
    <cfRule type="cellIs" dxfId="9659" priority="2245" operator="greaterThan">
      <formula>1</formula>
    </cfRule>
  </conditionalFormatting>
  <conditionalFormatting sqref="R124">
    <cfRule type="cellIs" dxfId="9658" priority="2242" operator="greaterThan">
      <formula>1</formula>
    </cfRule>
    <cfRule type="cellIs" dxfId="9657" priority="2243" operator="lessThan">
      <formula>0.8</formula>
    </cfRule>
  </conditionalFormatting>
  <conditionalFormatting sqref="P124">
    <cfRule type="cellIs" dxfId="9656" priority="2241" operator="greaterThan">
      <formula>0</formula>
    </cfRule>
  </conditionalFormatting>
  <conditionalFormatting sqref="P124">
    <cfRule type="cellIs" dxfId="9655" priority="2235" operator="greaterThan">
      <formula>0</formula>
    </cfRule>
  </conditionalFormatting>
  <conditionalFormatting sqref="Q124">
    <cfRule type="cellIs" dxfId="9654" priority="2240" operator="lessThan">
      <formula>0</formula>
    </cfRule>
  </conditionalFormatting>
  <conditionalFormatting sqref="R124">
    <cfRule type="cellIs" dxfId="9653" priority="2238" operator="lessThan">
      <formula>0.8</formula>
    </cfRule>
    <cfRule type="cellIs" dxfId="9652" priority="2239" operator="greaterThan">
      <formula>1</formula>
    </cfRule>
  </conditionalFormatting>
  <conditionalFormatting sqref="R124">
    <cfRule type="cellIs" dxfId="9651" priority="2236" operator="greaterThan">
      <formula>1</formula>
    </cfRule>
    <cfRule type="cellIs" dxfId="9650" priority="2237" operator="lessThan">
      <formula>0.8</formula>
    </cfRule>
  </conditionalFormatting>
  <conditionalFormatting sqref="P124">
    <cfRule type="cellIs" dxfId="9649" priority="2229" operator="greaterThan">
      <formula>0</formula>
    </cfRule>
  </conditionalFormatting>
  <conditionalFormatting sqref="Q124">
    <cfRule type="cellIs" dxfId="9648" priority="2234" operator="lessThan">
      <formula>0</formula>
    </cfRule>
  </conditionalFormatting>
  <conditionalFormatting sqref="R124">
    <cfRule type="cellIs" dxfId="9647" priority="2232" operator="lessThan">
      <formula>0.8</formula>
    </cfRule>
    <cfRule type="cellIs" dxfId="9646" priority="2233" operator="greaterThan">
      <formula>1</formula>
    </cfRule>
  </conditionalFormatting>
  <conditionalFormatting sqref="R124">
    <cfRule type="cellIs" dxfId="9645" priority="2230" operator="greaterThan">
      <formula>1</formula>
    </cfRule>
    <cfRule type="cellIs" dxfId="9644" priority="2231" operator="lessThan">
      <formula>0.8</formula>
    </cfRule>
  </conditionalFormatting>
  <conditionalFormatting sqref="R124">
    <cfRule type="cellIs" dxfId="9643" priority="2226" operator="lessThan">
      <formula>0.8</formula>
    </cfRule>
    <cfRule type="cellIs" dxfId="9642" priority="2227" operator="greaterThan">
      <formula>1</formula>
    </cfRule>
  </conditionalFormatting>
  <conditionalFormatting sqref="R124">
    <cfRule type="cellIs" dxfId="9641" priority="2224" operator="greaterThan">
      <formula>1</formula>
    </cfRule>
    <cfRule type="cellIs" dxfId="9640" priority="2225" operator="lessThan">
      <formula>0.8</formula>
    </cfRule>
  </conditionalFormatting>
  <conditionalFormatting sqref="P124">
    <cfRule type="cellIs" dxfId="9639" priority="2223" operator="greaterThan">
      <formula>0</formula>
    </cfRule>
  </conditionalFormatting>
  <conditionalFormatting sqref="Q124">
    <cfRule type="cellIs" dxfId="9638" priority="2228" operator="lessThan">
      <formula>0</formula>
    </cfRule>
  </conditionalFormatting>
  <conditionalFormatting sqref="Q14 Q5:Q12">
    <cfRule type="cellIs" dxfId="9637" priority="2222" operator="lessThan">
      <formula>0</formula>
    </cfRule>
  </conditionalFormatting>
  <conditionalFormatting sqref="R14 R5:R12">
    <cfRule type="cellIs" dxfId="9636" priority="2220" operator="lessThan">
      <formula>0.8</formula>
    </cfRule>
    <cfRule type="cellIs" dxfId="9635" priority="2221" operator="greaterThan">
      <formula>1</formula>
    </cfRule>
  </conditionalFormatting>
  <conditionalFormatting sqref="R14 R5:R12">
    <cfRule type="cellIs" dxfId="9634" priority="2218" operator="greaterThan">
      <formula>1</formula>
    </cfRule>
    <cfRule type="cellIs" dxfId="9633" priority="2219" operator="lessThan">
      <formula>0.8</formula>
    </cfRule>
  </conditionalFormatting>
  <conditionalFormatting sqref="P14 P5:P12">
    <cfRule type="cellIs" dxfId="9632" priority="2217" operator="greaterThan">
      <formula>0</formula>
    </cfRule>
  </conditionalFormatting>
  <conditionalFormatting sqref="Q83">
    <cfRule type="cellIs" dxfId="9631" priority="2216" operator="lessThan">
      <formula>0</formula>
    </cfRule>
  </conditionalFormatting>
  <conditionalFormatting sqref="R83">
    <cfRule type="cellIs" dxfId="9630" priority="2214" operator="lessThan">
      <formula>0.8</formula>
    </cfRule>
    <cfRule type="cellIs" dxfId="9629" priority="2215" operator="greaterThan">
      <formula>1</formula>
    </cfRule>
  </conditionalFormatting>
  <conditionalFormatting sqref="R83">
    <cfRule type="cellIs" dxfId="9628" priority="2212" operator="greaterThan">
      <formula>1</formula>
    </cfRule>
    <cfRule type="cellIs" dxfId="9627" priority="2213" operator="lessThan">
      <formula>0.8</formula>
    </cfRule>
  </conditionalFormatting>
  <conditionalFormatting sqref="P83">
    <cfRule type="cellIs" dxfId="9626" priority="2211" operator="greaterThan">
      <formula>0</formula>
    </cfRule>
  </conditionalFormatting>
  <conditionalFormatting sqref="Q83">
    <cfRule type="cellIs" dxfId="9625" priority="2210" operator="lessThan">
      <formula>0</formula>
    </cfRule>
  </conditionalFormatting>
  <conditionalFormatting sqref="R83">
    <cfRule type="cellIs" dxfId="9624" priority="2208" operator="lessThan">
      <formula>0.8</formula>
    </cfRule>
    <cfRule type="cellIs" dxfId="9623" priority="2209" operator="greaterThan">
      <formula>1</formula>
    </cfRule>
  </conditionalFormatting>
  <conditionalFormatting sqref="R83">
    <cfRule type="cellIs" dxfId="9622" priority="2206" operator="greaterThan">
      <formula>1</formula>
    </cfRule>
    <cfRule type="cellIs" dxfId="9621" priority="2207" operator="lessThan">
      <formula>0.8</formula>
    </cfRule>
  </conditionalFormatting>
  <conditionalFormatting sqref="P83">
    <cfRule type="cellIs" dxfId="9620" priority="2205" operator="greaterThan">
      <formula>0</formula>
    </cfRule>
  </conditionalFormatting>
  <conditionalFormatting sqref="Q83">
    <cfRule type="cellIs" dxfId="9619" priority="2204" operator="lessThan">
      <formula>0</formula>
    </cfRule>
  </conditionalFormatting>
  <conditionalFormatting sqref="R83">
    <cfRule type="cellIs" dxfId="9618" priority="2202" operator="lessThan">
      <formula>0.8</formula>
    </cfRule>
    <cfRule type="cellIs" dxfId="9617" priority="2203" operator="greaterThan">
      <formula>1</formula>
    </cfRule>
  </conditionalFormatting>
  <conditionalFormatting sqref="R83">
    <cfRule type="cellIs" dxfId="9616" priority="2200" operator="greaterThan">
      <formula>1</formula>
    </cfRule>
    <cfRule type="cellIs" dxfId="9615" priority="2201" operator="lessThan">
      <formula>0.8</formula>
    </cfRule>
  </conditionalFormatting>
  <conditionalFormatting sqref="P83">
    <cfRule type="cellIs" dxfId="9614" priority="2199" operator="greaterThan">
      <formula>0</formula>
    </cfRule>
  </conditionalFormatting>
  <conditionalFormatting sqref="Q83">
    <cfRule type="cellIs" dxfId="9613" priority="2198" operator="lessThan">
      <formula>0</formula>
    </cfRule>
  </conditionalFormatting>
  <conditionalFormatting sqref="R83">
    <cfRule type="cellIs" dxfId="9612" priority="2196" operator="lessThan">
      <formula>0.8</formula>
    </cfRule>
    <cfRule type="cellIs" dxfId="9611" priority="2197" operator="greaterThan">
      <formula>1</formula>
    </cfRule>
  </conditionalFormatting>
  <conditionalFormatting sqref="R83">
    <cfRule type="cellIs" dxfId="9610" priority="2194" operator="greaterThan">
      <formula>1</formula>
    </cfRule>
    <cfRule type="cellIs" dxfId="9609" priority="2195" operator="lessThan">
      <formula>0.8</formula>
    </cfRule>
  </conditionalFormatting>
  <conditionalFormatting sqref="P83">
    <cfRule type="cellIs" dxfId="9608" priority="2193" operator="greaterThan">
      <formula>0</formula>
    </cfRule>
  </conditionalFormatting>
  <conditionalFormatting sqref="P83">
    <cfRule type="cellIs" dxfId="9607" priority="2187" operator="greaterThan">
      <formula>0</formula>
    </cfRule>
  </conditionalFormatting>
  <conditionalFormatting sqref="Q83">
    <cfRule type="cellIs" dxfId="9606" priority="2192" operator="lessThan">
      <formula>0</formula>
    </cfRule>
  </conditionalFormatting>
  <conditionalFormatting sqref="R83">
    <cfRule type="cellIs" dxfId="9605" priority="2190" operator="lessThan">
      <formula>0.8</formula>
    </cfRule>
    <cfRule type="cellIs" dxfId="9604" priority="2191" operator="greaterThan">
      <formula>1</formula>
    </cfRule>
  </conditionalFormatting>
  <conditionalFormatting sqref="R83">
    <cfRule type="cellIs" dxfId="9603" priority="2188" operator="greaterThan">
      <formula>1</formula>
    </cfRule>
    <cfRule type="cellIs" dxfId="9602" priority="2189" operator="lessThan">
      <formula>0.8</formula>
    </cfRule>
  </conditionalFormatting>
  <conditionalFormatting sqref="P83">
    <cfRule type="cellIs" dxfId="9601" priority="2181" operator="greaterThan">
      <formula>0</formula>
    </cfRule>
  </conditionalFormatting>
  <conditionalFormatting sqref="Q83">
    <cfRule type="cellIs" dxfId="9600" priority="2186" operator="lessThan">
      <formula>0</formula>
    </cfRule>
  </conditionalFormatting>
  <conditionalFormatting sqref="R83">
    <cfRule type="cellIs" dxfId="9599" priority="2184" operator="lessThan">
      <formula>0.8</formula>
    </cfRule>
    <cfRule type="cellIs" dxfId="9598" priority="2185" operator="greaterThan">
      <formula>1</formula>
    </cfRule>
  </conditionalFormatting>
  <conditionalFormatting sqref="R83">
    <cfRule type="cellIs" dxfId="9597" priority="2182" operator="greaterThan">
      <formula>1</formula>
    </cfRule>
    <cfRule type="cellIs" dxfId="9596" priority="2183" operator="lessThan">
      <formula>0.8</formula>
    </cfRule>
  </conditionalFormatting>
  <conditionalFormatting sqref="R83">
    <cfRule type="cellIs" dxfId="9595" priority="2178" operator="lessThan">
      <formula>0.8</formula>
    </cfRule>
    <cfRule type="cellIs" dxfId="9594" priority="2179" operator="greaterThan">
      <formula>1</formula>
    </cfRule>
  </conditionalFormatting>
  <conditionalFormatting sqref="R83">
    <cfRule type="cellIs" dxfId="9593" priority="2176" operator="greaterThan">
      <formula>1</formula>
    </cfRule>
    <cfRule type="cellIs" dxfId="9592" priority="2177" operator="lessThan">
      <formula>0.8</formula>
    </cfRule>
  </conditionalFormatting>
  <conditionalFormatting sqref="P83">
    <cfRule type="cellIs" dxfId="9591" priority="2175" operator="greaterThan">
      <formula>0</formula>
    </cfRule>
  </conditionalFormatting>
  <conditionalFormatting sqref="Q83">
    <cfRule type="cellIs" dxfId="9590" priority="2180" operator="lessThan">
      <formula>0</formula>
    </cfRule>
  </conditionalFormatting>
  <conditionalFormatting sqref="Q83">
    <cfRule type="cellIs" dxfId="9589" priority="2174" operator="lessThan">
      <formula>0</formula>
    </cfRule>
  </conditionalFormatting>
  <conditionalFormatting sqref="R83">
    <cfRule type="cellIs" dxfId="9588" priority="2172" operator="lessThan">
      <formula>0.8</formula>
    </cfRule>
    <cfRule type="cellIs" dxfId="9587" priority="2173" operator="greaterThan">
      <formula>1</formula>
    </cfRule>
  </conditionalFormatting>
  <conditionalFormatting sqref="R83">
    <cfRule type="cellIs" dxfId="9586" priority="2170" operator="greaterThan">
      <formula>1</formula>
    </cfRule>
    <cfRule type="cellIs" dxfId="9585" priority="2171" operator="lessThan">
      <formula>0.8</formula>
    </cfRule>
  </conditionalFormatting>
  <conditionalFormatting sqref="P83">
    <cfRule type="cellIs" dxfId="9584" priority="2169" operator="greaterThan">
      <formula>0</formula>
    </cfRule>
  </conditionalFormatting>
  <conditionalFormatting sqref="P83">
    <cfRule type="cellIs" dxfId="9583" priority="2163" operator="greaterThan">
      <formula>0</formula>
    </cfRule>
  </conditionalFormatting>
  <conditionalFormatting sqref="Q83">
    <cfRule type="cellIs" dxfId="9582" priority="2168" operator="lessThan">
      <formula>0</formula>
    </cfRule>
  </conditionalFormatting>
  <conditionalFormatting sqref="R83">
    <cfRule type="cellIs" dxfId="9581" priority="2166" operator="lessThan">
      <formula>0.8</formula>
    </cfRule>
    <cfRule type="cellIs" dxfId="9580" priority="2167" operator="greaterThan">
      <formula>1</formula>
    </cfRule>
  </conditionalFormatting>
  <conditionalFormatting sqref="R83">
    <cfRule type="cellIs" dxfId="9579" priority="2164" operator="greaterThan">
      <formula>1</formula>
    </cfRule>
    <cfRule type="cellIs" dxfId="9578" priority="2165" operator="lessThan">
      <formula>0.8</formula>
    </cfRule>
  </conditionalFormatting>
  <conditionalFormatting sqref="P83">
    <cfRule type="cellIs" dxfId="9577" priority="2157" operator="greaterThan">
      <formula>0</formula>
    </cfRule>
  </conditionalFormatting>
  <conditionalFormatting sqref="Q83">
    <cfRule type="cellIs" dxfId="9576" priority="2162" operator="lessThan">
      <formula>0</formula>
    </cfRule>
  </conditionalFormatting>
  <conditionalFormatting sqref="R83">
    <cfRule type="cellIs" dxfId="9575" priority="2160" operator="lessThan">
      <formula>0.8</formula>
    </cfRule>
    <cfRule type="cellIs" dxfId="9574" priority="2161" operator="greaterThan">
      <formula>1</formula>
    </cfRule>
  </conditionalFormatting>
  <conditionalFormatting sqref="R83">
    <cfRule type="cellIs" dxfId="9573" priority="2158" operator="greaterThan">
      <formula>1</formula>
    </cfRule>
    <cfRule type="cellIs" dxfId="9572" priority="2159" operator="lessThan">
      <formula>0.8</formula>
    </cfRule>
  </conditionalFormatting>
  <conditionalFormatting sqref="R83">
    <cfRule type="cellIs" dxfId="9571" priority="2154" operator="lessThan">
      <formula>0.8</formula>
    </cfRule>
    <cfRule type="cellIs" dxfId="9570" priority="2155" operator="greaterThan">
      <formula>1</formula>
    </cfRule>
  </conditionalFormatting>
  <conditionalFormatting sqref="R83">
    <cfRule type="cellIs" dxfId="9569" priority="2152" operator="greaterThan">
      <formula>1</formula>
    </cfRule>
    <cfRule type="cellIs" dxfId="9568" priority="2153" operator="lessThan">
      <formula>0.8</formula>
    </cfRule>
  </conditionalFormatting>
  <conditionalFormatting sqref="P83">
    <cfRule type="cellIs" dxfId="9567" priority="2151" operator="greaterThan">
      <formula>0</formula>
    </cfRule>
  </conditionalFormatting>
  <conditionalFormatting sqref="Q83">
    <cfRule type="cellIs" dxfId="9566" priority="2156" operator="lessThan">
      <formula>0</formula>
    </cfRule>
  </conditionalFormatting>
  <conditionalFormatting sqref="P83">
    <cfRule type="cellIs" dxfId="9565" priority="2145" operator="greaterThan">
      <formula>0</formula>
    </cfRule>
  </conditionalFormatting>
  <conditionalFormatting sqref="Q83">
    <cfRule type="cellIs" dxfId="9564" priority="2150" operator="lessThan">
      <formula>0</formula>
    </cfRule>
  </conditionalFormatting>
  <conditionalFormatting sqref="R83">
    <cfRule type="cellIs" dxfId="9563" priority="2148" operator="lessThan">
      <formula>0.8</formula>
    </cfRule>
    <cfRule type="cellIs" dxfId="9562" priority="2149" operator="greaterThan">
      <formula>1</formula>
    </cfRule>
  </conditionalFormatting>
  <conditionalFormatting sqref="R83">
    <cfRule type="cellIs" dxfId="9561" priority="2146" operator="greaterThan">
      <formula>1</formula>
    </cfRule>
    <cfRule type="cellIs" dxfId="9560" priority="2147" operator="lessThan">
      <formula>0.8</formula>
    </cfRule>
  </conditionalFormatting>
  <conditionalFormatting sqref="R83">
    <cfRule type="cellIs" dxfId="9559" priority="2142" operator="lessThan">
      <formula>0.8</formula>
    </cfRule>
    <cfRule type="cellIs" dxfId="9558" priority="2143" operator="greaterThan">
      <formula>1</formula>
    </cfRule>
  </conditionalFormatting>
  <conditionalFormatting sqref="R83">
    <cfRule type="cellIs" dxfId="9557" priority="2140" operator="greaterThan">
      <formula>1</formula>
    </cfRule>
    <cfRule type="cellIs" dxfId="9556" priority="2141" operator="lessThan">
      <formula>0.8</formula>
    </cfRule>
  </conditionalFormatting>
  <conditionalFormatting sqref="P83">
    <cfRule type="cellIs" dxfId="9555" priority="2139" operator="greaterThan">
      <formula>0</formula>
    </cfRule>
  </conditionalFormatting>
  <conditionalFormatting sqref="Q83">
    <cfRule type="cellIs" dxfId="9554" priority="2144" operator="lessThan">
      <formula>0</formula>
    </cfRule>
  </conditionalFormatting>
  <conditionalFormatting sqref="R83">
    <cfRule type="cellIs" dxfId="9553" priority="2136" operator="lessThan">
      <formula>0.8</formula>
    </cfRule>
    <cfRule type="cellIs" dxfId="9552" priority="2137" operator="greaterThan">
      <formula>1</formula>
    </cfRule>
  </conditionalFormatting>
  <conditionalFormatting sqref="R83">
    <cfRule type="cellIs" dxfId="9551" priority="2134" operator="greaterThan">
      <formula>1</formula>
    </cfRule>
    <cfRule type="cellIs" dxfId="9550" priority="2135" operator="lessThan">
      <formula>0.8</formula>
    </cfRule>
  </conditionalFormatting>
  <conditionalFormatting sqref="P83">
    <cfRule type="cellIs" dxfId="9549" priority="2133" operator="greaterThan">
      <formula>0</formula>
    </cfRule>
  </conditionalFormatting>
  <conditionalFormatting sqref="Q83">
    <cfRule type="cellIs" dxfId="9548" priority="2138" operator="lessThan">
      <formula>0</formula>
    </cfRule>
  </conditionalFormatting>
  <conditionalFormatting sqref="Q83">
    <cfRule type="cellIs" dxfId="9547" priority="2132" operator="lessThan">
      <formula>0</formula>
    </cfRule>
  </conditionalFormatting>
  <conditionalFormatting sqref="R83">
    <cfRule type="cellIs" dxfId="9546" priority="2130" operator="lessThan">
      <formula>0.8</formula>
    </cfRule>
    <cfRule type="cellIs" dxfId="9545" priority="2131" operator="greaterThan">
      <formula>1</formula>
    </cfRule>
  </conditionalFormatting>
  <conditionalFormatting sqref="R83">
    <cfRule type="cellIs" dxfId="9544" priority="2128" operator="greaterThan">
      <formula>1</formula>
    </cfRule>
    <cfRule type="cellIs" dxfId="9543" priority="2129" operator="lessThan">
      <formula>0.8</formula>
    </cfRule>
  </conditionalFormatting>
  <conditionalFormatting sqref="P83">
    <cfRule type="cellIs" dxfId="9542" priority="2127" operator="greaterThan">
      <formula>0</formula>
    </cfRule>
  </conditionalFormatting>
  <conditionalFormatting sqref="Q83">
    <cfRule type="cellIs" dxfId="9541" priority="2121" operator="lessThan">
      <formula>0</formula>
    </cfRule>
  </conditionalFormatting>
  <conditionalFormatting sqref="R83">
    <cfRule type="cellIs" dxfId="9540" priority="2125" operator="lessThan">
      <formula>0.8</formula>
    </cfRule>
    <cfRule type="cellIs" dxfId="9539" priority="2126" operator="greaterThan">
      <formula>1</formula>
    </cfRule>
  </conditionalFormatting>
  <conditionalFormatting sqref="R83">
    <cfRule type="cellIs" dxfId="9538" priority="2123" operator="greaterThan">
      <formula>1</formula>
    </cfRule>
    <cfRule type="cellIs" dxfId="9537" priority="2124" operator="lessThan">
      <formula>0.8</formula>
    </cfRule>
  </conditionalFormatting>
  <conditionalFormatting sqref="P83">
    <cfRule type="cellIs" dxfId="9536" priority="2122" operator="greaterThan">
      <formula>0</formula>
    </cfRule>
  </conditionalFormatting>
  <conditionalFormatting sqref="Q83">
    <cfRule type="cellIs" dxfId="9535" priority="2120" operator="lessThan">
      <formula>0</formula>
    </cfRule>
  </conditionalFormatting>
  <conditionalFormatting sqref="R83">
    <cfRule type="cellIs" dxfId="9534" priority="2118" operator="lessThan">
      <formula>0.8</formula>
    </cfRule>
    <cfRule type="cellIs" dxfId="9533" priority="2119" operator="greaterThan">
      <formula>1</formula>
    </cfRule>
  </conditionalFormatting>
  <conditionalFormatting sqref="R83">
    <cfRule type="cellIs" dxfId="9532" priority="2116" operator="greaterThan">
      <formula>1</formula>
    </cfRule>
    <cfRule type="cellIs" dxfId="9531" priority="2117" operator="lessThan">
      <formula>0.8</formula>
    </cfRule>
  </conditionalFormatting>
  <conditionalFormatting sqref="P83">
    <cfRule type="cellIs" dxfId="9530" priority="2115" operator="greaterThan">
      <formula>0</formula>
    </cfRule>
  </conditionalFormatting>
  <conditionalFormatting sqref="Q83">
    <cfRule type="cellIs" dxfId="9529" priority="2114" operator="lessThan">
      <formula>0</formula>
    </cfRule>
  </conditionalFormatting>
  <conditionalFormatting sqref="R83">
    <cfRule type="cellIs" dxfId="9528" priority="2112" operator="lessThan">
      <formula>0.8</formula>
    </cfRule>
    <cfRule type="cellIs" dxfId="9527" priority="2113" operator="greaterThan">
      <formula>1</formula>
    </cfRule>
  </conditionalFormatting>
  <conditionalFormatting sqref="R83">
    <cfRule type="cellIs" dxfId="9526" priority="2110" operator="greaterThan">
      <formula>1</formula>
    </cfRule>
    <cfRule type="cellIs" dxfId="9525" priority="2111" operator="lessThan">
      <formula>0.8</formula>
    </cfRule>
  </conditionalFormatting>
  <conditionalFormatting sqref="P83">
    <cfRule type="cellIs" dxfId="9524" priority="2109" operator="greaterThan">
      <formula>0</formula>
    </cfRule>
  </conditionalFormatting>
  <conditionalFormatting sqref="Q83">
    <cfRule type="cellIs" dxfId="9523" priority="2108" operator="lessThan">
      <formula>0</formula>
    </cfRule>
  </conditionalFormatting>
  <conditionalFormatting sqref="R83">
    <cfRule type="cellIs" dxfId="9522" priority="2106" operator="lessThan">
      <formula>0.8</formula>
    </cfRule>
    <cfRule type="cellIs" dxfId="9521" priority="2107" operator="greaterThan">
      <formula>1</formula>
    </cfRule>
  </conditionalFormatting>
  <conditionalFormatting sqref="R83">
    <cfRule type="cellIs" dxfId="9520" priority="2104" operator="greaterThan">
      <formula>1</formula>
    </cfRule>
    <cfRule type="cellIs" dxfId="9519" priority="2105" operator="lessThan">
      <formula>0.8</formula>
    </cfRule>
  </conditionalFormatting>
  <conditionalFormatting sqref="P83">
    <cfRule type="cellIs" dxfId="9518" priority="2103" operator="greaterThan">
      <formula>0</formula>
    </cfRule>
  </conditionalFormatting>
  <conditionalFormatting sqref="Q83">
    <cfRule type="cellIs" dxfId="9517" priority="2102" operator="lessThan">
      <formula>0</formula>
    </cfRule>
  </conditionalFormatting>
  <conditionalFormatting sqref="R83">
    <cfRule type="cellIs" dxfId="9516" priority="2100" operator="lessThan">
      <formula>0.8</formula>
    </cfRule>
    <cfRule type="cellIs" dxfId="9515" priority="2101" operator="greaterThan">
      <formula>1</formula>
    </cfRule>
  </conditionalFormatting>
  <conditionalFormatting sqref="R83">
    <cfRule type="cellIs" dxfId="9514" priority="2098" operator="greaterThan">
      <formula>1</formula>
    </cfRule>
    <cfRule type="cellIs" dxfId="9513" priority="2099" operator="lessThan">
      <formula>0.8</formula>
    </cfRule>
  </conditionalFormatting>
  <conditionalFormatting sqref="P83">
    <cfRule type="cellIs" dxfId="9512" priority="2097" operator="greaterThan">
      <formula>0</formula>
    </cfRule>
  </conditionalFormatting>
  <conditionalFormatting sqref="Q83">
    <cfRule type="cellIs" dxfId="9511" priority="2096" operator="lessThan">
      <formula>0</formula>
    </cfRule>
  </conditionalFormatting>
  <conditionalFormatting sqref="R83">
    <cfRule type="cellIs" dxfId="9510" priority="2094" operator="lessThan">
      <formula>0.8</formula>
    </cfRule>
    <cfRule type="cellIs" dxfId="9509" priority="2095" operator="greaterThan">
      <formula>1</formula>
    </cfRule>
  </conditionalFormatting>
  <conditionalFormatting sqref="R83">
    <cfRule type="cellIs" dxfId="9508" priority="2092" operator="greaterThan">
      <formula>1</formula>
    </cfRule>
    <cfRule type="cellIs" dxfId="9507" priority="2093" operator="lessThan">
      <formula>0.8</formula>
    </cfRule>
  </conditionalFormatting>
  <conditionalFormatting sqref="P83">
    <cfRule type="cellIs" dxfId="9506" priority="2091" operator="greaterThan">
      <formula>0</formula>
    </cfRule>
  </conditionalFormatting>
  <conditionalFormatting sqref="P83">
    <cfRule type="cellIs" dxfId="9505" priority="2085" operator="greaterThan">
      <formula>0</formula>
    </cfRule>
  </conditionalFormatting>
  <conditionalFormatting sqref="Q83">
    <cfRule type="cellIs" dxfId="9504" priority="2090" operator="lessThan">
      <formula>0</formula>
    </cfRule>
  </conditionalFormatting>
  <conditionalFormatting sqref="R83">
    <cfRule type="cellIs" dxfId="9503" priority="2088" operator="lessThan">
      <formula>0.8</formula>
    </cfRule>
    <cfRule type="cellIs" dxfId="9502" priority="2089" operator="greaterThan">
      <formula>1</formula>
    </cfRule>
  </conditionalFormatting>
  <conditionalFormatting sqref="R83">
    <cfRule type="cellIs" dxfId="9501" priority="2086" operator="greaterThan">
      <formula>1</formula>
    </cfRule>
    <cfRule type="cellIs" dxfId="9500" priority="2087" operator="lessThan">
      <formula>0.8</formula>
    </cfRule>
  </conditionalFormatting>
  <conditionalFormatting sqref="P83">
    <cfRule type="cellIs" dxfId="9499" priority="2079" operator="greaterThan">
      <formula>0</formula>
    </cfRule>
  </conditionalFormatting>
  <conditionalFormatting sqref="Q83">
    <cfRule type="cellIs" dxfId="9498" priority="2084" operator="lessThan">
      <formula>0</formula>
    </cfRule>
  </conditionalFormatting>
  <conditionalFormatting sqref="R83">
    <cfRule type="cellIs" dxfId="9497" priority="2082" operator="lessThan">
      <formula>0.8</formula>
    </cfRule>
    <cfRule type="cellIs" dxfId="9496" priority="2083" operator="greaterThan">
      <formula>1</formula>
    </cfRule>
  </conditionalFormatting>
  <conditionalFormatting sqref="R83">
    <cfRule type="cellIs" dxfId="9495" priority="2080" operator="greaterThan">
      <formula>1</formula>
    </cfRule>
    <cfRule type="cellIs" dxfId="9494" priority="2081" operator="lessThan">
      <formula>0.8</formula>
    </cfRule>
  </conditionalFormatting>
  <conditionalFormatting sqref="R83">
    <cfRule type="cellIs" dxfId="9493" priority="2076" operator="lessThan">
      <formula>0.8</formula>
    </cfRule>
    <cfRule type="cellIs" dxfId="9492" priority="2077" operator="greaterThan">
      <formula>1</formula>
    </cfRule>
  </conditionalFormatting>
  <conditionalFormatting sqref="R83">
    <cfRule type="cellIs" dxfId="9491" priority="2074" operator="greaterThan">
      <formula>1</formula>
    </cfRule>
    <cfRule type="cellIs" dxfId="9490" priority="2075" operator="lessThan">
      <formula>0.8</formula>
    </cfRule>
  </conditionalFormatting>
  <conditionalFormatting sqref="P83">
    <cfRule type="cellIs" dxfId="9489" priority="2073" operator="greaterThan">
      <formula>0</formula>
    </cfRule>
  </conditionalFormatting>
  <conditionalFormatting sqref="Q83">
    <cfRule type="cellIs" dxfId="9488" priority="2078" operator="lessThan">
      <formula>0</formula>
    </cfRule>
  </conditionalFormatting>
  <conditionalFormatting sqref="Q83">
    <cfRule type="cellIs" dxfId="9487" priority="2067" operator="lessThan">
      <formula>0</formula>
    </cfRule>
  </conditionalFormatting>
  <conditionalFormatting sqref="P83">
    <cfRule type="cellIs" dxfId="9486" priority="2068" operator="greaterThan">
      <formula>0</formula>
    </cfRule>
  </conditionalFormatting>
  <conditionalFormatting sqref="R83">
    <cfRule type="cellIs" dxfId="9485" priority="2071" operator="lessThan">
      <formula>0.8</formula>
    </cfRule>
    <cfRule type="cellIs" dxfId="9484" priority="2072" operator="greaterThan">
      <formula>1</formula>
    </cfRule>
  </conditionalFormatting>
  <conditionalFormatting sqref="R83">
    <cfRule type="cellIs" dxfId="9483" priority="2069" operator="greaterThan">
      <formula>1</formula>
    </cfRule>
    <cfRule type="cellIs" dxfId="9482" priority="2070" operator="lessThan">
      <formula>0.8</formula>
    </cfRule>
  </conditionalFormatting>
  <conditionalFormatting sqref="Q83">
    <cfRule type="cellIs" dxfId="9481" priority="2061" operator="lessThan">
      <formula>0</formula>
    </cfRule>
  </conditionalFormatting>
  <conditionalFormatting sqref="R83">
    <cfRule type="cellIs" dxfId="9480" priority="2065" operator="lessThan">
      <formula>0.8</formula>
    </cfRule>
    <cfRule type="cellIs" dxfId="9479" priority="2066" operator="greaterThan">
      <formula>1</formula>
    </cfRule>
  </conditionalFormatting>
  <conditionalFormatting sqref="R83">
    <cfRule type="cellIs" dxfId="9478" priority="2063" operator="greaterThan">
      <formula>1</formula>
    </cfRule>
    <cfRule type="cellIs" dxfId="9477" priority="2064" operator="lessThan">
      <formula>0.8</formula>
    </cfRule>
  </conditionalFormatting>
  <conditionalFormatting sqref="P83">
    <cfRule type="cellIs" dxfId="9476" priority="2062" operator="greaterThan">
      <formula>0</formula>
    </cfRule>
  </conditionalFormatting>
  <conditionalFormatting sqref="Q83">
    <cfRule type="cellIs" dxfId="9475" priority="2060" operator="lessThan">
      <formula>0</formula>
    </cfRule>
  </conditionalFormatting>
  <conditionalFormatting sqref="R83">
    <cfRule type="cellIs" dxfId="9474" priority="2058" operator="lessThan">
      <formula>0.8</formula>
    </cfRule>
    <cfRule type="cellIs" dxfId="9473" priority="2059" operator="greaterThan">
      <formula>1</formula>
    </cfRule>
  </conditionalFormatting>
  <conditionalFormatting sqref="R83">
    <cfRule type="cellIs" dxfId="9472" priority="2056" operator="greaterThan">
      <formula>1</formula>
    </cfRule>
    <cfRule type="cellIs" dxfId="9471" priority="2057" operator="lessThan">
      <formula>0.8</formula>
    </cfRule>
  </conditionalFormatting>
  <conditionalFormatting sqref="P83">
    <cfRule type="cellIs" dxfId="9470" priority="2055" operator="greaterThan">
      <formula>0</formula>
    </cfRule>
  </conditionalFormatting>
  <conditionalFormatting sqref="Q83">
    <cfRule type="cellIs" dxfId="9469" priority="2054" operator="lessThan">
      <formula>0</formula>
    </cfRule>
  </conditionalFormatting>
  <conditionalFormatting sqref="R83">
    <cfRule type="cellIs" dxfId="9468" priority="2052" operator="lessThan">
      <formula>0.8</formula>
    </cfRule>
    <cfRule type="cellIs" dxfId="9467" priority="2053" operator="greaterThan">
      <formula>1</formula>
    </cfRule>
  </conditionalFormatting>
  <conditionalFormatting sqref="R83">
    <cfRule type="cellIs" dxfId="9466" priority="2050" operator="greaterThan">
      <formula>1</formula>
    </cfRule>
    <cfRule type="cellIs" dxfId="9465" priority="2051" operator="lessThan">
      <formula>0.8</formula>
    </cfRule>
  </conditionalFormatting>
  <conditionalFormatting sqref="P83">
    <cfRule type="cellIs" dxfId="9464" priority="2049" operator="greaterThan">
      <formula>0</formula>
    </cfRule>
  </conditionalFormatting>
  <conditionalFormatting sqref="Q83">
    <cfRule type="cellIs" dxfId="9463" priority="2048" operator="lessThan">
      <formula>0</formula>
    </cfRule>
  </conditionalFormatting>
  <conditionalFormatting sqref="R83">
    <cfRule type="cellIs" dxfId="9462" priority="2046" operator="lessThan">
      <formula>0.8</formula>
    </cfRule>
    <cfRule type="cellIs" dxfId="9461" priority="2047" operator="greaterThan">
      <formula>1</formula>
    </cfRule>
  </conditionalFormatting>
  <conditionalFormatting sqref="R83">
    <cfRule type="cellIs" dxfId="9460" priority="2044" operator="greaterThan">
      <formula>1</formula>
    </cfRule>
    <cfRule type="cellIs" dxfId="9459" priority="2045" operator="lessThan">
      <formula>0.8</formula>
    </cfRule>
  </conditionalFormatting>
  <conditionalFormatting sqref="P83">
    <cfRule type="cellIs" dxfId="9458" priority="2043" operator="greaterThan">
      <formula>0</formula>
    </cfRule>
  </conditionalFormatting>
  <conditionalFormatting sqref="Q32:Q39">
    <cfRule type="cellIs" dxfId="9457" priority="2037" operator="lessThan">
      <formula>0</formula>
    </cfRule>
  </conditionalFormatting>
  <conditionalFormatting sqref="P32:P39">
    <cfRule type="cellIs" dxfId="9456" priority="2038" operator="greaterThan">
      <formula>0</formula>
    </cfRule>
  </conditionalFormatting>
  <conditionalFormatting sqref="R32:R39">
    <cfRule type="cellIs" dxfId="9455" priority="2041" operator="lessThan">
      <formula>0.8</formula>
    </cfRule>
    <cfRule type="cellIs" dxfId="9454" priority="2042" operator="greaterThan">
      <formula>1</formula>
    </cfRule>
  </conditionalFormatting>
  <conditionalFormatting sqref="R32:R39">
    <cfRule type="cellIs" dxfId="9453" priority="2039" operator="greaterThan">
      <formula>1</formula>
    </cfRule>
    <cfRule type="cellIs" dxfId="9452" priority="2040" operator="lessThan">
      <formula>0.8</formula>
    </cfRule>
  </conditionalFormatting>
  <conditionalFormatting sqref="Q32:Q39">
    <cfRule type="cellIs" dxfId="9451" priority="2031" operator="lessThan">
      <formula>0</formula>
    </cfRule>
  </conditionalFormatting>
  <conditionalFormatting sqref="R32:R39">
    <cfRule type="cellIs" dxfId="9450" priority="2035" operator="lessThan">
      <formula>0.8</formula>
    </cfRule>
    <cfRule type="cellIs" dxfId="9449" priority="2036" operator="greaterThan">
      <formula>1</formula>
    </cfRule>
  </conditionalFormatting>
  <conditionalFormatting sqref="R32:R39">
    <cfRule type="cellIs" dxfId="9448" priority="2033" operator="greaterThan">
      <formula>1</formula>
    </cfRule>
    <cfRule type="cellIs" dxfId="9447" priority="2034" operator="lessThan">
      <formula>0.8</formula>
    </cfRule>
  </conditionalFormatting>
  <conditionalFormatting sqref="P32:P39">
    <cfRule type="cellIs" dxfId="9446" priority="2032" operator="greaterThan">
      <formula>0</formula>
    </cfRule>
  </conditionalFormatting>
  <conditionalFormatting sqref="Q32:Q39">
    <cfRule type="cellIs" dxfId="9445" priority="2030" operator="lessThan">
      <formula>0</formula>
    </cfRule>
  </conditionalFormatting>
  <conditionalFormatting sqref="R32:R39">
    <cfRule type="cellIs" dxfId="9444" priority="2028" operator="lessThan">
      <formula>0.8</formula>
    </cfRule>
    <cfRule type="cellIs" dxfId="9443" priority="2029" operator="greaterThan">
      <formula>1</formula>
    </cfRule>
  </conditionalFormatting>
  <conditionalFormatting sqref="R32:R39">
    <cfRule type="cellIs" dxfId="9442" priority="2026" operator="greaterThan">
      <formula>1</formula>
    </cfRule>
    <cfRule type="cellIs" dxfId="9441" priority="2027" operator="lessThan">
      <formula>0.8</formula>
    </cfRule>
  </conditionalFormatting>
  <conditionalFormatting sqref="P32:P39">
    <cfRule type="cellIs" dxfId="9440" priority="2025" operator="greaterThan">
      <formula>0</formula>
    </cfRule>
  </conditionalFormatting>
  <conditionalFormatting sqref="Q32:Q39">
    <cfRule type="cellIs" dxfId="9439" priority="2024" operator="lessThan">
      <formula>0</formula>
    </cfRule>
  </conditionalFormatting>
  <conditionalFormatting sqref="R32:R39">
    <cfRule type="cellIs" dxfId="9438" priority="2022" operator="lessThan">
      <formula>0.8</formula>
    </cfRule>
    <cfRule type="cellIs" dxfId="9437" priority="2023" operator="greaterThan">
      <formula>1</formula>
    </cfRule>
  </conditionalFormatting>
  <conditionalFormatting sqref="R32:R39">
    <cfRule type="cellIs" dxfId="9436" priority="2020" operator="greaterThan">
      <formula>1</formula>
    </cfRule>
    <cfRule type="cellIs" dxfId="9435" priority="2021" operator="lessThan">
      <formula>0.8</formula>
    </cfRule>
  </conditionalFormatting>
  <conditionalFormatting sqref="P32:P39">
    <cfRule type="cellIs" dxfId="9434" priority="2019" operator="greaterThan">
      <formula>0</formula>
    </cfRule>
  </conditionalFormatting>
  <conditionalFormatting sqref="Q32:Q39">
    <cfRule type="cellIs" dxfId="9433" priority="2013" operator="lessThan">
      <formula>0</formula>
    </cfRule>
  </conditionalFormatting>
  <conditionalFormatting sqref="R32:R39">
    <cfRule type="cellIs" dxfId="9432" priority="2017" operator="lessThan">
      <formula>0.8</formula>
    </cfRule>
    <cfRule type="cellIs" dxfId="9431" priority="2018" operator="greaterThan">
      <formula>1</formula>
    </cfRule>
  </conditionalFormatting>
  <conditionalFormatting sqref="R32:R39">
    <cfRule type="cellIs" dxfId="9430" priority="2015" operator="greaterThan">
      <formula>1</formula>
    </cfRule>
    <cfRule type="cellIs" dxfId="9429" priority="2016" operator="lessThan">
      <formula>0.8</formula>
    </cfRule>
  </conditionalFormatting>
  <conditionalFormatting sqref="P32:P39">
    <cfRule type="cellIs" dxfId="9428" priority="2014" operator="greaterThan">
      <formula>0</formula>
    </cfRule>
  </conditionalFormatting>
  <conditionalFormatting sqref="Q32:Q39">
    <cfRule type="cellIs" dxfId="9427" priority="2012" operator="lessThan">
      <formula>0</formula>
    </cfRule>
  </conditionalFormatting>
  <conditionalFormatting sqref="R32:R39">
    <cfRule type="cellIs" dxfId="9426" priority="2010" operator="lessThan">
      <formula>0.8</formula>
    </cfRule>
    <cfRule type="cellIs" dxfId="9425" priority="2011" operator="greaterThan">
      <formula>1</formula>
    </cfRule>
  </conditionalFormatting>
  <conditionalFormatting sqref="R32:R39">
    <cfRule type="cellIs" dxfId="9424" priority="2008" operator="greaterThan">
      <formula>1</formula>
    </cfRule>
    <cfRule type="cellIs" dxfId="9423" priority="2009" operator="lessThan">
      <formula>0.8</formula>
    </cfRule>
  </conditionalFormatting>
  <conditionalFormatting sqref="P32:P39">
    <cfRule type="cellIs" dxfId="9422" priority="2007" operator="greaterThan">
      <formula>0</formula>
    </cfRule>
  </conditionalFormatting>
  <conditionalFormatting sqref="Q32:Q39">
    <cfRule type="cellIs" dxfId="9421" priority="2006" operator="lessThan">
      <formula>0</formula>
    </cfRule>
  </conditionalFormatting>
  <conditionalFormatting sqref="R32:R39">
    <cfRule type="cellIs" dxfId="9420" priority="2004" operator="lessThan">
      <formula>0.8</formula>
    </cfRule>
    <cfRule type="cellIs" dxfId="9419" priority="2005" operator="greaterThan">
      <formula>1</formula>
    </cfRule>
  </conditionalFormatting>
  <conditionalFormatting sqref="R32:R39">
    <cfRule type="cellIs" dxfId="9418" priority="2002" operator="greaterThan">
      <formula>1</formula>
    </cfRule>
    <cfRule type="cellIs" dxfId="9417" priority="2003" operator="lessThan">
      <formula>0.8</formula>
    </cfRule>
  </conditionalFormatting>
  <conditionalFormatting sqref="P32:P39">
    <cfRule type="cellIs" dxfId="9416" priority="2001" operator="greaterThan">
      <formula>0</formula>
    </cfRule>
  </conditionalFormatting>
  <conditionalFormatting sqref="Q32:Q39">
    <cfRule type="cellIs" dxfId="9415" priority="2000" operator="lessThan">
      <formula>0</formula>
    </cfRule>
  </conditionalFormatting>
  <conditionalFormatting sqref="R32:R39">
    <cfRule type="cellIs" dxfId="9414" priority="1998" operator="lessThan">
      <formula>0.8</formula>
    </cfRule>
    <cfRule type="cellIs" dxfId="9413" priority="1999" operator="greaterThan">
      <formula>1</formula>
    </cfRule>
  </conditionalFormatting>
  <conditionalFormatting sqref="R32:R39">
    <cfRule type="cellIs" dxfId="9412" priority="1996" operator="greaterThan">
      <formula>1</formula>
    </cfRule>
    <cfRule type="cellIs" dxfId="9411" priority="1997" operator="lessThan">
      <formula>0.8</formula>
    </cfRule>
  </conditionalFormatting>
  <conditionalFormatting sqref="P32:P39">
    <cfRule type="cellIs" dxfId="9410" priority="1995" operator="greaterThan">
      <formula>0</formula>
    </cfRule>
  </conditionalFormatting>
  <conditionalFormatting sqref="Q32:Q39">
    <cfRule type="cellIs" dxfId="9409" priority="1994" operator="lessThan">
      <formula>0</formula>
    </cfRule>
  </conditionalFormatting>
  <conditionalFormatting sqref="R32:R39">
    <cfRule type="cellIs" dxfId="9408" priority="1992" operator="lessThan">
      <formula>0.8</formula>
    </cfRule>
    <cfRule type="cellIs" dxfId="9407" priority="1993" operator="greaterThan">
      <formula>1</formula>
    </cfRule>
  </conditionalFormatting>
  <conditionalFormatting sqref="R32:R39">
    <cfRule type="cellIs" dxfId="9406" priority="1990" operator="greaterThan">
      <formula>1</formula>
    </cfRule>
    <cfRule type="cellIs" dxfId="9405" priority="1991" operator="lessThan">
      <formula>0.8</formula>
    </cfRule>
  </conditionalFormatting>
  <conditionalFormatting sqref="P32:P39">
    <cfRule type="cellIs" dxfId="9404" priority="1989" operator="greaterThan">
      <formula>0</formula>
    </cfRule>
  </conditionalFormatting>
  <conditionalFormatting sqref="Q32:Q39">
    <cfRule type="cellIs" dxfId="9403" priority="1988" operator="lessThan">
      <formula>0</formula>
    </cfRule>
  </conditionalFormatting>
  <conditionalFormatting sqref="R32:R39">
    <cfRule type="cellIs" dxfId="9402" priority="1986" operator="lessThan">
      <formula>0.8</formula>
    </cfRule>
    <cfRule type="cellIs" dxfId="9401" priority="1987" operator="greaterThan">
      <formula>1</formula>
    </cfRule>
  </conditionalFormatting>
  <conditionalFormatting sqref="R32:R39">
    <cfRule type="cellIs" dxfId="9400" priority="1984" operator="greaterThan">
      <formula>1</formula>
    </cfRule>
    <cfRule type="cellIs" dxfId="9399" priority="1985" operator="lessThan">
      <formula>0.8</formula>
    </cfRule>
  </conditionalFormatting>
  <conditionalFormatting sqref="P32:P39">
    <cfRule type="cellIs" dxfId="9398" priority="1983" operator="greaterThan">
      <formula>0</formula>
    </cfRule>
  </conditionalFormatting>
  <conditionalFormatting sqref="P32:P39">
    <cfRule type="cellIs" dxfId="9397" priority="1977" operator="greaterThan">
      <formula>0</formula>
    </cfRule>
  </conditionalFormatting>
  <conditionalFormatting sqref="Q32:Q39">
    <cfRule type="cellIs" dxfId="9396" priority="1982" operator="lessThan">
      <formula>0</formula>
    </cfRule>
  </conditionalFormatting>
  <conditionalFormatting sqref="R32:R39">
    <cfRule type="cellIs" dxfId="9395" priority="1980" operator="lessThan">
      <formula>0.8</formula>
    </cfRule>
    <cfRule type="cellIs" dxfId="9394" priority="1981" operator="greaterThan">
      <formula>1</formula>
    </cfRule>
  </conditionalFormatting>
  <conditionalFormatting sqref="R32:R39">
    <cfRule type="cellIs" dxfId="9393" priority="1978" operator="greaterThan">
      <formula>1</formula>
    </cfRule>
    <cfRule type="cellIs" dxfId="9392" priority="1979" operator="lessThan">
      <formula>0.8</formula>
    </cfRule>
  </conditionalFormatting>
  <conditionalFormatting sqref="P32:P39">
    <cfRule type="cellIs" dxfId="9391" priority="1971" operator="greaterThan">
      <formula>0</formula>
    </cfRule>
  </conditionalFormatting>
  <conditionalFormatting sqref="Q32:Q39">
    <cfRule type="cellIs" dxfId="9390" priority="1976" operator="lessThan">
      <formula>0</formula>
    </cfRule>
  </conditionalFormatting>
  <conditionalFormatting sqref="R32:R39">
    <cfRule type="cellIs" dxfId="9389" priority="1974" operator="lessThan">
      <formula>0.8</formula>
    </cfRule>
    <cfRule type="cellIs" dxfId="9388" priority="1975" operator="greaterThan">
      <formula>1</formula>
    </cfRule>
  </conditionalFormatting>
  <conditionalFormatting sqref="R32:R39">
    <cfRule type="cellIs" dxfId="9387" priority="1972" operator="greaterThan">
      <formula>1</formula>
    </cfRule>
    <cfRule type="cellIs" dxfId="9386" priority="1973" operator="lessThan">
      <formula>0.8</formula>
    </cfRule>
  </conditionalFormatting>
  <conditionalFormatting sqref="R32:R39">
    <cfRule type="cellIs" dxfId="9385" priority="1968" operator="lessThan">
      <formula>0.8</formula>
    </cfRule>
    <cfRule type="cellIs" dxfId="9384" priority="1969" operator="greaterThan">
      <formula>1</formula>
    </cfRule>
  </conditionalFormatting>
  <conditionalFormatting sqref="R32:R39">
    <cfRule type="cellIs" dxfId="9383" priority="1966" operator="greaterThan">
      <formula>1</formula>
    </cfRule>
    <cfRule type="cellIs" dxfId="9382" priority="1967" operator="lessThan">
      <formula>0.8</formula>
    </cfRule>
  </conditionalFormatting>
  <conditionalFormatting sqref="P32:P39">
    <cfRule type="cellIs" dxfId="9381" priority="1965" operator="greaterThan">
      <formula>0</formula>
    </cfRule>
  </conditionalFormatting>
  <conditionalFormatting sqref="Q32:Q39">
    <cfRule type="cellIs" dxfId="9380" priority="1970" operator="lessThan">
      <formula>0</formula>
    </cfRule>
  </conditionalFormatting>
  <conditionalFormatting sqref="Q32:Q39">
    <cfRule type="cellIs" dxfId="9379" priority="1959" operator="lessThan">
      <formula>0</formula>
    </cfRule>
  </conditionalFormatting>
  <conditionalFormatting sqref="P32:P39">
    <cfRule type="cellIs" dxfId="9378" priority="1960" operator="greaterThan">
      <formula>0</formula>
    </cfRule>
  </conditionalFormatting>
  <conditionalFormatting sqref="R32:R39">
    <cfRule type="cellIs" dxfId="9377" priority="1963" operator="lessThan">
      <formula>0.8</formula>
    </cfRule>
    <cfRule type="cellIs" dxfId="9376" priority="1964" operator="greaterThan">
      <formula>1</formula>
    </cfRule>
  </conditionalFormatting>
  <conditionalFormatting sqref="R32:R39">
    <cfRule type="cellIs" dxfId="9375" priority="1961" operator="greaterThan">
      <formula>1</formula>
    </cfRule>
    <cfRule type="cellIs" dxfId="9374" priority="1962" operator="lessThan">
      <formula>0.8</formula>
    </cfRule>
  </conditionalFormatting>
  <conditionalFormatting sqref="Q32:Q39">
    <cfRule type="cellIs" dxfId="9373" priority="1953" operator="lessThan">
      <formula>0</formula>
    </cfRule>
  </conditionalFormatting>
  <conditionalFormatting sqref="R32:R39">
    <cfRule type="cellIs" dxfId="9372" priority="1957" operator="lessThan">
      <formula>0.8</formula>
    </cfRule>
    <cfRule type="cellIs" dxfId="9371" priority="1958" operator="greaterThan">
      <formula>1</formula>
    </cfRule>
  </conditionalFormatting>
  <conditionalFormatting sqref="R32:R39">
    <cfRule type="cellIs" dxfId="9370" priority="1955" operator="greaterThan">
      <formula>1</formula>
    </cfRule>
    <cfRule type="cellIs" dxfId="9369" priority="1956" operator="lessThan">
      <formula>0.8</formula>
    </cfRule>
  </conditionalFormatting>
  <conditionalFormatting sqref="P32:P39">
    <cfRule type="cellIs" dxfId="9368" priority="1954" operator="greaterThan">
      <formula>0</formula>
    </cfRule>
  </conditionalFormatting>
  <conditionalFormatting sqref="Q32:Q39">
    <cfRule type="cellIs" dxfId="9367" priority="1952" operator="lessThan">
      <formula>0</formula>
    </cfRule>
  </conditionalFormatting>
  <conditionalFormatting sqref="R32:R39">
    <cfRule type="cellIs" dxfId="9366" priority="1950" operator="lessThan">
      <formula>0.8</formula>
    </cfRule>
    <cfRule type="cellIs" dxfId="9365" priority="1951" operator="greaterThan">
      <formula>1</formula>
    </cfRule>
  </conditionalFormatting>
  <conditionalFormatting sqref="R32:R39">
    <cfRule type="cellIs" dxfId="9364" priority="1948" operator="greaterThan">
      <formula>1</formula>
    </cfRule>
    <cfRule type="cellIs" dxfId="9363" priority="1949" operator="lessThan">
      <formula>0.8</formula>
    </cfRule>
  </conditionalFormatting>
  <conditionalFormatting sqref="P32:P39">
    <cfRule type="cellIs" dxfId="9362" priority="1947" operator="greaterThan">
      <formula>0</formula>
    </cfRule>
  </conditionalFormatting>
  <conditionalFormatting sqref="Q32:Q39">
    <cfRule type="cellIs" dxfId="9361" priority="1946" operator="lessThan">
      <formula>0</formula>
    </cfRule>
  </conditionalFormatting>
  <conditionalFormatting sqref="R32:R39">
    <cfRule type="cellIs" dxfId="9360" priority="1944" operator="lessThan">
      <formula>0.8</formula>
    </cfRule>
    <cfRule type="cellIs" dxfId="9359" priority="1945" operator="greaterThan">
      <formula>1</formula>
    </cfRule>
  </conditionalFormatting>
  <conditionalFormatting sqref="R32:R39">
    <cfRule type="cellIs" dxfId="9358" priority="1942" operator="greaterThan">
      <formula>1</formula>
    </cfRule>
    <cfRule type="cellIs" dxfId="9357" priority="1943" operator="lessThan">
      <formula>0.8</formula>
    </cfRule>
  </conditionalFormatting>
  <conditionalFormatting sqref="P32:P39">
    <cfRule type="cellIs" dxfId="9356" priority="1941" operator="greaterThan">
      <formula>0</formula>
    </cfRule>
  </conditionalFormatting>
  <conditionalFormatting sqref="Q32:Q39">
    <cfRule type="cellIs" dxfId="9355" priority="1935" operator="lessThan">
      <formula>0</formula>
    </cfRule>
  </conditionalFormatting>
  <conditionalFormatting sqref="P32:P39">
    <cfRule type="cellIs" dxfId="9354" priority="1936" operator="greaterThan">
      <formula>0</formula>
    </cfRule>
  </conditionalFormatting>
  <conditionalFormatting sqref="R32:R39">
    <cfRule type="cellIs" dxfId="9353" priority="1939" operator="lessThan">
      <formula>0.8</formula>
    </cfRule>
    <cfRule type="cellIs" dxfId="9352" priority="1940" operator="greaterThan">
      <formula>1</formula>
    </cfRule>
  </conditionalFormatting>
  <conditionalFormatting sqref="R32:R39">
    <cfRule type="cellIs" dxfId="9351" priority="1937" operator="greaterThan">
      <formula>1</formula>
    </cfRule>
    <cfRule type="cellIs" dxfId="9350" priority="1938" operator="lessThan">
      <formula>0.8</formula>
    </cfRule>
  </conditionalFormatting>
  <conditionalFormatting sqref="Q32:Q39">
    <cfRule type="cellIs" dxfId="9349" priority="1929" operator="lessThan">
      <formula>0</formula>
    </cfRule>
  </conditionalFormatting>
  <conditionalFormatting sqref="R32:R39">
    <cfRule type="cellIs" dxfId="9348" priority="1933" operator="lessThan">
      <formula>0.8</formula>
    </cfRule>
    <cfRule type="cellIs" dxfId="9347" priority="1934" operator="greaterThan">
      <formula>1</formula>
    </cfRule>
  </conditionalFormatting>
  <conditionalFormatting sqref="R32:R39">
    <cfRule type="cellIs" dxfId="9346" priority="1931" operator="greaterThan">
      <formula>1</formula>
    </cfRule>
    <cfRule type="cellIs" dxfId="9345" priority="1932" operator="lessThan">
      <formula>0.8</formula>
    </cfRule>
  </conditionalFormatting>
  <conditionalFormatting sqref="P32:P39">
    <cfRule type="cellIs" dxfId="9344" priority="1930" operator="greaterThan">
      <formula>0</formula>
    </cfRule>
  </conditionalFormatting>
  <conditionalFormatting sqref="Q32:Q39">
    <cfRule type="cellIs" dxfId="9343" priority="1928" operator="lessThan">
      <formula>0</formula>
    </cfRule>
  </conditionalFormatting>
  <conditionalFormatting sqref="R32:R39">
    <cfRule type="cellIs" dxfId="9342" priority="1926" operator="lessThan">
      <formula>0.8</formula>
    </cfRule>
    <cfRule type="cellIs" dxfId="9341" priority="1927" operator="greaterThan">
      <formula>1</formula>
    </cfRule>
  </conditionalFormatting>
  <conditionalFormatting sqref="R32:R39">
    <cfRule type="cellIs" dxfId="9340" priority="1924" operator="greaterThan">
      <formula>1</formula>
    </cfRule>
    <cfRule type="cellIs" dxfId="9339" priority="1925" operator="lessThan">
      <formula>0.8</formula>
    </cfRule>
  </conditionalFormatting>
  <conditionalFormatting sqref="P32:P39">
    <cfRule type="cellIs" dxfId="9338" priority="1923" operator="greaterThan">
      <formula>0</formula>
    </cfRule>
  </conditionalFormatting>
  <conditionalFormatting sqref="Q32:Q39">
    <cfRule type="cellIs" dxfId="9337" priority="1922" operator="lessThan">
      <formula>0</formula>
    </cfRule>
  </conditionalFormatting>
  <conditionalFormatting sqref="R32:R39">
    <cfRule type="cellIs" dxfId="9336" priority="1920" operator="lessThan">
      <formula>0.8</formula>
    </cfRule>
    <cfRule type="cellIs" dxfId="9335" priority="1921" operator="greaterThan">
      <formula>1</formula>
    </cfRule>
  </conditionalFormatting>
  <conditionalFormatting sqref="R32:R39">
    <cfRule type="cellIs" dxfId="9334" priority="1918" operator="greaterThan">
      <formula>1</formula>
    </cfRule>
    <cfRule type="cellIs" dxfId="9333" priority="1919" operator="lessThan">
      <formula>0.8</formula>
    </cfRule>
  </conditionalFormatting>
  <conditionalFormatting sqref="P32:P39">
    <cfRule type="cellIs" dxfId="9332" priority="1917" operator="greaterThan">
      <formula>0</formula>
    </cfRule>
  </conditionalFormatting>
  <conditionalFormatting sqref="Q19:Q24">
    <cfRule type="cellIs" dxfId="9331" priority="1916" operator="lessThan">
      <formula>0</formula>
    </cfRule>
  </conditionalFormatting>
  <conditionalFormatting sqref="R19:R24">
    <cfRule type="cellIs" dxfId="9330" priority="1914" operator="lessThan">
      <formula>0.8</formula>
    </cfRule>
    <cfRule type="cellIs" dxfId="9329" priority="1915" operator="greaterThan">
      <formula>1</formula>
    </cfRule>
  </conditionalFormatting>
  <conditionalFormatting sqref="R19:R24">
    <cfRule type="cellIs" dxfId="9328" priority="1912" operator="greaterThan">
      <formula>1</formula>
    </cfRule>
    <cfRule type="cellIs" dxfId="9327" priority="1913" operator="lessThan">
      <formula>0.8</formula>
    </cfRule>
  </conditionalFormatting>
  <conditionalFormatting sqref="P19:P24">
    <cfRule type="cellIs" dxfId="9326" priority="1911" operator="greaterThan">
      <formula>0</formula>
    </cfRule>
  </conditionalFormatting>
  <conditionalFormatting sqref="R19:R24">
    <cfRule type="cellIs" dxfId="9325" priority="1908" operator="lessThan">
      <formula>0.8</formula>
    </cfRule>
    <cfRule type="cellIs" dxfId="9324" priority="1909" operator="greaterThan">
      <formula>1</formula>
    </cfRule>
  </conditionalFormatting>
  <conditionalFormatting sqref="R19:R24">
    <cfRule type="cellIs" dxfId="9323" priority="1906" operator="greaterThan">
      <formula>1</formula>
    </cfRule>
    <cfRule type="cellIs" dxfId="9322" priority="1907" operator="lessThan">
      <formula>0.8</formula>
    </cfRule>
  </conditionalFormatting>
  <conditionalFormatting sqref="P19:P24">
    <cfRule type="cellIs" dxfId="9321" priority="1905" operator="greaterThan">
      <formula>0</formula>
    </cfRule>
  </conditionalFormatting>
  <conditionalFormatting sqref="Q19:Q24">
    <cfRule type="cellIs" dxfId="9320" priority="1910" operator="lessThan">
      <formula>0</formula>
    </cfRule>
  </conditionalFormatting>
  <conditionalFormatting sqref="R19:R24">
    <cfRule type="cellIs" dxfId="9319" priority="1902" operator="lessThan">
      <formula>0.8</formula>
    </cfRule>
    <cfRule type="cellIs" dxfId="9318" priority="1903" operator="greaterThan">
      <formula>1</formula>
    </cfRule>
  </conditionalFormatting>
  <conditionalFormatting sqref="R19:R24">
    <cfRule type="cellIs" dxfId="9317" priority="1900" operator="greaterThan">
      <formula>1</formula>
    </cfRule>
    <cfRule type="cellIs" dxfId="9316" priority="1901" operator="lessThan">
      <formula>0.8</formula>
    </cfRule>
  </conditionalFormatting>
  <conditionalFormatting sqref="P19:P24">
    <cfRule type="cellIs" dxfId="9315" priority="1899" operator="greaterThan">
      <formula>0</formula>
    </cfRule>
  </conditionalFormatting>
  <conditionalFormatting sqref="Q19:Q24">
    <cfRule type="cellIs" dxfId="9314" priority="1904" operator="lessThan">
      <formula>0</formula>
    </cfRule>
  </conditionalFormatting>
  <conditionalFormatting sqref="Q19:Q24">
    <cfRule type="cellIs" dxfId="9313" priority="1898" operator="lessThan">
      <formula>0</formula>
    </cfRule>
  </conditionalFormatting>
  <conditionalFormatting sqref="R19:R24">
    <cfRule type="cellIs" dxfId="9312" priority="1896" operator="lessThan">
      <formula>0.8</formula>
    </cfRule>
    <cfRule type="cellIs" dxfId="9311" priority="1897" operator="greaterThan">
      <formula>1</formula>
    </cfRule>
  </conditionalFormatting>
  <conditionalFormatting sqref="R19:R24">
    <cfRule type="cellIs" dxfId="9310" priority="1894" operator="greaterThan">
      <formula>1</formula>
    </cfRule>
    <cfRule type="cellIs" dxfId="9309" priority="1895" operator="lessThan">
      <formula>0.8</formula>
    </cfRule>
  </conditionalFormatting>
  <conditionalFormatting sqref="P19:P24">
    <cfRule type="cellIs" dxfId="9308" priority="1893" operator="greaterThan">
      <formula>0</formula>
    </cfRule>
  </conditionalFormatting>
  <conditionalFormatting sqref="Q135:Q136">
    <cfRule type="cellIs" dxfId="9307" priority="1892" operator="lessThan">
      <formula>0</formula>
    </cfRule>
  </conditionalFormatting>
  <conditionalFormatting sqref="R135:R136">
    <cfRule type="cellIs" dxfId="9306" priority="1890" operator="lessThan">
      <formula>0.8</formula>
    </cfRule>
    <cfRule type="cellIs" dxfId="9305" priority="1891" operator="greaterThan">
      <formula>1</formula>
    </cfRule>
  </conditionalFormatting>
  <conditionalFormatting sqref="R135:R136">
    <cfRule type="cellIs" dxfId="9304" priority="1888" operator="greaterThan">
      <formula>1</formula>
    </cfRule>
    <cfRule type="cellIs" dxfId="9303" priority="1889" operator="lessThan">
      <formula>0.8</formula>
    </cfRule>
  </conditionalFormatting>
  <conditionalFormatting sqref="P135:P136">
    <cfRule type="cellIs" dxfId="9302" priority="1887" operator="greaterThan">
      <formula>0</formula>
    </cfRule>
  </conditionalFormatting>
  <conditionalFormatting sqref="P135:P136">
    <cfRule type="cellIs" dxfId="9301" priority="1881" operator="greaterThan">
      <formula>0</formula>
    </cfRule>
  </conditionalFormatting>
  <conditionalFormatting sqref="Q135:Q136">
    <cfRule type="cellIs" dxfId="9300" priority="1886" operator="lessThan">
      <formula>0</formula>
    </cfRule>
  </conditionalFormatting>
  <conditionalFormatting sqref="R135:R136">
    <cfRule type="cellIs" dxfId="9299" priority="1884" operator="lessThan">
      <formula>0.8</formula>
    </cfRule>
    <cfRule type="cellIs" dxfId="9298" priority="1885" operator="greaterThan">
      <formula>1</formula>
    </cfRule>
  </conditionalFormatting>
  <conditionalFormatting sqref="R135:R136">
    <cfRule type="cellIs" dxfId="9297" priority="1882" operator="greaterThan">
      <formula>1</formula>
    </cfRule>
    <cfRule type="cellIs" dxfId="9296" priority="1883" operator="lessThan">
      <formula>0.8</formula>
    </cfRule>
  </conditionalFormatting>
  <conditionalFormatting sqref="Q25">
    <cfRule type="cellIs" dxfId="9295" priority="1880" operator="lessThan">
      <formula>0</formula>
    </cfRule>
  </conditionalFormatting>
  <conditionalFormatting sqref="R25">
    <cfRule type="cellIs" dxfId="9294" priority="1878" operator="lessThan">
      <formula>0.8</formula>
    </cfRule>
    <cfRule type="cellIs" dxfId="9293" priority="1879" operator="greaterThan">
      <formula>1</formula>
    </cfRule>
  </conditionalFormatting>
  <conditionalFormatting sqref="R25">
    <cfRule type="cellIs" dxfId="9292" priority="1876" operator="greaterThan">
      <formula>1</formula>
    </cfRule>
    <cfRule type="cellIs" dxfId="9291" priority="1877" operator="lessThan">
      <formula>0.8</formula>
    </cfRule>
  </conditionalFormatting>
  <conditionalFormatting sqref="P25">
    <cfRule type="cellIs" dxfId="9290" priority="1875" operator="greaterThan">
      <formula>0</formula>
    </cfRule>
  </conditionalFormatting>
  <conditionalFormatting sqref="R25">
    <cfRule type="cellIs" dxfId="9289" priority="1872" operator="lessThan">
      <formula>0.8</formula>
    </cfRule>
    <cfRule type="cellIs" dxfId="9288" priority="1873" operator="greaterThan">
      <formula>1</formula>
    </cfRule>
  </conditionalFormatting>
  <conditionalFormatting sqref="R25">
    <cfRule type="cellIs" dxfId="9287" priority="1870" operator="greaterThan">
      <formula>1</formula>
    </cfRule>
    <cfRule type="cellIs" dxfId="9286" priority="1871" operator="lessThan">
      <formula>0.8</formula>
    </cfRule>
  </conditionalFormatting>
  <conditionalFormatting sqref="P25">
    <cfRule type="cellIs" dxfId="9285" priority="1869" operator="greaterThan">
      <formula>0</formula>
    </cfRule>
  </conditionalFormatting>
  <conditionalFormatting sqref="Q25">
    <cfRule type="cellIs" dxfId="9284" priority="1874" operator="lessThan">
      <formula>0</formula>
    </cfRule>
  </conditionalFormatting>
  <conditionalFormatting sqref="R25">
    <cfRule type="cellIs" dxfId="9283" priority="1866" operator="lessThan">
      <formula>0.8</formula>
    </cfRule>
    <cfRule type="cellIs" dxfId="9282" priority="1867" operator="greaterThan">
      <formula>1</formula>
    </cfRule>
  </conditionalFormatting>
  <conditionalFormatting sqref="R25">
    <cfRule type="cellIs" dxfId="9281" priority="1864" operator="greaterThan">
      <formula>1</formula>
    </cfRule>
    <cfRule type="cellIs" dxfId="9280" priority="1865" operator="lessThan">
      <formula>0.8</formula>
    </cfRule>
  </conditionalFormatting>
  <conditionalFormatting sqref="P25">
    <cfRule type="cellIs" dxfId="9279" priority="1863" operator="greaterThan">
      <formula>0</formula>
    </cfRule>
  </conditionalFormatting>
  <conditionalFormatting sqref="Q25">
    <cfRule type="cellIs" dxfId="9278" priority="1868" operator="lessThan">
      <formula>0</formula>
    </cfRule>
  </conditionalFormatting>
  <conditionalFormatting sqref="Q25">
    <cfRule type="cellIs" dxfId="9277" priority="1862" operator="lessThan">
      <formula>0</formula>
    </cfRule>
  </conditionalFormatting>
  <conditionalFormatting sqref="R25">
    <cfRule type="cellIs" dxfId="9276" priority="1860" operator="lessThan">
      <formula>0.8</formula>
    </cfRule>
    <cfRule type="cellIs" dxfId="9275" priority="1861" operator="greaterThan">
      <formula>1</formula>
    </cfRule>
  </conditionalFormatting>
  <conditionalFormatting sqref="R25">
    <cfRule type="cellIs" dxfId="9274" priority="1858" operator="greaterThan">
      <formula>1</formula>
    </cfRule>
    <cfRule type="cellIs" dxfId="9273" priority="1859" operator="lessThan">
      <formula>0.8</formula>
    </cfRule>
  </conditionalFormatting>
  <conditionalFormatting sqref="P25">
    <cfRule type="cellIs" dxfId="9272" priority="1857" operator="greaterThan">
      <formula>0</formula>
    </cfRule>
  </conditionalFormatting>
  <conditionalFormatting sqref="Q25">
    <cfRule type="cellIs" dxfId="9271" priority="1856" operator="lessThan">
      <formula>0</formula>
    </cfRule>
  </conditionalFormatting>
  <conditionalFormatting sqref="R25">
    <cfRule type="cellIs" dxfId="9270" priority="1854" operator="lessThan">
      <formula>0.8</formula>
    </cfRule>
    <cfRule type="cellIs" dxfId="9269" priority="1855" operator="greaterThan">
      <formula>1</formula>
    </cfRule>
  </conditionalFormatting>
  <conditionalFormatting sqref="R25">
    <cfRule type="cellIs" dxfId="9268" priority="1852" operator="greaterThan">
      <formula>1</formula>
    </cfRule>
    <cfRule type="cellIs" dxfId="9267" priority="1853" operator="lessThan">
      <formula>0.8</formula>
    </cfRule>
  </conditionalFormatting>
  <conditionalFormatting sqref="P25">
    <cfRule type="cellIs" dxfId="9266" priority="1851" operator="greaterThan">
      <formula>0</formula>
    </cfRule>
  </conditionalFormatting>
  <conditionalFormatting sqref="P19:P24">
    <cfRule type="cellIs" dxfId="9265" priority="1845" operator="greaterThan">
      <formula>0</formula>
    </cfRule>
  </conditionalFormatting>
  <conditionalFormatting sqref="Q19:Q24">
    <cfRule type="cellIs" dxfId="9264" priority="1850" operator="lessThan">
      <formula>0</formula>
    </cfRule>
  </conditionalFormatting>
  <conditionalFormatting sqref="R19:R24">
    <cfRule type="cellIs" dxfId="9263" priority="1848" operator="lessThan">
      <formula>0.8</formula>
    </cfRule>
    <cfRule type="cellIs" dxfId="9262" priority="1849" operator="greaterThan">
      <formula>1</formula>
    </cfRule>
  </conditionalFormatting>
  <conditionalFormatting sqref="R19:R24">
    <cfRule type="cellIs" dxfId="9261" priority="1846" operator="greaterThan">
      <formula>1</formula>
    </cfRule>
    <cfRule type="cellIs" dxfId="9260" priority="1847" operator="lessThan">
      <formula>0.8</formula>
    </cfRule>
  </conditionalFormatting>
  <conditionalFormatting sqref="Q19:Q24">
    <cfRule type="cellIs" dxfId="9259" priority="1844" operator="lessThan">
      <formula>0</formula>
    </cfRule>
  </conditionalFormatting>
  <conditionalFormatting sqref="R19:R24">
    <cfRule type="cellIs" dxfId="9258" priority="1842" operator="lessThan">
      <formula>0.8</formula>
    </cfRule>
    <cfRule type="cellIs" dxfId="9257" priority="1843" operator="greaterThan">
      <formula>1</formula>
    </cfRule>
  </conditionalFormatting>
  <conditionalFormatting sqref="R19:R24">
    <cfRule type="cellIs" dxfId="9256" priority="1840" operator="greaterThan">
      <formula>1</formula>
    </cfRule>
    <cfRule type="cellIs" dxfId="9255" priority="1841" operator="lessThan">
      <formula>0.8</formula>
    </cfRule>
  </conditionalFormatting>
  <conditionalFormatting sqref="P19:P24">
    <cfRule type="cellIs" dxfId="9254" priority="1839" operator="greaterThan">
      <formula>0</formula>
    </cfRule>
  </conditionalFormatting>
  <conditionalFormatting sqref="Q19:Q24">
    <cfRule type="cellIs" dxfId="9253" priority="1838" operator="lessThan">
      <formula>0</formula>
    </cfRule>
  </conditionalFormatting>
  <conditionalFormatting sqref="R19:R24">
    <cfRule type="cellIs" dxfId="9252" priority="1836" operator="lessThan">
      <formula>0.8</formula>
    </cfRule>
    <cfRule type="cellIs" dxfId="9251" priority="1837" operator="greaterThan">
      <formula>1</formula>
    </cfRule>
  </conditionalFormatting>
  <conditionalFormatting sqref="R19:R24">
    <cfRule type="cellIs" dxfId="9250" priority="1834" operator="greaterThan">
      <formula>1</formula>
    </cfRule>
    <cfRule type="cellIs" dxfId="9249" priority="1835" operator="lessThan">
      <formula>0.8</formula>
    </cfRule>
  </conditionalFormatting>
  <conditionalFormatting sqref="P19:P24">
    <cfRule type="cellIs" dxfId="9248" priority="1833" operator="greaterThan">
      <formula>0</formula>
    </cfRule>
  </conditionalFormatting>
  <conditionalFormatting sqref="Q19:Q24">
    <cfRule type="cellIs" dxfId="9247" priority="1832" operator="lessThan">
      <formula>0</formula>
    </cfRule>
  </conditionalFormatting>
  <conditionalFormatting sqref="R19:R24">
    <cfRule type="cellIs" dxfId="9246" priority="1830" operator="lessThan">
      <formula>0.8</formula>
    </cfRule>
    <cfRule type="cellIs" dxfId="9245" priority="1831" operator="greaterThan">
      <formula>1</formula>
    </cfRule>
  </conditionalFormatting>
  <conditionalFormatting sqref="R19:R24">
    <cfRule type="cellIs" dxfId="9244" priority="1828" operator="greaterThan">
      <formula>1</formula>
    </cfRule>
    <cfRule type="cellIs" dxfId="9243" priority="1829" operator="lessThan">
      <formula>0.8</formula>
    </cfRule>
  </conditionalFormatting>
  <conditionalFormatting sqref="P19:P24">
    <cfRule type="cellIs" dxfId="9242" priority="1827" operator="greaterThan">
      <formula>0</formula>
    </cfRule>
  </conditionalFormatting>
  <conditionalFormatting sqref="R19:R24">
    <cfRule type="cellIs" dxfId="9241" priority="1824" operator="lessThan">
      <formula>0.8</formula>
    </cfRule>
    <cfRule type="cellIs" dxfId="9240" priority="1825" operator="greaterThan">
      <formula>1</formula>
    </cfRule>
  </conditionalFormatting>
  <conditionalFormatting sqref="R19:R24">
    <cfRule type="cellIs" dxfId="9239" priority="1822" operator="greaterThan">
      <formula>1</formula>
    </cfRule>
    <cfRule type="cellIs" dxfId="9238" priority="1823" operator="lessThan">
      <formula>0.8</formula>
    </cfRule>
  </conditionalFormatting>
  <conditionalFormatting sqref="P19:P24">
    <cfRule type="cellIs" dxfId="9237" priority="1821" operator="greaterThan">
      <formula>0</formula>
    </cfRule>
  </conditionalFormatting>
  <conditionalFormatting sqref="Q19:Q24">
    <cfRule type="cellIs" dxfId="9236" priority="1826" operator="lessThan">
      <formula>0</formula>
    </cfRule>
  </conditionalFormatting>
  <conditionalFormatting sqref="Q19:Q24">
    <cfRule type="cellIs" dxfId="9235" priority="1820" operator="lessThan">
      <formula>0</formula>
    </cfRule>
  </conditionalFormatting>
  <conditionalFormatting sqref="R19:R24">
    <cfRule type="cellIs" dxfId="9234" priority="1818" operator="lessThan">
      <formula>0.8</formula>
    </cfRule>
    <cfRule type="cellIs" dxfId="9233" priority="1819" operator="greaterThan">
      <formula>1</formula>
    </cfRule>
  </conditionalFormatting>
  <conditionalFormatting sqref="R19:R24">
    <cfRule type="cellIs" dxfId="9232" priority="1816" operator="greaterThan">
      <formula>1</formula>
    </cfRule>
    <cfRule type="cellIs" dxfId="9231" priority="1817" operator="lessThan">
      <formula>0.8</formula>
    </cfRule>
  </conditionalFormatting>
  <conditionalFormatting sqref="P19:P24">
    <cfRule type="cellIs" dxfId="9230" priority="1815" operator="greaterThan">
      <formula>0</formula>
    </cfRule>
  </conditionalFormatting>
  <conditionalFormatting sqref="P19:P24">
    <cfRule type="cellIs" dxfId="9229" priority="1809" operator="greaterThan">
      <formula>0</formula>
    </cfRule>
  </conditionalFormatting>
  <conditionalFormatting sqref="Q19:Q24">
    <cfRule type="cellIs" dxfId="9228" priority="1814" operator="lessThan">
      <formula>0</formula>
    </cfRule>
  </conditionalFormatting>
  <conditionalFormatting sqref="R19:R24">
    <cfRule type="cellIs" dxfId="9227" priority="1812" operator="lessThan">
      <formula>0.8</formula>
    </cfRule>
    <cfRule type="cellIs" dxfId="9226" priority="1813" operator="greaterThan">
      <formula>1</formula>
    </cfRule>
  </conditionalFormatting>
  <conditionalFormatting sqref="R19:R24">
    <cfRule type="cellIs" dxfId="9225" priority="1810" operator="greaterThan">
      <formula>1</formula>
    </cfRule>
    <cfRule type="cellIs" dxfId="9224" priority="1811" operator="lessThan">
      <formula>0.8</formula>
    </cfRule>
  </conditionalFormatting>
  <conditionalFormatting sqref="P19:P24">
    <cfRule type="cellIs" dxfId="9223" priority="1803" operator="greaterThan">
      <formula>0</formula>
    </cfRule>
  </conditionalFormatting>
  <conditionalFormatting sqref="Q19:Q24">
    <cfRule type="cellIs" dxfId="9222" priority="1808" operator="lessThan">
      <formula>0</formula>
    </cfRule>
  </conditionalFormatting>
  <conditionalFormatting sqref="R19:R24">
    <cfRule type="cellIs" dxfId="9221" priority="1806" operator="lessThan">
      <formula>0.8</formula>
    </cfRule>
    <cfRule type="cellIs" dxfId="9220" priority="1807" operator="greaterThan">
      <formula>1</formula>
    </cfRule>
  </conditionalFormatting>
  <conditionalFormatting sqref="R19:R24">
    <cfRule type="cellIs" dxfId="9219" priority="1804" operator="greaterThan">
      <formula>1</formula>
    </cfRule>
    <cfRule type="cellIs" dxfId="9218" priority="1805" operator="lessThan">
      <formula>0.8</formula>
    </cfRule>
  </conditionalFormatting>
  <conditionalFormatting sqref="Q19:Q24">
    <cfRule type="cellIs" dxfId="9217" priority="1802" operator="lessThan">
      <formula>0</formula>
    </cfRule>
  </conditionalFormatting>
  <conditionalFormatting sqref="R19:R24">
    <cfRule type="cellIs" dxfId="9216" priority="1800" operator="lessThan">
      <formula>0.8</formula>
    </cfRule>
    <cfRule type="cellIs" dxfId="9215" priority="1801" operator="greaterThan">
      <formula>1</formula>
    </cfRule>
  </conditionalFormatting>
  <conditionalFormatting sqref="R19:R24">
    <cfRule type="cellIs" dxfId="9214" priority="1798" operator="greaterThan">
      <formula>1</formula>
    </cfRule>
    <cfRule type="cellIs" dxfId="9213" priority="1799" operator="lessThan">
      <formula>0.8</formula>
    </cfRule>
  </conditionalFormatting>
  <conditionalFormatting sqref="P19:P24">
    <cfRule type="cellIs" dxfId="9212" priority="1797" operator="greaterThan">
      <formula>0</formula>
    </cfRule>
  </conditionalFormatting>
  <conditionalFormatting sqref="Q19:Q24">
    <cfRule type="cellIs" dxfId="9211" priority="1796" operator="lessThan">
      <formula>0</formula>
    </cfRule>
  </conditionalFormatting>
  <conditionalFormatting sqref="R19:R24">
    <cfRule type="cellIs" dxfId="9210" priority="1794" operator="lessThan">
      <formula>0.8</formula>
    </cfRule>
    <cfRule type="cellIs" dxfId="9209" priority="1795" operator="greaterThan">
      <formula>1</formula>
    </cfRule>
  </conditionalFormatting>
  <conditionalFormatting sqref="R19:R24">
    <cfRule type="cellIs" dxfId="9208" priority="1792" operator="greaterThan">
      <formula>1</formula>
    </cfRule>
    <cfRule type="cellIs" dxfId="9207" priority="1793" operator="lessThan">
      <formula>0.8</formula>
    </cfRule>
  </conditionalFormatting>
  <conditionalFormatting sqref="P19:P24">
    <cfRule type="cellIs" dxfId="9206" priority="1791" operator="greaterThan">
      <formula>0</formula>
    </cfRule>
  </conditionalFormatting>
  <conditionalFormatting sqref="P19:P24">
    <cfRule type="cellIs" dxfId="9205" priority="1785" operator="greaterThan">
      <formula>0</formula>
    </cfRule>
  </conditionalFormatting>
  <conditionalFormatting sqref="Q19:Q24">
    <cfRule type="cellIs" dxfId="9204" priority="1790" operator="lessThan">
      <formula>0</formula>
    </cfRule>
  </conditionalFormatting>
  <conditionalFormatting sqref="R19:R24">
    <cfRule type="cellIs" dxfId="9203" priority="1788" operator="lessThan">
      <formula>0.8</formula>
    </cfRule>
    <cfRule type="cellIs" dxfId="9202" priority="1789" operator="greaterThan">
      <formula>1</formula>
    </cfRule>
  </conditionalFormatting>
  <conditionalFormatting sqref="R19:R24">
    <cfRule type="cellIs" dxfId="9201" priority="1786" operator="greaterThan">
      <formula>1</formula>
    </cfRule>
    <cfRule type="cellIs" dxfId="9200" priority="1787" operator="lessThan">
      <formula>0.8</formula>
    </cfRule>
  </conditionalFormatting>
  <conditionalFormatting sqref="Q19:Q24">
    <cfRule type="cellIs" dxfId="9199" priority="1784" operator="lessThan">
      <formula>0</formula>
    </cfRule>
  </conditionalFormatting>
  <conditionalFormatting sqref="R19:R24">
    <cfRule type="cellIs" dxfId="9198" priority="1782" operator="lessThan">
      <formula>0.8</formula>
    </cfRule>
    <cfRule type="cellIs" dxfId="9197" priority="1783" operator="greaterThan">
      <formula>1</formula>
    </cfRule>
  </conditionalFormatting>
  <conditionalFormatting sqref="R19:R24">
    <cfRule type="cellIs" dxfId="9196" priority="1780" operator="greaterThan">
      <formula>1</formula>
    </cfRule>
    <cfRule type="cellIs" dxfId="9195" priority="1781" operator="lessThan">
      <formula>0.8</formula>
    </cfRule>
  </conditionalFormatting>
  <conditionalFormatting sqref="P19:P24">
    <cfRule type="cellIs" dxfId="9194" priority="1779" operator="greaterThan">
      <formula>0</formula>
    </cfRule>
  </conditionalFormatting>
  <conditionalFormatting sqref="Q19:Q24">
    <cfRule type="cellIs" dxfId="9193" priority="1778" operator="lessThan">
      <formula>0</formula>
    </cfRule>
  </conditionalFormatting>
  <conditionalFormatting sqref="R19:R24">
    <cfRule type="cellIs" dxfId="9192" priority="1776" operator="lessThan">
      <formula>0.8</formula>
    </cfRule>
    <cfRule type="cellIs" dxfId="9191" priority="1777" operator="greaterThan">
      <formula>1</formula>
    </cfRule>
  </conditionalFormatting>
  <conditionalFormatting sqref="R19:R24">
    <cfRule type="cellIs" dxfId="9190" priority="1774" operator="greaterThan">
      <formula>1</formula>
    </cfRule>
    <cfRule type="cellIs" dxfId="9189" priority="1775" operator="lessThan">
      <formula>0.8</formula>
    </cfRule>
  </conditionalFormatting>
  <conditionalFormatting sqref="P19:P24">
    <cfRule type="cellIs" dxfId="9188" priority="1773" operator="greaterThan">
      <formula>0</formula>
    </cfRule>
  </conditionalFormatting>
  <conditionalFormatting sqref="Q19:Q24">
    <cfRule type="cellIs" dxfId="9187" priority="1772" operator="lessThan">
      <formula>0</formula>
    </cfRule>
  </conditionalFormatting>
  <conditionalFormatting sqref="R19:R24">
    <cfRule type="cellIs" dxfId="9186" priority="1770" operator="lessThan">
      <formula>0.8</formula>
    </cfRule>
    <cfRule type="cellIs" dxfId="9185" priority="1771" operator="greaterThan">
      <formula>1</formula>
    </cfRule>
  </conditionalFormatting>
  <conditionalFormatting sqref="R19:R24">
    <cfRule type="cellIs" dxfId="9184" priority="1768" operator="greaterThan">
      <formula>1</formula>
    </cfRule>
    <cfRule type="cellIs" dxfId="9183" priority="1769" operator="lessThan">
      <formula>0.8</formula>
    </cfRule>
  </conditionalFormatting>
  <conditionalFormatting sqref="P19:P24">
    <cfRule type="cellIs" dxfId="9182" priority="1767" operator="greaterThan">
      <formula>0</formula>
    </cfRule>
  </conditionalFormatting>
  <conditionalFormatting sqref="R19:R24">
    <cfRule type="cellIs" dxfId="9181" priority="1764" operator="lessThan">
      <formula>0.8</formula>
    </cfRule>
    <cfRule type="cellIs" dxfId="9180" priority="1765" operator="greaterThan">
      <formula>1</formula>
    </cfRule>
  </conditionalFormatting>
  <conditionalFormatting sqref="R19:R24">
    <cfRule type="cellIs" dxfId="9179" priority="1762" operator="greaterThan">
      <formula>1</formula>
    </cfRule>
    <cfRule type="cellIs" dxfId="9178" priority="1763" operator="lessThan">
      <formula>0.8</formula>
    </cfRule>
  </conditionalFormatting>
  <conditionalFormatting sqref="P19:P24">
    <cfRule type="cellIs" dxfId="9177" priority="1761" operator="greaterThan">
      <formula>0</formula>
    </cfRule>
  </conditionalFormatting>
  <conditionalFormatting sqref="Q19:Q24">
    <cfRule type="cellIs" dxfId="9176" priority="1766" operator="lessThan">
      <formula>0</formula>
    </cfRule>
  </conditionalFormatting>
  <conditionalFormatting sqref="Q40">
    <cfRule type="cellIs" dxfId="9175" priority="1760" operator="lessThan">
      <formula>0</formula>
    </cfRule>
  </conditionalFormatting>
  <conditionalFormatting sqref="R40">
    <cfRule type="cellIs" dxfId="9174" priority="1758" operator="lessThan">
      <formula>0.8</formula>
    </cfRule>
    <cfRule type="cellIs" dxfId="9173" priority="1759" operator="greaterThan">
      <formula>1</formula>
    </cfRule>
  </conditionalFormatting>
  <conditionalFormatting sqref="R40">
    <cfRule type="cellIs" dxfId="9172" priority="1756" operator="greaterThan">
      <formula>1</formula>
    </cfRule>
    <cfRule type="cellIs" dxfId="9171" priority="1757" operator="lessThan">
      <formula>0.8</formula>
    </cfRule>
  </conditionalFormatting>
  <conditionalFormatting sqref="P40">
    <cfRule type="cellIs" dxfId="9170" priority="1755" operator="greaterThan">
      <formula>0</formula>
    </cfRule>
  </conditionalFormatting>
  <conditionalFormatting sqref="P40">
    <cfRule type="cellIs" dxfId="9169" priority="1749" operator="greaterThan">
      <formula>0</formula>
    </cfRule>
  </conditionalFormatting>
  <conditionalFormatting sqref="Q40">
    <cfRule type="cellIs" dxfId="9168" priority="1754" operator="lessThan">
      <formula>0</formula>
    </cfRule>
  </conditionalFormatting>
  <conditionalFormatting sqref="R40">
    <cfRule type="cellIs" dxfId="9167" priority="1752" operator="lessThan">
      <formula>0.8</formula>
    </cfRule>
    <cfRule type="cellIs" dxfId="9166" priority="1753" operator="greaterThan">
      <formula>1</formula>
    </cfRule>
  </conditionalFormatting>
  <conditionalFormatting sqref="R40">
    <cfRule type="cellIs" dxfId="9165" priority="1750" operator="greaterThan">
      <formula>1</formula>
    </cfRule>
    <cfRule type="cellIs" dxfId="9164" priority="1751" operator="lessThan">
      <formula>0.8</formula>
    </cfRule>
  </conditionalFormatting>
  <conditionalFormatting sqref="P40">
    <cfRule type="cellIs" dxfId="9163" priority="1743" operator="greaterThan">
      <formula>0</formula>
    </cfRule>
  </conditionalFormatting>
  <conditionalFormatting sqref="Q40">
    <cfRule type="cellIs" dxfId="9162" priority="1748" operator="lessThan">
      <formula>0</formula>
    </cfRule>
  </conditionalFormatting>
  <conditionalFormatting sqref="R40">
    <cfRule type="cellIs" dxfId="9161" priority="1746" operator="lessThan">
      <formula>0.8</formula>
    </cfRule>
    <cfRule type="cellIs" dxfId="9160" priority="1747" operator="greaterThan">
      <formula>1</formula>
    </cfRule>
  </conditionalFormatting>
  <conditionalFormatting sqref="R40">
    <cfRule type="cellIs" dxfId="9159" priority="1744" operator="greaterThan">
      <formula>1</formula>
    </cfRule>
    <cfRule type="cellIs" dxfId="9158" priority="1745" operator="lessThan">
      <formula>0.8</formula>
    </cfRule>
  </conditionalFormatting>
  <conditionalFormatting sqref="Q40">
    <cfRule type="cellIs" dxfId="9157" priority="1742" operator="lessThan">
      <formula>0</formula>
    </cfRule>
  </conditionalFormatting>
  <conditionalFormatting sqref="R40">
    <cfRule type="cellIs" dxfId="9156" priority="1740" operator="lessThan">
      <formula>0.8</formula>
    </cfRule>
    <cfRule type="cellIs" dxfId="9155" priority="1741" operator="greaterThan">
      <formula>1</formula>
    </cfRule>
  </conditionalFormatting>
  <conditionalFormatting sqref="R40">
    <cfRule type="cellIs" dxfId="9154" priority="1738" operator="greaterThan">
      <formula>1</formula>
    </cfRule>
    <cfRule type="cellIs" dxfId="9153" priority="1739" operator="lessThan">
      <formula>0.8</formula>
    </cfRule>
  </conditionalFormatting>
  <conditionalFormatting sqref="P40">
    <cfRule type="cellIs" dxfId="9152" priority="1737" operator="greaterThan">
      <formula>0</formula>
    </cfRule>
  </conditionalFormatting>
  <conditionalFormatting sqref="P40">
    <cfRule type="cellIs" dxfId="9151" priority="1731" operator="greaterThan">
      <formula>0</formula>
    </cfRule>
  </conditionalFormatting>
  <conditionalFormatting sqref="Q40">
    <cfRule type="cellIs" dxfId="9150" priority="1736" operator="lessThan">
      <formula>0</formula>
    </cfRule>
  </conditionalFormatting>
  <conditionalFormatting sqref="R40">
    <cfRule type="cellIs" dxfId="9149" priority="1734" operator="lessThan">
      <formula>0.8</formula>
    </cfRule>
    <cfRule type="cellIs" dxfId="9148" priority="1735" operator="greaterThan">
      <formula>1</formula>
    </cfRule>
  </conditionalFormatting>
  <conditionalFormatting sqref="R40">
    <cfRule type="cellIs" dxfId="9147" priority="1732" operator="greaterThan">
      <formula>1</formula>
    </cfRule>
    <cfRule type="cellIs" dxfId="9146" priority="1733" operator="lessThan">
      <formula>0.8</formula>
    </cfRule>
  </conditionalFormatting>
  <conditionalFormatting sqref="P40">
    <cfRule type="cellIs" dxfId="9145" priority="1725" operator="greaterThan">
      <formula>0</formula>
    </cfRule>
  </conditionalFormatting>
  <conditionalFormatting sqref="Q40">
    <cfRule type="cellIs" dxfId="9144" priority="1730" operator="lessThan">
      <formula>0</formula>
    </cfRule>
  </conditionalFormatting>
  <conditionalFormatting sqref="R40">
    <cfRule type="cellIs" dxfId="9143" priority="1728" operator="lessThan">
      <formula>0.8</formula>
    </cfRule>
    <cfRule type="cellIs" dxfId="9142" priority="1729" operator="greaterThan">
      <formula>1</formula>
    </cfRule>
  </conditionalFormatting>
  <conditionalFormatting sqref="R40">
    <cfRule type="cellIs" dxfId="9141" priority="1726" operator="greaterThan">
      <formula>1</formula>
    </cfRule>
    <cfRule type="cellIs" dxfId="9140" priority="1727" operator="lessThan">
      <formula>0.8</formula>
    </cfRule>
  </conditionalFormatting>
  <conditionalFormatting sqref="P40">
    <cfRule type="cellIs" dxfId="9139" priority="1719" operator="greaterThan">
      <formula>0</formula>
    </cfRule>
  </conditionalFormatting>
  <conditionalFormatting sqref="Q40">
    <cfRule type="cellIs" dxfId="9138" priority="1724" operator="lessThan">
      <formula>0</formula>
    </cfRule>
  </conditionalFormatting>
  <conditionalFormatting sqref="R40">
    <cfRule type="cellIs" dxfId="9137" priority="1722" operator="lessThan">
      <formula>0.8</formula>
    </cfRule>
    <cfRule type="cellIs" dxfId="9136" priority="1723" operator="greaterThan">
      <formula>1</formula>
    </cfRule>
  </conditionalFormatting>
  <conditionalFormatting sqref="R40">
    <cfRule type="cellIs" dxfId="9135" priority="1720" operator="greaterThan">
      <formula>1</formula>
    </cfRule>
    <cfRule type="cellIs" dxfId="9134" priority="1721" operator="lessThan">
      <formula>0.8</formula>
    </cfRule>
  </conditionalFormatting>
  <conditionalFormatting sqref="Q40">
    <cfRule type="cellIs" dxfId="9133" priority="1713" operator="lessThan">
      <formula>0</formula>
    </cfRule>
  </conditionalFormatting>
  <conditionalFormatting sqref="P40">
    <cfRule type="cellIs" dxfId="9132" priority="1714" operator="greaterThan">
      <formula>0</formula>
    </cfRule>
  </conditionalFormatting>
  <conditionalFormatting sqref="R40">
    <cfRule type="cellIs" dxfId="9131" priority="1717" operator="lessThan">
      <formula>0.8</formula>
    </cfRule>
    <cfRule type="cellIs" dxfId="9130" priority="1718" operator="greaterThan">
      <formula>1</formula>
    </cfRule>
  </conditionalFormatting>
  <conditionalFormatting sqref="R40">
    <cfRule type="cellIs" dxfId="9129" priority="1715" operator="greaterThan">
      <formula>1</formula>
    </cfRule>
    <cfRule type="cellIs" dxfId="9128" priority="1716" operator="lessThan">
      <formula>0.8</formula>
    </cfRule>
  </conditionalFormatting>
  <conditionalFormatting sqref="Q40">
    <cfRule type="cellIs" dxfId="9127" priority="1707" operator="lessThan">
      <formula>0</formula>
    </cfRule>
  </conditionalFormatting>
  <conditionalFormatting sqref="R40">
    <cfRule type="cellIs" dxfId="9126" priority="1711" operator="lessThan">
      <formula>0.8</formula>
    </cfRule>
    <cfRule type="cellIs" dxfId="9125" priority="1712" operator="greaterThan">
      <formula>1</formula>
    </cfRule>
  </conditionalFormatting>
  <conditionalFormatting sqref="R40">
    <cfRule type="cellIs" dxfId="9124" priority="1709" operator="greaterThan">
      <formula>1</formula>
    </cfRule>
    <cfRule type="cellIs" dxfId="9123" priority="1710" operator="lessThan">
      <formula>0.8</formula>
    </cfRule>
  </conditionalFormatting>
  <conditionalFormatting sqref="P40">
    <cfRule type="cellIs" dxfId="9122" priority="1708" operator="greaterThan">
      <formula>0</formula>
    </cfRule>
  </conditionalFormatting>
  <conditionalFormatting sqref="Q40">
    <cfRule type="cellIs" dxfId="9121" priority="1706" operator="lessThan">
      <formula>0</formula>
    </cfRule>
  </conditionalFormatting>
  <conditionalFormatting sqref="R40">
    <cfRule type="cellIs" dxfId="9120" priority="1704" operator="lessThan">
      <formula>0.8</formula>
    </cfRule>
    <cfRule type="cellIs" dxfId="9119" priority="1705" operator="greaterThan">
      <formula>1</formula>
    </cfRule>
  </conditionalFormatting>
  <conditionalFormatting sqref="R40">
    <cfRule type="cellIs" dxfId="9118" priority="1702" operator="greaterThan">
      <formula>1</formula>
    </cfRule>
    <cfRule type="cellIs" dxfId="9117" priority="1703" operator="lessThan">
      <formula>0.8</formula>
    </cfRule>
  </conditionalFormatting>
  <conditionalFormatting sqref="P40">
    <cfRule type="cellIs" dxfId="9116" priority="1701" operator="greaterThan">
      <formula>0</formula>
    </cfRule>
  </conditionalFormatting>
  <conditionalFormatting sqref="Q40">
    <cfRule type="cellIs" dxfId="9115" priority="1700" operator="lessThan">
      <formula>0</formula>
    </cfRule>
  </conditionalFormatting>
  <conditionalFormatting sqref="R40">
    <cfRule type="cellIs" dxfId="9114" priority="1698" operator="lessThan">
      <formula>0.8</formula>
    </cfRule>
    <cfRule type="cellIs" dxfId="9113" priority="1699" operator="greaterThan">
      <formula>1</formula>
    </cfRule>
  </conditionalFormatting>
  <conditionalFormatting sqref="R40">
    <cfRule type="cellIs" dxfId="9112" priority="1696" operator="greaterThan">
      <formula>1</formula>
    </cfRule>
    <cfRule type="cellIs" dxfId="9111" priority="1697" operator="lessThan">
      <formula>0.8</formula>
    </cfRule>
  </conditionalFormatting>
  <conditionalFormatting sqref="P40">
    <cfRule type="cellIs" dxfId="9110" priority="1695" operator="greaterThan">
      <formula>0</formula>
    </cfRule>
  </conditionalFormatting>
  <conditionalFormatting sqref="Q32:Q39">
    <cfRule type="cellIs" dxfId="9109" priority="1694" operator="lessThan">
      <formula>0</formula>
    </cfRule>
  </conditionalFormatting>
  <conditionalFormatting sqref="R32:R39">
    <cfRule type="cellIs" dxfId="9108" priority="1692" operator="lessThan">
      <formula>0.8</formula>
    </cfRule>
    <cfRule type="cellIs" dxfId="9107" priority="1693" operator="greaterThan">
      <formula>1</formula>
    </cfRule>
  </conditionalFormatting>
  <conditionalFormatting sqref="R32:R39">
    <cfRule type="cellIs" dxfId="9106" priority="1690" operator="greaterThan">
      <formula>1</formula>
    </cfRule>
    <cfRule type="cellIs" dxfId="9105" priority="1691" operator="lessThan">
      <formula>0.8</formula>
    </cfRule>
  </conditionalFormatting>
  <conditionalFormatting sqref="P32:P39">
    <cfRule type="cellIs" dxfId="9104" priority="1689" operator="greaterThan">
      <formula>0</formula>
    </cfRule>
  </conditionalFormatting>
  <conditionalFormatting sqref="Q32:Q39">
    <cfRule type="cellIs" dxfId="9103" priority="1688" operator="lessThan">
      <formula>0</formula>
    </cfRule>
  </conditionalFormatting>
  <conditionalFormatting sqref="R32:R39">
    <cfRule type="cellIs" dxfId="9102" priority="1686" operator="lessThan">
      <formula>0.8</formula>
    </cfRule>
    <cfRule type="cellIs" dxfId="9101" priority="1687" operator="greaterThan">
      <formula>1</formula>
    </cfRule>
  </conditionalFormatting>
  <conditionalFormatting sqref="R32:R39">
    <cfRule type="cellIs" dxfId="9100" priority="1684" operator="greaterThan">
      <formula>1</formula>
    </cfRule>
    <cfRule type="cellIs" dxfId="9099" priority="1685" operator="lessThan">
      <formula>0.8</formula>
    </cfRule>
  </conditionalFormatting>
  <conditionalFormatting sqref="P32:P39">
    <cfRule type="cellIs" dxfId="9098" priority="1683" operator="greaterThan">
      <formula>0</formula>
    </cfRule>
  </conditionalFormatting>
  <conditionalFormatting sqref="Q32:Q39">
    <cfRule type="cellIs" dxfId="9097" priority="1682" operator="lessThan">
      <formula>0</formula>
    </cfRule>
  </conditionalFormatting>
  <conditionalFormatting sqref="R32:R39">
    <cfRule type="cellIs" dxfId="9096" priority="1680" operator="lessThan">
      <formula>0.8</formula>
    </cfRule>
    <cfRule type="cellIs" dxfId="9095" priority="1681" operator="greaterThan">
      <formula>1</formula>
    </cfRule>
  </conditionalFormatting>
  <conditionalFormatting sqref="R32:R39">
    <cfRule type="cellIs" dxfId="9094" priority="1678" operator="greaterThan">
      <formula>1</formula>
    </cfRule>
    <cfRule type="cellIs" dxfId="9093" priority="1679" operator="lessThan">
      <formula>0.8</formula>
    </cfRule>
  </conditionalFormatting>
  <conditionalFormatting sqref="P32:P39">
    <cfRule type="cellIs" dxfId="9092" priority="1677" operator="greaterThan">
      <formula>0</formula>
    </cfRule>
  </conditionalFormatting>
  <conditionalFormatting sqref="Q32:Q39">
    <cfRule type="cellIs" dxfId="9091" priority="1676" operator="lessThan">
      <formula>0</formula>
    </cfRule>
  </conditionalFormatting>
  <conditionalFormatting sqref="R32:R39">
    <cfRule type="cellIs" dxfId="9090" priority="1674" operator="lessThan">
      <formula>0.8</formula>
    </cfRule>
    <cfRule type="cellIs" dxfId="9089" priority="1675" operator="greaterThan">
      <formula>1</formula>
    </cfRule>
  </conditionalFormatting>
  <conditionalFormatting sqref="R32:R39">
    <cfRule type="cellIs" dxfId="9088" priority="1672" operator="greaterThan">
      <formula>1</formula>
    </cfRule>
    <cfRule type="cellIs" dxfId="9087" priority="1673" operator="lessThan">
      <formula>0.8</formula>
    </cfRule>
  </conditionalFormatting>
  <conditionalFormatting sqref="P32:P39">
    <cfRule type="cellIs" dxfId="9086" priority="1671" operator="greaterThan">
      <formula>0</formula>
    </cfRule>
  </conditionalFormatting>
  <conditionalFormatting sqref="P32:P39">
    <cfRule type="cellIs" dxfId="9085" priority="1665" operator="greaterThan">
      <formula>0</formula>
    </cfRule>
  </conditionalFormatting>
  <conditionalFormatting sqref="Q32:Q39">
    <cfRule type="cellIs" dxfId="9084" priority="1670" operator="lessThan">
      <formula>0</formula>
    </cfRule>
  </conditionalFormatting>
  <conditionalFormatting sqref="R32:R39">
    <cfRule type="cellIs" dxfId="9083" priority="1668" operator="lessThan">
      <formula>0.8</formula>
    </cfRule>
    <cfRule type="cellIs" dxfId="9082" priority="1669" operator="greaterThan">
      <formula>1</formula>
    </cfRule>
  </conditionalFormatting>
  <conditionalFormatting sqref="R32:R39">
    <cfRule type="cellIs" dxfId="9081" priority="1666" operator="greaterThan">
      <formula>1</formula>
    </cfRule>
    <cfRule type="cellIs" dxfId="9080" priority="1667" operator="lessThan">
      <formula>0.8</formula>
    </cfRule>
  </conditionalFormatting>
  <conditionalFormatting sqref="P32:P39">
    <cfRule type="cellIs" dxfId="9079" priority="1659" operator="greaterThan">
      <formula>0</formula>
    </cfRule>
  </conditionalFormatting>
  <conditionalFormatting sqref="Q32:Q39">
    <cfRule type="cellIs" dxfId="9078" priority="1664" operator="lessThan">
      <formula>0</formula>
    </cfRule>
  </conditionalFormatting>
  <conditionalFormatting sqref="R32:R39">
    <cfRule type="cellIs" dxfId="9077" priority="1662" operator="lessThan">
      <formula>0.8</formula>
    </cfRule>
    <cfRule type="cellIs" dxfId="9076" priority="1663" operator="greaterThan">
      <formula>1</formula>
    </cfRule>
  </conditionalFormatting>
  <conditionalFormatting sqref="R32:R39">
    <cfRule type="cellIs" dxfId="9075" priority="1660" operator="greaterThan">
      <formula>1</formula>
    </cfRule>
    <cfRule type="cellIs" dxfId="9074" priority="1661" operator="lessThan">
      <formula>0.8</formula>
    </cfRule>
  </conditionalFormatting>
  <conditionalFormatting sqref="R32:R39">
    <cfRule type="cellIs" dxfId="9073" priority="1656" operator="lessThan">
      <formula>0.8</formula>
    </cfRule>
    <cfRule type="cellIs" dxfId="9072" priority="1657" operator="greaterThan">
      <formula>1</formula>
    </cfRule>
  </conditionalFormatting>
  <conditionalFormatting sqref="R32:R39">
    <cfRule type="cellIs" dxfId="9071" priority="1654" operator="greaterThan">
      <formula>1</formula>
    </cfRule>
    <cfRule type="cellIs" dxfId="9070" priority="1655" operator="lessThan">
      <formula>0.8</formula>
    </cfRule>
  </conditionalFormatting>
  <conditionalFormatting sqref="P32:P39">
    <cfRule type="cellIs" dxfId="9069" priority="1653" operator="greaterThan">
      <formula>0</formula>
    </cfRule>
  </conditionalFormatting>
  <conditionalFormatting sqref="Q32:Q39">
    <cfRule type="cellIs" dxfId="9068" priority="1658" operator="lessThan">
      <formula>0</formula>
    </cfRule>
  </conditionalFormatting>
  <conditionalFormatting sqref="Q32:Q39">
    <cfRule type="cellIs" dxfId="9067" priority="1652" operator="lessThan">
      <formula>0</formula>
    </cfRule>
  </conditionalFormatting>
  <conditionalFormatting sqref="R32:R39">
    <cfRule type="cellIs" dxfId="9066" priority="1650" operator="lessThan">
      <formula>0.8</formula>
    </cfRule>
    <cfRule type="cellIs" dxfId="9065" priority="1651" operator="greaterThan">
      <formula>1</formula>
    </cfRule>
  </conditionalFormatting>
  <conditionalFormatting sqref="R32:R39">
    <cfRule type="cellIs" dxfId="9064" priority="1648" operator="greaterThan">
      <formula>1</formula>
    </cfRule>
    <cfRule type="cellIs" dxfId="9063" priority="1649" operator="lessThan">
      <formula>0.8</formula>
    </cfRule>
  </conditionalFormatting>
  <conditionalFormatting sqref="P32:P39">
    <cfRule type="cellIs" dxfId="9062" priority="1647" operator="greaterThan">
      <formula>0</formula>
    </cfRule>
  </conditionalFormatting>
  <conditionalFormatting sqref="P32:P39">
    <cfRule type="cellIs" dxfId="9061" priority="1641" operator="greaterThan">
      <formula>0</formula>
    </cfRule>
  </conditionalFormatting>
  <conditionalFormatting sqref="Q32:Q39">
    <cfRule type="cellIs" dxfId="9060" priority="1646" operator="lessThan">
      <formula>0</formula>
    </cfRule>
  </conditionalFormatting>
  <conditionalFormatting sqref="R32:R39">
    <cfRule type="cellIs" dxfId="9059" priority="1644" operator="lessThan">
      <formula>0.8</formula>
    </cfRule>
    <cfRule type="cellIs" dxfId="9058" priority="1645" operator="greaterThan">
      <formula>1</formula>
    </cfRule>
  </conditionalFormatting>
  <conditionalFormatting sqref="R32:R39">
    <cfRule type="cellIs" dxfId="9057" priority="1642" operator="greaterThan">
      <formula>1</formula>
    </cfRule>
    <cfRule type="cellIs" dxfId="9056" priority="1643" operator="lessThan">
      <formula>0.8</formula>
    </cfRule>
  </conditionalFormatting>
  <conditionalFormatting sqref="P32:P39">
    <cfRule type="cellIs" dxfId="9055" priority="1635" operator="greaterThan">
      <formula>0</formula>
    </cfRule>
  </conditionalFormatting>
  <conditionalFormatting sqref="Q32:Q39">
    <cfRule type="cellIs" dxfId="9054" priority="1640" operator="lessThan">
      <formula>0</formula>
    </cfRule>
  </conditionalFormatting>
  <conditionalFormatting sqref="R32:R39">
    <cfRule type="cellIs" dxfId="9053" priority="1638" operator="lessThan">
      <formula>0.8</formula>
    </cfRule>
    <cfRule type="cellIs" dxfId="9052" priority="1639" operator="greaterThan">
      <formula>1</formula>
    </cfRule>
  </conditionalFormatting>
  <conditionalFormatting sqref="R32:R39">
    <cfRule type="cellIs" dxfId="9051" priority="1636" operator="greaterThan">
      <formula>1</formula>
    </cfRule>
    <cfRule type="cellIs" dxfId="9050" priority="1637" operator="lessThan">
      <formula>0.8</formula>
    </cfRule>
  </conditionalFormatting>
  <conditionalFormatting sqref="R32:R39">
    <cfRule type="cellIs" dxfId="9049" priority="1632" operator="lessThan">
      <formula>0.8</formula>
    </cfRule>
    <cfRule type="cellIs" dxfId="9048" priority="1633" operator="greaterThan">
      <formula>1</formula>
    </cfRule>
  </conditionalFormatting>
  <conditionalFormatting sqref="R32:R39">
    <cfRule type="cellIs" dxfId="9047" priority="1630" operator="greaterThan">
      <formula>1</formula>
    </cfRule>
    <cfRule type="cellIs" dxfId="9046" priority="1631" operator="lessThan">
      <formula>0.8</formula>
    </cfRule>
  </conditionalFormatting>
  <conditionalFormatting sqref="P32:P39">
    <cfRule type="cellIs" dxfId="9045" priority="1629" operator="greaterThan">
      <formula>0</formula>
    </cfRule>
  </conditionalFormatting>
  <conditionalFormatting sqref="Q32:Q39">
    <cfRule type="cellIs" dxfId="9044" priority="1634" operator="lessThan">
      <formula>0</formula>
    </cfRule>
  </conditionalFormatting>
  <conditionalFormatting sqref="P32:P39">
    <cfRule type="cellIs" dxfId="9043" priority="1623" operator="greaterThan">
      <formula>0</formula>
    </cfRule>
  </conditionalFormatting>
  <conditionalFormatting sqref="Q32:Q39">
    <cfRule type="cellIs" dxfId="9042" priority="1628" operator="lessThan">
      <formula>0</formula>
    </cfRule>
  </conditionalFormatting>
  <conditionalFormatting sqref="R32:R39">
    <cfRule type="cellIs" dxfId="9041" priority="1626" operator="lessThan">
      <formula>0.8</formula>
    </cfRule>
    <cfRule type="cellIs" dxfId="9040" priority="1627" operator="greaterThan">
      <formula>1</formula>
    </cfRule>
  </conditionalFormatting>
  <conditionalFormatting sqref="R32:R39">
    <cfRule type="cellIs" dxfId="9039" priority="1624" operator="greaterThan">
      <formula>1</formula>
    </cfRule>
    <cfRule type="cellIs" dxfId="9038" priority="1625" operator="lessThan">
      <formula>0.8</formula>
    </cfRule>
  </conditionalFormatting>
  <conditionalFormatting sqref="R32:R39">
    <cfRule type="cellIs" dxfId="9037" priority="1620" operator="lessThan">
      <formula>0.8</formula>
    </cfRule>
    <cfRule type="cellIs" dxfId="9036" priority="1621" operator="greaterThan">
      <formula>1</formula>
    </cfRule>
  </conditionalFormatting>
  <conditionalFormatting sqref="R32:R39">
    <cfRule type="cellIs" dxfId="9035" priority="1618" operator="greaterThan">
      <formula>1</formula>
    </cfRule>
    <cfRule type="cellIs" dxfId="9034" priority="1619" operator="lessThan">
      <formula>0.8</formula>
    </cfRule>
  </conditionalFormatting>
  <conditionalFormatting sqref="P32:P39">
    <cfRule type="cellIs" dxfId="9033" priority="1617" operator="greaterThan">
      <formula>0</formula>
    </cfRule>
  </conditionalFormatting>
  <conditionalFormatting sqref="Q32:Q39">
    <cfRule type="cellIs" dxfId="9032" priority="1622" operator="lessThan">
      <formula>0</formula>
    </cfRule>
  </conditionalFormatting>
  <conditionalFormatting sqref="R32:R39">
    <cfRule type="cellIs" dxfId="9031" priority="1614" operator="lessThan">
      <formula>0.8</formula>
    </cfRule>
    <cfRule type="cellIs" dxfId="9030" priority="1615" operator="greaterThan">
      <formula>1</formula>
    </cfRule>
  </conditionalFormatting>
  <conditionalFormatting sqref="R32:R39">
    <cfRule type="cellIs" dxfId="9029" priority="1612" operator="greaterThan">
      <formula>1</formula>
    </cfRule>
    <cfRule type="cellIs" dxfId="9028" priority="1613" operator="lessThan">
      <formula>0.8</formula>
    </cfRule>
  </conditionalFormatting>
  <conditionalFormatting sqref="P32:P39">
    <cfRule type="cellIs" dxfId="9027" priority="1611" operator="greaterThan">
      <formula>0</formula>
    </cfRule>
  </conditionalFormatting>
  <conditionalFormatting sqref="Q32:Q39">
    <cfRule type="cellIs" dxfId="9026" priority="1616" operator="lessThan">
      <formula>0</formula>
    </cfRule>
  </conditionalFormatting>
  <conditionalFormatting sqref="Q32:Q39">
    <cfRule type="cellIs" dxfId="9025" priority="1610" operator="lessThan">
      <formula>0</formula>
    </cfRule>
  </conditionalFormatting>
  <conditionalFormatting sqref="R32:R39">
    <cfRule type="cellIs" dxfId="9024" priority="1608" operator="lessThan">
      <formula>0.8</formula>
    </cfRule>
    <cfRule type="cellIs" dxfId="9023" priority="1609" operator="greaterThan">
      <formula>1</formula>
    </cfRule>
  </conditionalFormatting>
  <conditionalFormatting sqref="R32:R39">
    <cfRule type="cellIs" dxfId="9022" priority="1606" operator="greaterThan">
      <formula>1</formula>
    </cfRule>
    <cfRule type="cellIs" dxfId="9021" priority="1607" operator="lessThan">
      <formula>0.8</formula>
    </cfRule>
  </conditionalFormatting>
  <conditionalFormatting sqref="P32:P39">
    <cfRule type="cellIs" dxfId="9020" priority="1605" operator="greaterThan">
      <formula>0</formula>
    </cfRule>
  </conditionalFormatting>
  <conditionalFormatting sqref="Q32:Q39">
    <cfRule type="cellIs" dxfId="9019" priority="1599" operator="lessThan">
      <formula>0</formula>
    </cfRule>
  </conditionalFormatting>
  <conditionalFormatting sqref="R32:R39">
    <cfRule type="cellIs" dxfId="9018" priority="1603" operator="lessThan">
      <formula>0.8</formula>
    </cfRule>
    <cfRule type="cellIs" dxfId="9017" priority="1604" operator="greaterThan">
      <formula>1</formula>
    </cfRule>
  </conditionalFormatting>
  <conditionalFormatting sqref="R32:R39">
    <cfRule type="cellIs" dxfId="9016" priority="1601" operator="greaterThan">
      <formula>1</formula>
    </cfRule>
    <cfRule type="cellIs" dxfId="9015" priority="1602" operator="lessThan">
      <formula>0.8</formula>
    </cfRule>
  </conditionalFormatting>
  <conditionalFormatting sqref="P32:P39">
    <cfRule type="cellIs" dxfId="9014" priority="1600" operator="greaterThan">
      <formula>0</formula>
    </cfRule>
  </conditionalFormatting>
  <conditionalFormatting sqref="Q32:Q39">
    <cfRule type="cellIs" dxfId="9013" priority="1598" operator="lessThan">
      <formula>0</formula>
    </cfRule>
  </conditionalFormatting>
  <conditionalFormatting sqref="R32:R39">
    <cfRule type="cellIs" dxfId="9012" priority="1596" operator="lessThan">
      <formula>0.8</formula>
    </cfRule>
    <cfRule type="cellIs" dxfId="9011" priority="1597" operator="greaterThan">
      <formula>1</formula>
    </cfRule>
  </conditionalFormatting>
  <conditionalFormatting sqref="R32:R39">
    <cfRule type="cellIs" dxfId="9010" priority="1594" operator="greaterThan">
      <formula>1</formula>
    </cfRule>
    <cfRule type="cellIs" dxfId="9009" priority="1595" operator="lessThan">
      <formula>0.8</formula>
    </cfRule>
  </conditionalFormatting>
  <conditionalFormatting sqref="P32:P39">
    <cfRule type="cellIs" dxfId="9008" priority="1593" operator="greaterThan">
      <formula>0</formula>
    </cfRule>
  </conditionalFormatting>
  <conditionalFormatting sqref="Q32:Q39">
    <cfRule type="cellIs" dxfId="9007" priority="1592" operator="lessThan">
      <formula>0</formula>
    </cfRule>
  </conditionalFormatting>
  <conditionalFormatting sqref="R32:R39">
    <cfRule type="cellIs" dxfId="9006" priority="1590" operator="lessThan">
      <formula>0.8</formula>
    </cfRule>
    <cfRule type="cellIs" dxfId="9005" priority="1591" operator="greaterThan">
      <formula>1</formula>
    </cfRule>
  </conditionalFormatting>
  <conditionalFormatting sqref="R32:R39">
    <cfRule type="cellIs" dxfId="9004" priority="1588" operator="greaterThan">
      <formula>1</formula>
    </cfRule>
    <cfRule type="cellIs" dxfId="9003" priority="1589" operator="lessThan">
      <formula>0.8</formula>
    </cfRule>
  </conditionalFormatting>
  <conditionalFormatting sqref="P32:P39">
    <cfRule type="cellIs" dxfId="9002" priority="1587" operator="greaterThan">
      <formula>0</formula>
    </cfRule>
  </conditionalFormatting>
  <conditionalFormatting sqref="Q32:Q39">
    <cfRule type="cellIs" dxfId="9001" priority="1586" operator="lessThan">
      <formula>0</formula>
    </cfRule>
  </conditionalFormatting>
  <conditionalFormatting sqref="R32:R39">
    <cfRule type="cellIs" dxfId="9000" priority="1584" operator="lessThan">
      <formula>0.8</formula>
    </cfRule>
    <cfRule type="cellIs" dxfId="8999" priority="1585" operator="greaterThan">
      <formula>1</formula>
    </cfRule>
  </conditionalFormatting>
  <conditionalFormatting sqref="R32:R39">
    <cfRule type="cellIs" dxfId="8998" priority="1582" operator="greaterThan">
      <formula>1</formula>
    </cfRule>
    <cfRule type="cellIs" dxfId="8997" priority="1583" operator="lessThan">
      <formula>0.8</formula>
    </cfRule>
  </conditionalFormatting>
  <conditionalFormatting sqref="P32:P39">
    <cfRule type="cellIs" dxfId="8996" priority="1581" operator="greaterThan">
      <formula>0</formula>
    </cfRule>
  </conditionalFormatting>
  <conditionalFormatting sqref="Q32:Q39">
    <cfRule type="cellIs" dxfId="8995" priority="1580" operator="lessThan">
      <formula>0</formula>
    </cfRule>
  </conditionalFormatting>
  <conditionalFormatting sqref="R32:R39">
    <cfRule type="cellIs" dxfId="8994" priority="1578" operator="lessThan">
      <formula>0.8</formula>
    </cfRule>
    <cfRule type="cellIs" dxfId="8993" priority="1579" operator="greaterThan">
      <formula>1</formula>
    </cfRule>
  </conditionalFormatting>
  <conditionalFormatting sqref="R32:R39">
    <cfRule type="cellIs" dxfId="8992" priority="1576" operator="greaterThan">
      <formula>1</formula>
    </cfRule>
    <cfRule type="cellIs" dxfId="8991" priority="1577" operator="lessThan">
      <formula>0.8</formula>
    </cfRule>
  </conditionalFormatting>
  <conditionalFormatting sqref="P32:P39">
    <cfRule type="cellIs" dxfId="8990" priority="1575" operator="greaterThan">
      <formula>0</formula>
    </cfRule>
  </conditionalFormatting>
  <conditionalFormatting sqref="Q32:Q39">
    <cfRule type="cellIs" dxfId="8989" priority="1574" operator="lessThan">
      <formula>0</formula>
    </cfRule>
  </conditionalFormatting>
  <conditionalFormatting sqref="R32:R39">
    <cfRule type="cellIs" dxfId="8988" priority="1572" operator="lessThan">
      <formula>0.8</formula>
    </cfRule>
    <cfRule type="cellIs" dxfId="8987" priority="1573" operator="greaterThan">
      <formula>1</formula>
    </cfRule>
  </conditionalFormatting>
  <conditionalFormatting sqref="R32:R39">
    <cfRule type="cellIs" dxfId="8986" priority="1570" operator="greaterThan">
      <formula>1</formula>
    </cfRule>
    <cfRule type="cellIs" dxfId="8985" priority="1571" operator="lessThan">
      <formula>0.8</formula>
    </cfRule>
  </conditionalFormatting>
  <conditionalFormatting sqref="P32:P39">
    <cfRule type="cellIs" dxfId="8984" priority="1569" operator="greaterThan">
      <formula>0</formula>
    </cfRule>
  </conditionalFormatting>
  <conditionalFormatting sqref="P32:P39">
    <cfRule type="cellIs" dxfId="8983" priority="1563" operator="greaterThan">
      <formula>0</formula>
    </cfRule>
  </conditionalFormatting>
  <conditionalFormatting sqref="Q32:Q39">
    <cfRule type="cellIs" dxfId="8982" priority="1568" operator="lessThan">
      <formula>0</formula>
    </cfRule>
  </conditionalFormatting>
  <conditionalFormatting sqref="R32:R39">
    <cfRule type="cellIs" dxfId="8981" priority="1566" operator="lessThan">
      <formula>0.8</formula>
    </cfRule>
    <cfRule type="cellIs" dxfId="8980" priority="1567" operator="greaterThan">
      <formula>1</formula>
    </cfRule>
  </conditionalFormatting>
  <conditionalFormatting sqref="R32:R39">
    <cfRule type="cellIs" dxfId="8979" priority="1564" operator="greaterThan">
      <formula>1</formula>
    </cfRule>
    <cfRule type="cellIs" dxfId="8978" priority="1565" operator="lessThan">
      <formula>0.8</formula>
    </cfRule>
  </conditionalFormatting>
  <conditionalFormatting sqref="P32:P39">
    <cfRule type="cellIs" dxfId="8977" priority="1557" operator="greaterThan">
      <formula>0</formula>
    </cfRule>
  </conditionalFormatting>
  <conditionalFormatting sqref="Q32:Q39">
    <cfRule type="cellIs" dxfId="8976" priority="1562" operator="lessThan">
      <formula>0</formula>
    </cfRule>
  </conditionalFormatting>
  <conditionalFormatting sqref="R32:R39">
    <cfRule type="cellIs" dxfId="8975" priority="1560" operator="lessThan">
      <formula>0.8</formula>
    </cfRule>
    <cfRule type="cellIs" dxfId="8974" priority="1561" operator="greaterThan">
      <formula>1</formula>
    </cfRule>
  </conditionalFormatting>
  <conditionalFormatting sqref="R32:R39">
    <cfRule type="cellIs" dxfId="8973" priority="1558" operator="greaterThan">
      <formula>1</formula>
    </cfRule>
    <cfRule type="cellIs" dxfId="8972" priority="1559" operator="lessThan">
      <formula>0.8</formula>
    </cfRule>
  </conditionalFormatting>
  <conditionalFormatting sqref="R32:R39">
    <cfRule type="cellIs" dxfId="8971" priority="1554" operator="lessThan">
      <formula>0.8</formula>
    </cfRule>
    <cfRule type="cellIs" dxfId="8970" priority="1555" operator="greaterThan">
      <formula>1</formula>
    </cfRule>
  </conditionalFormatting>
  <conditionalFormatting sqref="R32:R39">
    <cfRule type="cellIs" dxfId="8969" priority="1552" operator="greaterThan">
      <formula>1</formula>
    </cfRule>
    <cfRule type="cellIs" dxfId="8968" priority="1553" operator="lessThan">
      <formula>0.8</formula>
    </cfRule>
  </conditionalFormatting>
  <conditionalFormatting sqref="P32:P39">
    <cfRule type="cellIs" dxfId="8967" priority="1551" operator="greaterThan">
      <formula>0</formula>
    </cfRule>
  </conditionalFormatting>
  <conditionalFormatting sqref="Q32:Q39">
    <cfRule type="cellIs" dxfId="8966" priority="1556" operator="lessThan">
      <formula>0</formula>
    </cfRule>
  </conditionalFormatting>
  <conditionalFormatting sqref="Q32:Q39">
    <cfRule type="cellIs" dxfId="8965" priority="1545" operator="lessThan">
      <formula>0</formula>
    </cfRule>
  </conditionalFormatting>
  <conditionalFormatting sqref="P32:P39">
    <cfRule type="cellIs" dxfId="8964" priority="1546" operator="greaterThan">
      <formula>0</formula>
    </cfRule>
  </conditionalFormatting>
  <conditionalFormatting sqref="R32:R39">
    <cfRule type="cellIs" dxfId="8963" priority="1549" operator="lessThan">
      <formula>0.8</formula>
    </cfRule>
    <cfRule type="cellIs" dxfId="8962" priority="1550" operator="greaterThan">
      <formula>1</formula>
    </cfRule>
  </conditionalFormatting>
  <conditionalFormatting sqref="R32:R39">
    <cfRule type="cellIs" dxfId="8961" priority="1547" operator="greaterThan">
      <formula>1</formula>
    </cfRule>
    <cfRule type="cellIs" dxfId="8960" priority="1548" operator="lessThan">
      <formula>0.8</formula>
    </cfRule>
  </conditionalFormatting>
  <conditionalFormatting sqref="Q32:Q39">
    <cfRule type="cellIs" dxfId="8959" priority="1539" operator="lessThan">
      <formula>0</formula>
    </cfRule>
  </conditionalFormatting>
  <conditionalFormatting sqref="R32:R39">
    <cfRule type="cellIs" dxfId="8958" priority="1543" operator="lessThan">
      <formula>0.8</formula>
    </cfRule>
    <cfRule type="cellIs" dxfId="8957" priority="1544" operator="greaterThan">
      <formula>1</formula>
    </cfRule>
  </conditionalFormatting>
  <conditionalFormatting sqref="R32:R39">
    <cfRule type="cellIs" dxfId="8956" priority="1541" operator="greaterThan">
      <formula>1</formula>
    </cfRule>
    <cfRule type="cellIs" dxfId="8955" priority="1542" operator="lessThan">
      <formula>0.8</formula>
    </cfRule>
  </conditionalFormatting>
  <conditionalFormatting sqref="P32:P39">
    <cfRule type="cellIs" dxfId="8954" priority="1540" operator="greaterThan">
      <formula>0</formula>
    </cfRule>
  </conditionalFormatting>
  <conditionalFormatting sqref="Q32:Q39">
    <cfRule type="cellIs" dxfId="8953" priority="1538" operator="lessThan">
      <formula>0</formula>
    </cfRule>
  </conditionalFormatting>
  <conditionalFormatting sqref="R32:R39">
    <cfRule type="cellIs" dxfId="8952" priority="1536" operator="lessThan">
      <formula>0.8</formula>
    </cfRule>
    <cfRule type="cellIs" dxfId="8951" priority="1537" operator="greaterThan">
      <formula>1</formula>
    </cfRule>
  </conditionalFormatting>
  <conditionalFormatting sqref="R32:R39">
    <cfRule type="cellIs" dxfId="8950" priority="1534" operator="greaterThan">
      <formula>1</formula>
    </cfRule>
    <cfRule type="cellIs" dxfId="8949" priority="1535" operator="lessThan">
      <formula>0.8</formula>
    </cfRule>
  </conditionalFormatting>
  <conditionalFormatting sqref="P32:P39">
    <cfRule type="cellIs" dxfId="8948" priority="1533" operator="greaterThan">
      <formula>0</formula>
    </cfRule>
  </conditionalFormatting>
  <conditionalFormatting sqref="Q32:Q39">
    <cfRule type="cellIs" dxfId="8947" priority="1532" operator="lessThan">
      <formula>0</formula>
    </cfRule>
  </conditionalFormatting>
  <conditionalFormatting sqref="R32:R39">
    <cfRule type="cellIs" dxfId="8946" priority="1530" operator="lessThan">
      <formula>0.8</formula>
    </cfRule>
    <cfRule type="cellIs" dxfId="8945" priority="1531" operator="greaterThan">
      <formula>1</formula>
    </cfRule>
  </conditionalFormatting>
  <conditionalFormatting sqref="R32:R39">
    <cfRule type="cellIs" dxfId="8944" priority="1528" operator="greaterThan">
      <formula>1</formula>
    </cfRule>
    <cfRule type="cellIs" dxfId="8943" priority="1529" operator="lessThan">
      <formula>0.8</formula>
    </cfRule>
  </conditionalFormatting>
  <conditionalFormatting sqref="P32:P39">
    <cfRule type="cellIs" dxfId="8942" priority="1527" operator="greaterThan">
      <formula>0</formula>
    </cfRule>
  </conditionalFormatting>
  <conditionalFormatting sqref="Q32:Q39">
    <cfRule type="cellIs" dxfId="8941" priority="1526" operator="lessThan">
      <formula>0</formula>
    </cfRule>
  </conditionalFormatting>
  <conditionalFormatting sqref="R32:R39">
    <cfRule type="cellIs" dxfId="8940" priority="1524" operator="lessThan">
      <formula>0.8</formula>
    </cfRule>
    <cfRule type="cellIs" dxfId="8939" priority="1525" operator="greaterThan">
      <formula>1</formula>
    </cfRule>
  </conditionalFormatting>
  <conditionalFormatting sqref="R32:R39">
    <cfRule type="cellIs" dxfId="8938" priority="1522" operator="greaterThan">
      <formula>1</formula>
    </cfRule>
    <cfRule type="cellIs" dxfId="8937" priority="1523" operator="lessThan">
      <formula>0.8</formula>
    </cfRule>
  </conditionalFormatting>
  <conditionalFormatting sqref="P32:P39">
    <cfRule type="cellIs" dxfId="8936" priority="1521" operator="greaterThan">
      <formula>0</formula>
    </cfRule>
  </conditionalFormatting>
  <conditionalFormatting sqref="Q32:Q39">
    <cfRule type="cellIs" dxfId="8935" priority="1520" operator="lessThan">
      <formula>0</formula>
    </cfRule>
  </conditionalFormatting>
  <conditionalFormatting sqref="R32:R39">
    <cfRule type="cellIs" dxfId="8934" priority="1518" operator="lessThan">
      <formula>0.8</formula>
    </cfRule>
    <cfRule type="cellIs" dxfId="8933" priority="1519" operator="greaterThan">
      <formula>1</formula>
    </cfRule>
  </conditionalFormatting>
  <conditionalFormatting sqref="R32:R39">
    <cfRule type="cellIs" dxfId="8932" priority="1516" operator="greaterThan">
      <formula>1</formula>
    </cfRule>
    <cfRule type="cellIs" dxfId="8931" priority="1517" operator="lessThan">
      <formula>0.8</formula>
    </cfRule>
  </conditionalFormatting>
  <conditionalFormatting sqref="P32:P39">
    <cfRule type="cellIs" dxfId="8930" priority="1515" operator="greaterThan">
      <formula>0</formula>
    </cfRule>
  </conditionalFormatting>
  <conditionalFormatting sqref="Q97 Q99 Q101:Q104">
    <cfRule type="cellIs" dxfId="8929" priority="1514" operator="lessThan">
      <formula>0</formula>
    </cfRule>
  </conditionalFormatting>
  <conditionalFormatting sqref="P97 P99 P101:P104">
    <cfRule type="cellIs" dxfId="8928" priority="1513" operator="greaterThan">
      <formula>0</formula>
    </cfRule>
  </conditionalFormatting>
  <conditionalFormatting sqref="P97 P99 P101:P104">
    <cfRule type="cellIs" dxfId="8927" priority="1511" operator="greaterThan">
      <formula>0</formula>
    </cfRule>
  </conditionalFormatting>
  <conditionalFormatting sqref="Q97 Q99 Q101:Q104">
    <cfRule type="cellIs" dxfId="8926" priority="1512" operator="lessThan">
      <formula>0</formula>
    </cfRule>
  </conditionalFormatting>
  <conditionalFormatting sqref="P97 P99 P101:P104">
    <cfRule type="cellIs" dxfId="8925" priority="1509" operator="greaterThan">
      <formula>0</formula>
    </cfRule>
  </conditionalFormatting>
  <conditionalFormatting sqref="Q97 Q99 Q101:Q104">
    <cfRule type="cellIs" dxfId="8924" priority="1510" operator="lessThan">
      <formula>0</formula>
    </cfRule>
  </conditionalFormatting>
  <conditionalFormatting sqref="Q97 Q99 Q101:Q104">
    <cfRule type="cellIs" dxfId="8923" priority="1508" operator="lessThan">
      <formula>0</formula>
    </cfRule>
  </conditionalFormatting>
  <conditionalFormatting sqref="P97 P99 P101:P104">
    <cfRule type="cellIs" dxfId="8922" priority="1507" operator="greaterThan">
      <formula>0</formula>
    </cfRule>
  </conditionalFormatting>
  <conditionalFormatting sqref="P97 P99 P101:P104">
    <cfRule type="cellIs" dxfId="8921" priority="1505" operator="greaterThan">
      <formula>0</formula>
    </cfRule>
  </conditionalFormatting>
  <conditionalFormatting sqref="Q97 Q99 Q101:Q104">
    <cfRule type="cellIs" dxfId="8920" priority="1506" operator="lessThan">
      <formula>0</formula>
    </cfRule>
  </conditionalFormatting>
  <conditionalFormatting sqref="Q97 Q99 Q101:Q104">
    <cfRule type="cellIs" dxfId="8919" priority="1504" operator="lessThan">
      <formula>0</formula>
    </cfRule>
  </conditionalFormatting>
  <conditionalFormatting sqref="P97 P99 P101:P104">
    <cfRule type="cellIs" dxfId="8918" priority="1503" operator="greaterThan">
      <formula>0</formula>
    </cfRule>
  </conditionalFormatting>
  <conditionalFormatting sqref="Q97 Q99 Q101:Q104">
    <cfRule type="cellIs" dxfId="8917" priority="1501" operator="lessThan">
      <formula>0</formula>
    </cfRule>
  </conditionalFormatting>
  <conditionalFormatting sqref="P97 P99 P101:P104">
    <cfRule type="cellIs" dxfId="8916" priority="1502" operator="greaterThan">
      <formula>0</formula>
    </cfRule>
  </conditionalFormatting>
  <conditionalFormatting sqref="Q97 Q99 Q101:Q104">
    <cfRule type="cellIs" dxfId="8915" priority="1500" operator="lessThan">
      <formula>0</formula>
    </cfRule>
  </conditionalFormatting>
  <conditionalFormatting sqref="P97 P99 P101:P104">
    <cfRule type="cellIs" dxfId="8914" priority="1499" operator="greaterThan">
      <formula>0</formula>
    </cfRule>
  </conditionalFormatting>
  <conditionalFormatting sqref="Q97 Q99 Q101:Q104">
    <cfRule type="cellIs" dxfId="8913" priority="1498" operator="lessThan">
      <formula>0</formula>
    </cfRule>
  </conditionalFormatting>
  <conditionalFormatting sqref="P97 P99 P101:P104">
    <cfRule type="cellIs" dxfId="8912" priority="1497" operator="greaterThan">
      <formula>0</formula>
    </cfRule>
  </conditionalFormatting>
  <conditionalFormatting sqref="Q97 Q99 Q101:Q104">
    <cfRule type="cellIs" dxfId="8911" priority="1496" operator="lessThan">
      <formula>0</formula>
    </cfRule>
  </conditionalFormatting>
  <conditionalFormatting sqref="P97 P99 P101:P104">
    <cfRule type="cellIs" dxfId="8910" priority="1495" operator="greaterThan">
      <formula>0</formula>
    </cfRule>
  </conditionalFormatting>
  <conditionalFormatting sqref="Q97 Q99 Q101:Q104">
    <cfRule type="cellIs" dxfId="8909" priority="1494" operator="lessThan">
      <formula>0</formula>
    </cfRule>
  </conditionalFormatting>
  <conditionalFormatting sqref="P97 P99 P101:P104">
    <cfRule type="cellIs" dxfId="8908" priority="1493" operator="greaterThan">
      <formula>0</formula>
    </cfRule>
  </conditionalFormatting>
  <conditionalFormatting sqref="Q97 Q99 Q101:Q104">
    <cfRule type="cellIs" dxfId="8907" priority="1492" operator="lessThan">
      <formula>0</formula>
    </cfRule>
  </conditionalFormatting>
  <conditionalFormatting sqref="P97 P99 P101:P104">
    <cfRule type="cellIs" dxfId="8906" priority="1491" operator="greaterThan">
      <formula>0</formula>
    </cfRule>
  </conditionalFormatting>
  <conditionalFormatting sqref="P97 P99 P101:P104">
    <cfRule type="cellIs" dxfId="8905" priority="1489" operator="greaterThan">
      <formula>0</formula>
    </cfRule>
  </conditionalFormatting>
  <conditionalFormatting sqref="Q97 Q99 Q101:Q104">
    <cfRule type="cellIs" dxfId="8904" priority="1490" operator="lessThan">
      <formula>0</formula>
    </cfRule>
  </conditionalFormatting>
  <conditionalFormatting sqref="P97 P99 P101:P104">
    <cfRule type="cellIs" dxfId="8903" priority="1487" operator="greaterThan">
      <formula>0</formula>
    </cfRule>
  </conditionalFormatting>
  <conditionalFormatting sqref="Q97 Q99 Q101:Q104">
    <cfRule type="cellIs" dxfId="8902" priority="1488" operator="lessThan">
      <formula>0</formula>
    </cfRule>
  </conditionalFormatting>
  <conditionalFormatting sqref="P97 P99 P101:P104">
    <cfRule type="cellIs" dxfId="8901" priority="1485" operator="greaterThan">
      <formula>0</formula>
    </cfRule>
  </conditionalFormatting>
  <conditionalFormatting sqref="Q97 Q99 Q101:Q104">
    <cfRule type="cellIs" dxfId="8900" priority="1486" operator="lessThan">
      <formula>0</formula>
    </cfRule>
  </conditionalFormatting>
  <conditionalFormatting sqref="Q97 Q99 Q101:Q104">
    <cfRule type="cellIs" dxfId="8899" priority="1483" operator="lessThan">
      <formula>0</formula>
    </cfRule>
  </conditionalFormatting>
  <conditionalFormatting sqref="P97 P99 P101:P104">
    <cfRule type="cellIs" dxfId="8898" priority="1484" operator="greaterThan">
      <formula>0</formula>
    </cfRule>
  </conditionalFormatting>
  <conditionalFormatting sqref="Q97 Q99 Q101:Q104">
    <cfRule type="cellIs" dxfId="8897" priority="1481" operator="lessThan">
      <formula>0</formula>
    </cfRule>
  </conditionalFormatting>
  <conditionalFormatting sqref="P97 P99 P101:P104">
    <cfRule type="cellIs" dxfId="8896" priority="1482" operator="greaterThan">
      <formula>0</formula>
    </cfRule>
  </conditionalFormatting>
  <conditionalFormatting sqref="Q97 Q99 Q101:Q104">
    <cfRule type="cellIs" dxfId="8895" priority="1480" operator="lessThan">
      <formula>0</formula>
    </cfRule>
  </conditionalFormatting>
  <conditionalFormatting sqref="P97 P99 P101:P104">
    <cfRule type="cellIs" dxfId="8894" priority="1479" operator="greaterThan">
      <formula>0</formula>
    </cfRule>
  </conditionalFormatting>
  <conditionalFormatting sqref="Q97 Q99 Q101:Q104">
    <cfRule type="cellIs" dxfId="8893" priority="1478" operator="lessThan">
      <formula>0</formula>
    </cfRule>
  </conditionalFormatting>
  <conditionalFormatting sqref="P97 P99 P101:P104">
    <cfRule type="cellIs" dxfId="8892" priority="1477" operator="greaterThan">
      <formula>0</formula>
    </cfRule>
  </conditionalFormatting>
  <conditionalFormatting sqref="Q97 Q99 Q101:Q104">
    <cfRule type="cellIs" dxfId="8891" priority="1475" operator="lessThan">
      <formula>0</formula>
    </cfRule>
  </conditionalFormatting>
  <conditionalFormatting sqref="P97 P99 P101:P104">
    <cfRule type="cellIs" dxfId="8890" priority="1476" operator="greaterThan">
      <formula>0</formula>
    </cfRule>
  </conditionalFormatting>
  <conditionalFormatting sqref="Q97 Q99 Q101:Q104">
    <cfRule type="cellIs" dxfId="8889" priority="1473" operator="lessThan">
      <formula>0</formula>
    </cfRule>
  </conditionalFormatting>
  <conditionalFormatting sqref="P97 P99 P101:P104">
    <cfRule type="cellIs" dxfId="8888" priority="1474" operator="greaterThan">
      <formula>0</formula>
    </cfRule>
  </conditionalFormatting>
  <conditionalFormatting sqref="Q97 Q99 Q101:Q104">
    <cfRule type="cellIs" dxfId="8887" priority="1472" operator="lessThan">
      <formula>0</formula>
    </cfRule>
  </conditionalFormatting>
  <conditionalFormatting sqref="P97 P99 P101:P104">
    <cfRule type="cellIs" dxfId="8886" priority="1471" operator="greaterThan">
      <formula>0</formula>
    </cfRule>
  </conditionalFormatting>
  <conditionalFormatting sqref="Q97 Q99 Q101:Q104">
    <cfRule type="cellIs" dxfId="8885" priority="1470" operator="lessThan">
      <formula>0</formula>
    </cfRule>
  </conditionalFormatting>
  <conditionalFormatting sqref="P97 P99 P101:P104">
    <cfRule type="cellIs" dxfId="8884" priority="1469" operator="greaterThan">
      <formula>0</formula>
    </cfRule>
  </conditionalFormatting>
  <conditionalFormatting sqref="P97 P99 P101:P104">
    <cfRule type="cellIs" dxfId="8883" priority="1467" operator="greaterThan">
      <formula>0</formula>
    </cfRule>
  </conditionalFormatting>
  <conditionalFormatting sqref="Q97 Q99 Q101:Q104">
    <cfRule type="cellIs" dxfId="8882" priority="1468" operator="lessThan">
      <formula>0</formula>
    </cfRule>
  </conditionalFormatting>
  <conditionalFormatting sqref="P97 P99 P101:P104">
    <cfRule type="cellIs" dxfId="8881" priority="1465" operator="greaterThan">
      <formula>0</formula>
    </cfRule>
  </conditionalFormatting>
  <conditionalFormatting sqref="Q97 Q99 Q101:Q104">
    <cfRule type="cellIs" dxfId="8880" priority="1466" operator="lessThan">
      <formula>0</formula>
    </cfRule>
  </conditionalFormatting>
  <conditionalFormatting sqref="Q97 Q99 Q101:Q104">
    <cfRule type="cellIs" dxfId="8879" priority="1463" operator="lessThan">
      <formula>0</formula>
    </cfRule>
  </conditionalFormatting>
  <conditionalFormatting sqref="P97 P99 P101:P104">
    <cfRule type="cellIs" dxfId="8878" priority="1464" operator="greaterThan">
      <formula>0</formula>
    </cfRule>
  </conditionalFormatting>
  <conditionalFormatting sqref="Q97 Q99 Q101:Q104">
    <cfRule type="cellIs" dxfId="8877" priority="1462" operator="lessThan">
      <formula>0</formula>
    </cfRule>
  </conditionalFormatting>
  <conditionalFormatting sqref="P97 P99 P101:P104">
    <cfRule type="cellIs" dxfId="8876" priority="1461" operator="greaterThan">
      <formula>0</formula>
    </cfRule>
  </conditionalFormatting>
  <conditionalFormatting sqref="Q97 Q99 Q101:Q104">
    <cfRule type="cellIs" dxfId="8875" priority="1460" operator="lessThan">
      <formula>0</formula>
    </cfRule>
  </conditionalFormatting>
  <conditionalFormatting sqref="P97 P99 P101:P104">
    <cfRule type="cellIs" dxfId="8874" priority="1459" operator="greaterThan">
      <formula>0</formula>
    </cfRule>
  </conditionalFormatting>
  <conditionalFormatting sqref="Q97 Q99 Q101:Q104">
    <cfRule type="cellIs" dxfId="8873" priority="1458" operator="lessThan">
      <formula>0</formula>
    </cfRule>
  </conditionalFormatting>
  <conditionalFormatting sqref="P97 P99 P101:P104">
    <cfRule type="cellIs" dxfId="8872" priority="1457" operator="greaterThan">
      <formula>0</formula>
    </cfRule>
  </conditionalFormatting>
  <conditionalFormatting sqref="Q97 Q99 Q101:Q104">
    <cfRule type="cellIs" dxfId="8871" priority="1456" operator="lessThan">
      <formula>0</formula>
    </cfRule>
  </conditionalFormatting>
  <conditionalFormatting sqref="P97 P99 P101:P104">
    <cfRule type="cellIs" dxfId="8870" priority="1455" operator="greaterThan">
      <formula>0</formula>
    </cfRule>
  </conditionalFormatting>
  <conditionalFormatting sqref="Q97 Q99 Q101:Q104">
    <cfRule type="cellIs" dxfId="8869" priority="1454" operator="lessThan">
      <formula>0</formula>
    </cfRule>
  </conditionalFormatting>
  <conditionalFormatting sqref="P97 P99 P101:P104">
    <cfRule type="cellIs" dxfId="8868" priority="1453" operator="greaterThan">
      <formula>0</formula>
    </cfRule>
  </conditionalFormatting>
  <conditionalFormatting sqref="P97 P99 P101:P104">
    <cfRule type="cellIs" dxfId="8867" priority="1451" operator="greaterThan">
      <formula>0</formula>
    </cfRule>
  </conditionalFormatting>
  <conditionalFormatting sqref="Q97 Q99 Q101:Q104">
    <cfRule type="cellIs" dxfId="8866" priority="1452" operator="lessThan">
      <formula>0</formula>
    </cfRule>
  </conditionalFormatting>
  <conditionalFormatting sqref="P97 P99 P101:P104">
    <cfRule type="cellIs" dxfId="8865" priority="1449" operator="greaterThan">
      <formula>0</formula>
    </cfRule>
  </conditionalFormatting>
  <conditionalFormatting sqref="Q97 Q99 Q101:Q104">
    <cfRule type="cellIs" dxfId="8864" priority="1450" operator="lessThan">
      <formula>0</formula>
    </cfRule>
  </conditionalFormatting>
  <conditionalFormatting sqref="P97 P99 P101:P104">
    <cfRule type="cellIs" dxfId="8863" priority="1447" operator="greaterThan">
      <formula>0</formula>
    </cfRule>
  </conditionalFormatting>
  <conditionalFormatting sqref="Q97 Q99 Q101:Q104">
    <cfRule type="cellIs" dxfId="8862" priority="1448" operator="lessThan">
      <formula>0</formula>
    </cfRule>
  </conditionalFormatting>
  <conditionalFormatting sqref="Q97 Q99 Q101:Q104">
    <cfRule type="cellIs" dxfId="8861" priority="1445" operator="lessThan">
      <formula>0</formula>
    </cfRule>
  </conditionalFormatting>
  <conditionalFormatting sqref="P97 P99 P101:P104">
    <cfRule type="cellIs" dxfId="8860" priority="1446" operator="greaterThan">
      <formula>0</formula>
    </cfRule>
  </conditionalFormatting>
  <conditionalFormatting sqref="Q97 Q99 Q101:Q104">
    <cfRule type="cellIs" dxfId="8859" priority="1443" operator="lessThan">
      <formula>0</formula>
    </cfRule>
  </conditionalFormatting>
  <conditionalFormatting sqref="P97 P99 P101:P104">
    <cfRule type="cellIs" dxfId="8858" priority="1444" operator="greaterThan">
      <formula>0</formula>
    </cfRule>
  </conditionalFormatting>
  <conditionalFormatting sqref="Q97 Q99 Q101:Q104">
    <cfRule type="cellIs" dxfId="8857" priority="1442" operator="lessThan">
      <formula>0</formula>
    </cfRule>
  </conditionalFormatting>
  <conditionalFormatting sqref="P97 P99 P101:P104">
    <cfRule type="cellIs" dxfId="8856" priority="1441" operator="greaterThan">
      <formula>0</formula>
    </cfRule>
  </conditionalFormatting>
  <conditionalFormatting sqref="Q97 Q99 Q101:Q104">
    <cfRule type="cellIs" dxfId="8855" priority="1440" operator="lessThan">
      <formula>0</formula>
    </cfRule>
  </conditionalFormatting>
  <conditionalFormatting sqref="P97 P99 P101:P104">
    <cfRule type="cellIs" dxfId="8854" priority="1439" operator="greaterThan">
      <formula>0</formula>
    </cfRule>
  </conditionalFormatting>
  <conditionalFormatting sqref="Q98 Q105 Q100">
    <cfRule type="cellIs" dxfId="8853" priority="1438" operator="lessThan">
      <formula>0</formula>
    </cfRule>
  </conditionalFormatting>
  <conditionalFormatting sqref="P98 P105 P100">
    <cfRule type="cellIs" dxfId="8852" priority="1437" operator="greaterThan">
      <formula>0</formula>
    </cfRule>
  </conditionalFormatting>
  <conditionalFormatting sqref="P98 P105 P100">
    <cfRule type="cellIs" dxfId="8851" priority="1435" operator="greaterThan">
      <formula>0</formula>
    </cfRule>
  </conditionalFormatting>
  <conditionalFormatting sqref="Q98 Q105 Q100">
    <cfRule type="cellIs" dxfId="8850" priority="1436" operator="lessThan">
      <formula>0</formula>
    </cfRule>
  </conditionalFormatting>
  <conditionalFormatting sqref="Q98 Q105 Q100">
    <cfRule type="cellIs" dxfId="8849" priority="1434" operator="lessThan">
      <formula>0</formula>
    </cfRule>
  </conditionalFormatting>
  <conditionalFormatting sqref="P98 P105 P100">
    <cfRule type="cellIs" dxfId="8848" priority="1433" operator="greaterThan">
      <formula>0</formula>
    </cfRule>
  </conditionalFormatting>
  <conditionalFormatting sqref="Q96">
    <cfRule type="cellIs" dxfId="8847" priority="1427" operator="lessThan">
      <formula>0</formula>
    </cfRule>
  </conditionalFormatting>
  <conditionalFormatting sqref="P96">
    <cfRule type="cellIs" dxfId="8846" priority="1428" operator="greaterThan">
      <formula>0</formula>
    </cfRule>
  </conditionalFormatting>
  <conditionalFormatting sqref="R96:R105">
    <cfRule type="cellIs" dxfId="8845" priority="1431" operator="lessThan">
      <formula>0.8</formula>
    </cfRule>
    <cfRule type="cellIs" dxfId="8844" priority="1432" operator="greaterThan">
      <formula>1</formula>
    </cfRule>
  </conditionalFormatting>
  <conditionalFormatting sqref="R96:R105">
    <cfRule type="cellIs" dxfId="8843" priority="1429" operator="greaterThan">
      <formula>1</formula>
    </cfRule>
    <cfRule type="cellIs" dxfId="8842" priority="1430" operator="lessThan">
      <formula>0.8</formula>
    </cfRule>
  </conditionalFormatting>
  <conditionalFormatting sqref="Q96">
    <cfRule type="cellIs" dxfId="8841" priority="1421" operator="lessThan">
      <formula>0</formula>
    </cfRule>
  </conditionalFormatting>
  <conditionalFormatting sqref="R96:R105">
    <cfRule type="cellIs" dxfId="8840" priority="1425" operator="lessThan">
      <formula>0.8</formula>
    </cfRule>
    <cfRule type="cellIs" dxfId="8839" priority="1426" operator="greaterThan">
      <formula>1</formula>
    </cfRule>
  </conditionalFormatting>
  <conditionalFormatting sqref="R96:R105">
    <cfRule type="cellIs" dxfId="8838" priority="1423" operator="greaterThan">
      <formula>1</formula>
    </cfRule>
    <cfRule type="cellIs" dxfId="8837" priority="1424" operator="lessThan">
      <formula>0.8</formula>
    </cfRule>
  </conditionalFormatting>
  <conditionalFormatting sqref="P96">
    <cfRule type="cellIs" dxfId="8836" priority="1422" operator="greaterThan">
      <formula>0</formula>
    </cfRule>
  </conditionalFormatting>
  <conditionalFormatting sqref="Q96">
    <cfRule type="cellIs" dxfId="8835" priority="1420" operator="lessThan">
      <formula>0</formula>
    </cfRule>
  </conditionalFormatting>
  <conditionalFormatting sqref="R96:R105">
    <cfRule type="cellIs" dxfId="8834" priority="1418" operator="lessThan">
      <formula>0.8</formula>
    </cfRule>
    <cfRule type="cellIs" dxfId="8833" priority="1419" operator="greaterThan">
      <formula>1</formula>
    </cfRule>
  </conditionalFormatting>
  <conditionalFormatting sqref="R96:R105">
    <cfRule type="cellIs" dxfId="8832" priority="1416" operator="greaterThan">
      <formula>1</formula>
    </cfRule>
    <cfRule type="cellIs" dxfId="8831" priority="1417" operator="lessThan">
      <formula>0.8</formula>
    </cfRule>
  </conditionalFormatting>
  <conditionalFormatting sqref="P96">
    <cfRule type="cellIs" dxfId="8830" priority="1415" operator="greaterThan">
      <formula>0</formula>
    </cfRule>
  </conditionalFormatting>
  <conditionalFormatting sqref="Q96">
    <cfRule type="cellIs" dxfId="8829" priority="1414" operator="lessThan">
      <formula>0</formula>
    </cfRule>
  </conditionalFormatting>
  <conditionalFormatting sqref="R96:R105">
    <cfRule type="cellIs" dxfId="8828" priority="1412" operator="lessThan">
      <formula>0.8</formula>
    </cfRule>
    <cfRule type="cellIs" dxfId="8827" priority="1413" operator="greaterThan">
      <formula>1</formula>
    </cfRule>
  </conditionalFormatting>
  <conditionalFormatting sqref="R96:R105">
    <cfRule type="cellIs" dxfId="8826" priority="1410" operator="greaterThan">
      <formula>1</formula>
    </cfRule>
    <cfRule type="cellIs" dxfId="8825" priority="1411" operator="lessThan">
      <formula>0.8</formula>
    </cfRule>
  </conditionalFormatting>
  <conditionalFormatting sqref="P96">
    <cfRule type="cellIs" dxfId="8824" priority="1409" operator="greaterThan">
      <formula>0</formula>
    </cfRule>
  </conditionalFormatting>
  <conditionalFormatting sqref="Q96">
    <cfRule type="cellIs" dxfId="8823" priority="1403" operator="lessThan">
      <formula>0</formula>
    </cfRule>
  </conditionalFormatting>
  <conditionalFormatting sqref="R96:R105">
    <cfRule type="cellIs" dxfId="8822" priority="1407" operator="lessThan">
      <formula>0.8</formula>
    </cfRule>
    <cfRule type="cellIs" dxfId="8821" priority="1408" operator="greaterThan">
      <formula>1</formula>
    </cfRule>
  </conditionalFormatting>
  <conditionalFormatting sqref="R96:R105">
    <cfRule type="cellIs" dxfId="8820" priority="1405" operator="greaterThan">
      <formula>1</formula>
    </cfRule>
    <cfRule type="cellIs" dxfId="8819" priority="1406" operator="lessThan">
      <formula>0.8</formula>
    </cfRule>
  </conditionalFormatting>
  <conditionalFormatting sqref="P96">
    <cfRule type="cellIs" dxfId="8818" priority="1404" operator="greaterThan">
      <formula>0</formula>
    </cfRule>
  </conditionalFormatting>
  <conditionalFormatting sqref="Q96">
    <cfRule type="cellIs" dxfId="8817" priority="1402" operator="lessThan">
      <formula>0</formula>
    </cfRule>
  </conditionalFormatting>
  <conditionalFormatting sqref="R96:R105">
    <cfRule type="cellIs" dxfId="8816" priority="1400" operator="lessThan">
      <formula>0.8</formula>
    </cfRule>
    <cfRule type="cellIs" dxfId="8815" priority="1401" operator="greaterThan">
      <formula>1</formula>
    </cfRule>
  </conditionalFormatting>
  <conditionalFormatting sqref="R96:R105">
    <cfRule type="cellIs" dxfId="8814" priority="1398" operator="greaterThan">
      <formula>1</formula>
    </cfRule>
    <cfRule type="cellIs" dxfId="8813" priority="1399" operator="lessThan">
      <formula>0.8</formula>
    </cfRule>
  </conditionalFormatting>
  <conditionalFormatting sqref="P96">
    <cfRule type="cellIs" dxfId="8812" priority="1397" operator="greaterThan">
      <formula>0</formula>
    </cfRule>
  </conditionalFormatting>
  <conditionalFormatting sqref="Q96">
    <cfRule type="cellIs" dxfId="8811" priority="1396" operator="lessThan">
      <formula>0</formula>
    </cfRule>
  </conditionalFormatting>
  <conditionalFormatting sqref="R96:R105">
    <cfRule type="cellIs" dxfId="8810" priority="1394" operator="lessThan">
      <formula>0.8</formula>
    </cfRule>
    <cfRule type="cellIs" dxfId="8809" priority="1395" operator="greaterThan">
      <formula>1</formula>
    </cfRule>
  </conditionalFormatting>
  <conditionalFormatting sqref="R96:R105">
    <cfRule type="cellIs" dxfId="8808" priority="1392" operator="greaterThan">
      <formula>1</formula>
    </cfRule>
    <cfRule type="cellIs" dxfId="8807" priority="1393" operator="lessThan">
      <formula>0.8</formula>
    </cfRule>
  </conditionalFormatting>
  <conditionalFormatting sqref="P96">
    <cfRule type="cellIs" dxfId="8806" priority="1391" operator="greaterThan">
      <formula>0</formula>
    </cfRule>
  </conditionalFormatting>
  <conditionalFormatting sqref="Q96">
    <cfRule type="cellIs" dxfId="8805" priority="1390" operator="lessThan">
      <formula>0</formula>
    </cfRule>
  </conditionalFormatting>
  <conditionalFormatting sqref="R96:R105">
    <cfRule type="cellIs" dxfId="8804" priority="1388" operator="lessThan">
      <formula>0.8</formula>
    </cfRule>
    <cfRule type="cellIs" dxfId="8803" priority="1389" operator="greaterThan">
      <formula>1</formula>
    </cfRule>
  </conditionalFormatting>
  <conditionalFormatting sqref="R96:R105">
    <cfRule type="cellIs" dxfId="8802" priority="1386" operator="greaterThan">
      <formula>1</formula>
    </cfRule>
    <cfRule type="cellIs" dxfId="8801" priority="1387" operator="lessThan">
      <formula>0.8</formula>
    </cfRule>
  </conditionalFormatting>
  <conditionalFormatting sqref="P96">
    <cfRule type="cellIs" dxfId="8800" priority="1385" operator="greaterThan">
      <formula>0</formula>
    </cfRule>
  </conditionalFormatting>
  <conditionalFormatting sqref="Q96">
    <cfRule type="cellIs" dxfId="8799" priority="1384" operator="lessThan">
      <formula>0</formula>
    </cfRule>
  </conditionalFormatting>
  <conditionalFormatting sqref="R96:R105">
    <cfRule type="cellIs" dxfId="8798" priority="1382" operator="lessThan">
      <formula>0.8</formula>
    </cfRule>
    <cfRule type="cellIs" dxfId="8797" priority="1383" operator="greaterThan">
      <formula>1</formula>
    </cfRule>
  </conditionalFormatting>
  <conditionalFormatting sqref="R96:R105">
    <cfRule type="cellIs" dxfId="8796" priority="1380" operator="greaterThan">
      <formula>1</formula>
    </cfRule>
    <cfRule type="cellIs" dxfId="8795" priority="1381" operator="lessThan">
      <formula>0.8</formula>
    </cfRule>
  </conditionalFormatting>
  <conditionalFormatting sqref="P96">
    <cfRule type="cellIs" dxfId="8794" priority="1379" operator="greaterThan">
      <formula>0</formula>
    </cfRule>
  </conditionalFormatting>
  <conditionalFormatting sqref="Q96">
    <cfRule type="cellIs" dxfId="8793" priority="1378" operator="lessThan">
      <formula>0</formula>
    </cfRule>
  </conditionalFormatting>
  <conditionalFormatting sqref="R96:R105">
    <cfRule type="cellIs" dxfId="8792" priority="1376" operator="lessThan">
      <formula>0.8</formula>
    </cfRule>
    <cfRule type="cellIs" dxfId="8791" priority="1377" operator="greaterThan">
      <formula>1</formula>
    </cfRule>
  </conditionalFormatting>
  <conditionalFormatting sqref="R96:R105">
    <cfRule type="cellIs" dxfId="8790" priority="1374" operator="greaterThan">
      <formula>1</formula>
    </cfRule>
    <cfRule type="cellIs" dxfId="8789" priority="1375" operator="lessThan">
      <formula>0.8</formula>
    </cfRule>
  </conditionalFormatting>
  <conditionalFormatting sqref="P96">
    <cfRule type="cellIs" dxfId="8788" priority="1373" operator="greaterThan">
      <formula>0</formula>
    </cfRule>
  </conditionalFormatting>
  <conditionalFormatting sqref="P96">
    <cfRule type="cellIs" dxfId="8787" priority="1367" operator="greaterThan">
      <formula>0</formula>
    </cfRule>
  </conditionalFormatting>
  <conditionalFormatting sqref="Q96">
    <cfRule type="cellIs" dxfId="8786" priority="1372" operator="lessThan">
      <formula>0</formula>
    </cfRule>
  </conditionalFormatting>
  <conditionalFormatting sqref="R96:R105">
    <cfRule type="cellIs" dxfId="8785" priority="1370" operator="lessThan">
      <formula>0.8</formula>
    </cfRule>
    <cfRule type="cellIs" dxfId="8784" priority="1371" operator="greaterThan">
      <formula>1</formula>
    </cfRule>
  </conditionalFormatting>
  <conditionalFormatting sqref="R96:R105">
    <cfRule type="cellIs" dxfId="8783" priority="1368" operator="greaterThan">
      <formula>1</formula>
    </cfRule>
    <cfRule type="cellIs" dxfId="8782" priority="1369" operator="lessThan">
      <formula>0.8</formula>
    </cfRule>
  </conditionalFormatting>
  <conditionalFormatting sqref="P96">
    <cfRule type="cellIs" dxfId="8781" priority="1361" operator="greaterThan">
      <formula>0</formula>
    </cfRule>
  </conditionalFormatting>
  <conditionalFormatting sqref="Q96">
    <cfRule type="cellIs" dxfId="8780" priority="1366" operator="lessThan">
      <formula>0</formula>
    </cfRule>
  </conditionalFormatting>
  <conditionalFormatting sqref="R96:R105">
    <cfRule type="cellIs" dxfId="8779" priority="1364" operator="lessThan">
      <formula>0.8</formula>
    </cfRule>
    <cfRule type="cellIs" dxfId="8778" priority="1365" operator="greaterThan">
      <formula>1</formula>
    </cfRule>
  </conditionalFormatting>
  <conditionalFormatting sqref="R96:R105">
    <cfRule type="cellIs" dxfId="8777" priority="1362" operator="greaterThan">
      <formula>1</formula>
    </cfRule>
    <cfRule type="cellIs" dxfId="8776" priority="1363" operator="lessThan">
      <formula>0.8</formula>
    </cfRule>
  </conditionalFormatting>
  <conditionalFormatting sqref="R96:R105">
    <cfRule type="cellIs" dxfId="8775" priority="1358" operator="lessThan">
      <formula>0.8</formula>
    </cfRule>
    <cfRule type="cellIs" dxfId="8774" priority="1359" operator="greaterThan">
      <formula>1</formula>
    </cfRule>
  </conditionalFormatting>
  <conditionalFormatting sqref="R96:R105">
    <cfRule type="cellIs" dxfId="8773" priority="1356" operator="greaterThan">
      <formula>1</formula>
    </cfRule>
    <cfRule type="cellIs" dxfId="8772" priority="1357" operator="lessThan">
      <formula>0.8</formula>
    </cfRule>
  </conditionalFormatting>
  <conditionalFormatting sqref="P96">
    <cfRule type="cellIs" dxfId="8771" priority="1355" operator="greaterThan">
      <formula>0</formula>
    </cfRule>
  </conditionalFormatting>
  <conditionalFormatting sqref="Q96">
    <cfRule type="cellIs" dxfId="8770" priority="1360" operator="lessThan">
      <formula>0</formula>
    </cfRule>
  </conditionalFormatting>
  <conditionalFormatting sqref="Q96">
    <cfRule type="cellIs" dxfId="8769" priority="1349" operator="lessThan">
      <formula>0</formula>
    </cfRule>
  </conditionalFormatting>
  <conditionalFormatting sqref="P96">
    <cfRule type="cellIs" dxfId="8768" priority="1350" operator="greaterThan">
      <formula>0</formula>
    </cfRule>
  </conditionalFormatting>
  <conditionalFormatting sqref="R96:R105">
    <cfRule type="cellIs" dxfId="8767" priority="1353" operator="lessThan">
      <formula>0.8</formula>
    </cfRule>
    <cfRule type="cellIs" dxfId="8766" priority="1354" operator="greaterThan">
      <formula>1</formula>
    </cfRule>
  </conditionalFormatting>
  <conditionalFormatting sqref="R96:R105">
    <cfRule type="cellIs" dxfId="8765" priority="1351" operator="greaterThan">
      <formula>1</formula>
    </cfRule>
    <cfRule type="cellIs" dxfId="8764" priority="1352" operator="lessThan">
      <formula>0.8</formula>
    </cfRule>
  </conditionalFormatting>
  <conditionalFormatting sqref="Q96">
    <cfRule type="cellIs" dxfId="8763" priority="1343" operator="lessThan">
      <formula>0</formula>
    </cfRule>
  </conditionalFormatting>
  <conditionalFormatting sqref="R96:R105">
    <cfRule type="cellIs" dxfId="8762" priority="1347" operator="lessThan">
      <formula>0.8</formula>
    </cfRule>
    <cfRule type="cellIs" dxfId="8761" priority="1348" operator="greaterThan">
      <formula>1</formula>
    </cfRule>
  </conditionalFormatting>
  <conditionalFormatting sqref="R96:R105">
    <cfRule type="cellIs" dxfId="8760" priority="1345" operator="greaterThan">
      <formula>1</formula>
    </cfRule>
    <cfRule type="cellIs" dxfId="8759" priority="1346" operator="lessThan">
      <formula>0.8</formula>
    </cfRule>
  </conditionalFormatting>
  <conditionalFormatting sqref="P96">
    <cfRule type="cellIs" dxfId="8758" priority="1344" operator="greaterThan">
      <formula>0</formula>
    </cfRule>
  </conditionalFormatting>
  <conditionalFormatting sqref="Q96">
    <cfRule type="cellIs" dxfId="8757" priority="1342" operator="lessThan">
      <formula>0</formula>
    </cfRule>
  </conditionalFormatting>
  <conditionalFormatting sqref="R96:R105">
    <cfRule type="cellIs" dxfId="8756" priority="1340" operator="lessThan">
      <formula>0.8</formula>
    </cfRule>
    <cfRule type="cellIs" dxfId="8755" priority="1341" operator="greaterThan">
      <formula>1</formula>
    </cfRule>
  </conditionalFormatting>
  <conditionalFormatting sqref="R96:R105">
    <cfRule type="cellIs" dxfId="8754" priority="1338" operator="greaterThan">
      <formula>1</formula>
    </cfRule>
    <cfRule type="cellIs" dxfId="8753" priority="1339" operator="lessThan">
      <formula>0.8</formula>
    </cfRule>
  </conditionalFormatting>
  <conditionalFormatting sqref="P96">
    <cfRule type="cellIs" dxfId="8752" priority="1337" operator="greaterThan">
      <formula>0</formula>
    </cfRule>
  </conditionalFormatting>
  <conditionalFormatting sqref="Q96">
    <cfRule type="cellIs" dxfId="8751" priority="1336" operator="lessThan">
      <formula>0</formula>
    </cfRule>
  </conditionalFormatting>
  <conditionalFormatting sqref="R96:R105">
    <cfRule type="cellIs" dxfId="8750" priority="1334" operator="lessThan">
      <formula>0.8</formula>
    </cfRule>
    <cfRule type="cellIs" dxfId="8749" priority="1335" operator="greaterThan">
      <formula>1</formula>
    </cfRule>
  </conditionalFormatting>
  <conditionalFormatting sqref="R96:R105">
    <cfRule type="cellIs" dxfId="8748" priority="1332" operator="greaterThan">
      <formula>1</formula>
    </cfRule>
    <cfRule type="cellIs" dxfId="8747" priority="1333" operator="lessThan">
      <formula>0.8</formula>
    </cfRule>
  </conditionalFormatting>
  <conditionalFormatting sqref="P96">
    <cfRule type="cellIs" dxfId="8746" priority="1331" operator="greaterThan">
      <formula>0</formula>
    </cfRule>
  </conditionalFormatting>
  <conditionalFormatting sqref="Q96">
    <cfRule type="cellIs" dxfId="8745" priority="1325" operator="lessThan">
      <formula>0</formula>
    </cfRule>
  </conditionalFormatting>
  <conditionalFormatting sqref="P96">
    <cfRule type="cellIs" dxfId="8744" priority="1326" operator="greaterThan">
      <formula>0</formula>
    </cfRule>
  </conditionalFormatting>
  <conditionalFormatting sqref="R96:R105">
    <cfRule type="cellIs" dxfId="8743" priority="1329" operator="lessThan">
      <formula>0.8</formula>
    </cfRule>
    <cfRule type="cellIs" dxfId="8742" priority="1330" operator="greaterThan">
      <formula>1</formula>
    </cfRule>
  </conditionalFormatting>
  <conditionalFormatting sqref="R96:R105">
    <cfRule type="cellIs" dxfId="8741" priority="1327" operator="greaterThan">
      <formula>1</formula>
    </cfRule>
    <cfRule type="cellIs" dxfId="8740" priority="1328" operator="lessThan">
      <formula>0.8</formula>
    </cfRule>
  </conditionalFormatting>
  <conditionalFormatting sqref="Q96">
    <cfRule type="cellIs" dxfId="8739" priority="1319" operator="lessThan">
      <formula>0</formula>
    </cfRule>
  </conditionalFormatting>
  <conditionalFormatting sqref="R96:R105">
    <cfRule type="cellIs" dxfId="8738" priority="1323" operator="lessThan">
      <formula>0.8</formula>
    </cfRule>
    <cfRule type="cellIs" dxfId="8737" priority="1324" operator="greaterThan">
      <formula>1</formula>
    </cfRule>
  </conditionalFormatting>
  <conditionalFormatting sqref="R96:R105">
    <cfRule type="cellIs" dxfId="8736" priority="1321" operator="greaterThan">
      <formula>1</formula>
    </cfRule>
    <cfRule type="cellIs" dxfId="8735" priority="1322" operator="lessThan">
      <formula>0.8</formula>
    </cfRule>
  </conditionalFormatting>
  <conditionalFormatting sqref="P96">
    <cfRule type="cellIs" dxfId="8734" priority="1320" operator="greaterThan">
      <formula>0</formula>
    </cfRule>
  </conditionalFormatting>
  <conditionalFormatting sqref="Q96">
    <cfRule type="cellIs" dxfId="8733" priority="1318" operator="lessThan">
      <formula>0</formula>
    </cfRule>
  </conditionalFormatting>
  <conditionalFormatting sqref="R96:R105">
    <cfRule type="cellIs" dxfId="8732" priority="1316" operator="lessThan">
      <formula>0.8</formula>
    </cfRule>
    <cfRule type="cellIs" dxfId="8731" priority="1317" operator="greaterThan">
      <formula>1</formula>
    </cfRule>
  </conditionalFormatting>
  <conditionalFormatting sqref="R96:R105">
    <cfRule type="cellIs" dxfId="8730" priority="1314" operator="greaterThan">
      <formula>1</formula>
    </cfRule>
    <cfRule type="cellIs" dxfId="8729" priority="1315" operator="lessThan">
      <formula>0.8</formula>
    </cfRule>
  </conditionalFormatting>
  <conditionalFormatting sqref="P96">
    <cfRule type="cellIs" dxfId="8728" priority="1313" operator="greaterThan">
      <formula>0</formula>
    </cfRule>
  </conditionalFormatting>
  <conditionalFormatting sqref="Q96">
    <cfRule type="cellIs" dxfId="8727" priority="1312" operator="lessThan">
      <formula>0</formula>
    </cfRule>
  </conditionalFormatting>
  <conditionalFormatting sqref="R96:R105">
    <cfRule type="cellIs" dxfId="8726" priority="1310" operator="lessThan">
      <formula>0.8</formula>
    </cfRule>
    <cfRule type="cellIs" dxfId="8725" priority="1311" operator="greaterThan">
      <formula>1</formula>
    </cfRule>
  </conditionalFormatting>
  <conditionalFormatting sqref="R96:R105">
    <cfRule type="cellIs" dxfId="8724" priority="1308" operator="greaterThan">
      <formula>1</formula>
    </cfRule>
    <cfRule type="cellIs" dxfId="8723" priority="1309" operator="lessThan">
      <formula>0.8</formula>
    </cfRule>
  </conditionalFormatting>
  <conditionalFormatting sqref="P96">
    <cfRule type="cellIs" dxfId="8722" priority="1307" operator="greaterThan">
      <formula>0</formula>
    </cfRule>
  </conditionalFormatting>
  <conditionalFormatting sqref="P124">
    <cfRule type="cellIs" dxfId="8721" priority="1301" operator="greaterThan">
      <formula>0</formula>
    </cfRule>
  </conditionalFormatting>
  <conditionalFormatting sqref="Q124">
    <cfRule type="cellIs" dxfId="8720" priority="1306" operator="lessThan">
      <formula>0</formula>
    </cfRule>
  </conditionalFormatting>
  <conditionalFormatting sqref="R124">
    <cfRule type="cellIs" dxfId="8719" priority="1304" operator="lessThan">
      <formula>0.8</formula>
    </cfRule>
    <cfRule type="cellIs" dxfId="8718" priority="1305" operator="greaterThan">
      <formula>1</formula>
    </cfRule>
  </conditionalFormatting>
  <conditionalFormatting sqref="R124">
    <cfRule type="cellIs" dxfId="8717" priority="1302" operator="greaterThan">
      <formula>1</formula>
    </cfRule>
    <cfRule type="cellIs" dxfId="8716" priority="1303" operator="lessThan">
      <formula>0.8</formula>
    </cfRule>
  </conditionalFormatting>
  <conditionalFormatting sqref="Q124">
    <cfRule type="cellIs" dxfId="8715" priority="1300" operator="lessThan">
      <formula>0</formula>
    </cfRule>
  </conditionalFormatting>
  <conditionalFormatting sqref="R124">
    <cfRule type="cellIs" dxfId="8714" priority="1298" operator="lessThan">
      <formula>0.8</formula>
    </cfRule>
    <cfRule type="cellIs" dxfId="8713" priority="1299" operator="greaterThan">
      <formula>1</formula>
    </cfRule>
  </conditionalFormatting>
  <conditionalFormatting sqref="R124">
    <cfRule type="cellIs" dxfId="8712" priority="1296" operator="greaterThan">
      <formula>1</formula>
    </cfRule>
    <cfRule type="cellIs" dxfId="8711" priority="1297" operator="lessThan">
      <formula>0.8</formula>
    </cfRule>
  </conditionalFormatting>
  <conditionalFormatting sqref="P124">
    <cfRule type="cellIs" dxfId="8710" priority="1295" operator="greaterThan">
      <formula>0</formula>
    </cfRule>
  </conditionalFormatting>
  <conditionalFormatting sqref="Q123 Q125:Q129">
    <cfRule type="cellIs" dxfId="8709" priority="1294" operator="lessThan">
      <formula>0</formula>
    </cfRule>
  </conditionalFormatting>
  <conditionalFormatting sqref="R123 R125:R129">
    <cfRule type="cellIs" dxfId="8708" priority="1292" operator="lessThan">
      <formula>0.8</formula>
    </cfRule>
    <cfRule type="cellIs" dxfId="8707" priority="1293" operator="greaterThan">
      <formula>1</formula>
    </cfRule>
  </conditionalFormatting>
  <conditionalFormatting sqref="R123 R125:R129">
    <cfRule type="cellIs" dxfId="8706" priority="1290" operator="greaterThan">
      <formula>1</formula>
    </cfRule>
    <cfRule type="cellIs" dxfId="8705" priority="1291" operator="lessThan">
      <formula>0.8</formula>
    </cfRule>
  </conditionalFormatting>
  <conditionalFormatting sqref="P123 P125:P129">
    <cfRule type="cellIs" dxfId="8704" priority="1289" operator="greaterThan">
      <formula>0</formula>
    </cfRule>
  </conditionalFormatting>
  <conditionalFormatting sqref="P123 P125:P129">
    <cfRule type="cellIs" dxfId="8703" priority="1283" operator="greaterThan">
      <formula>0</formula>
    </cfRule>
  </conditionalFormatting>
  <conditionalFormatting sqref="Q123 Q125:Q129">
    <cfRule type="cellIs" dxfId="8702" priority="1288" operator="lessThan">
      <formula>0</formula>
    </cfRule>
  </conditionalFormatting>
  <conditionalFormatting sqref="R123 R125:R129">
    <cfRule type="cellIs" dxfId="8701" priority="1286" operator="lessThan">
      <formula>0.8</formula>
    </cfRule>
    <cfRule type="cellIs" dxfId="8700" priority="1287" operator="greaterThan">
      <formula>1</formula>
    </cfRule>
  </conditionalFormatting>
  <conditionalFormatting sqref="R123 R125:R129">
    <cfRule type="cellIs" dxfId="8699" priority="1284" operator="greaterThan">
      <formula>1</formula>
    </cfRule>
    <cfRule type="cellIs" dxfId="8698" priority="1285" operator="lessThan">
      <formula>0.8</formula>
    </cfRule>
  </conditionalFormatting>
  <conditionalFormatting sqref="P122">
    <cfRule type="cellIs" dxfId="8697" priority="1277" operator="greaterThan">
      <formula>0</formula>
    </cfRule>
  </conditionalFormatting>
  <conditionalFormatting sqref="Q122">
    <cfRule type="cellIs" dxfId="8696" priority="1282" operator="lessThan">
      <formula>0</formula>
    </cfRule>
  </conditionalFormatting>
  <conditionalFormatting sqref="R122">
    <cfRule type="cellIs" dxfId="8695" priority="1280" operator="lessThan">
      <formula>0.8</formula>
    </cfRule>
    <cfRule type="cellIs" dxfId="8694" priority="1281" operator="greaterThan">
      <formula>1</formula>
    </cfRule>
  </conditionalFormatting>
  <conditionalFormatting sqref="R122">
    <cfRule type="cellIs" dxfId="8693" priority="1278" operator="greaterThan">
      <formula>1</formula>
    </cfRule>
    <cfRule type="cellIs" dxfId="8692" priority="1279" operator="lessThan">
      <formula>0.8</formula>
    </cfRule>
  </conditionalFormatting>
  <conditionalFormatting sqref="Q109:Q116">
    <cfRule type="cellIs" dxfId="8691" priority="1276" operator="lessThan">
      <formula>0</formula>
    </cfRule>
  </conditionalFormatting>
  <conditionalFormatting sqref="R109:R116">
    <cfRule type="cellIs" dxfId="8690" priority="1274" operator="lessThan">
      <formula>0.8</formula>
    </cfRule>
    <cfRule type="cellIs" dxfId="8689" priority="1275" operator="greaterThan">
      <formula>1</formula>
    </cfRule>
  </conditionalFormatting>
  <conditionalFormatting sqref="R109:R116">
    <cfRule type="cellIs" dxfId="8688" priority="1272" operator="greaterThan">
      <formula>1</formula>
    </cfRule>
    <cfRule type="cellIs" dxfId="8687" priority="1273" operator="lessThan">
      <formula>0.8</formula>
    </cfRule>
  </conditionalFormatting>
  <conditionalFormatting sqref="P109:P116">
    <cfRule type="cellIs" dxfId="8686" priority="1271" operator="greaterThan">
      <formula>0</formula>
    </cfRule>
  </conditionalFormatting>
  <conditionalFormatting sqref="Q130">
    <cfRule type="cellIs" dxfId="8685" priority="1270" operator="lessThan">
      <formula>0</formula>
    </cfRule>
  </conditionalFormatting>
  <conditionalFormatting sqref="R130">
    <cfRule type="cellIs" dxfId="8684" priority="1268" operator="lessThan">
      <formula>0.8</formula>
    </cfRule>
    <cfRule type="cellIs" dxfId="8683" priority="1269" operator="greaterThan">
      <formula>1</formula>
    </cfRule>
  </conditionalFormatting>
  <conditionalFormatting sqref="R130">
    <cfRule type="cellIs" dxfId="8682" priority="1266" operator="greaterThan">
      <formula>1</formula>
    </cfRule>
    <cfRule type="cellIs" dxfId="8681" priority="1267" operator="lessThan">
      <formula>0.8</formula>
    </cfRule>
  </conditionalFormatting>
  <conditionalFormatting sqref="P130">
    <cfRule type="cellIs" dxfId="8680" priority="1265" operator="greaterThan">
      <formula>0</formula>
    </cfRule>
  </conditionalFormatting>
  <conditionalFormatting sqref="R130">
    <cfRule type="cellIs" dxfId="8679" priority="1262" operator="lessThan">
      <formula>0.8</formula>
    </cfRule>
    <cfRule type="cellIs" dxfId="8678" priority="1263" operator="greaterThan">
      <formula>1</formula>
    </cfRule>
  </conditionalFormatting>
  <conditionalFormatting sqref="R130">
    <cfRule type="cellIs" dxfId="8677" priority="1260" operator="greaterThan">
      <formula>1</formula>
    </cfRule>
    <cfRule type="cellIs" dxfId="8676" priority="1261" operator="lessThan">
      <formula>0.8</formula>
    </cfRule>
  </conditionalFormatting>
  <conditionalFormatting sqref="P130">
    <cfRule type="cellIs" dxfId="8675" priority="1259" operator="greaterThan">
      <formula>0</formula>
    </cfRule>
  </conditionalFormatting>
  <conditionalFormatting sqref="Q130">
    <cfRule type="cellIs" dxfId="8674" priority="1264" operator="lessThan">
      <formula>0</formula>
    </cfRule>
  </conditionalFormatting>
  <conditionalFormatting sqref="R130">
    <cfRule type="cellIs" dxfId="8673" priority="1256" operator="lessThan">
      <formula>0.8</formula>
    </cfRule>
    <cfRule type="cellIs" dxfId="8672" priority="1257" operator="greaterThan">
      <formula>1</formula>
    </cfRule>
  </conditionalFormatting>
  <conditionalFormatting sqref="R130">
    <cfRule type="cellIs" dxfId="8671" priority="1254" operator="greaterThan">
      <formula>1</formula>
    </cfRule>
    <cfRule type="cellIs" dxfId="8670" priority="1255" operator="lessThan">
      <formula>0.8</formula>
    </cfRule>
  </conditionalFormatting>
  <conditionalFormatting sqref="P130">
    <cfRule type="cellIs" dxfId="8669" priority="1253" operator="greaterThan">
      <formula>0</formula>
    </cfRule>
  </conditionalFormatting>
  <conditionalFormatting sqref="Q130">
    <cfRule type="cellIs" dxfId="8668" priority="1258" operator="lessThan">
      <formula>0</formula>
    </cfRule>
  </conditionalFormatting>
  <conditionalFormatting sqref="Q130">
    <cfRule type="cellIs" dxfId="8667" priority="1252" operator="lessThan">
      <formula>0</formula>
    </cfRule>
  </conditionalFormatting>
  <conditionalFormatting sqref="R130">
    <cfRule type="cellIs" dxfId="8666" priority="1250" operator="lessThan">
      <formula>0.8</formula>
    </cfRule>
    <cfRule type="cellIs" dxfId="8665" priority="1251" operator="greaterThan">
      <formula>1</formula>
    </cfRule>
  </conditionalFormatting>
  <conditionalFormatting sqref="R130">
    <cfRule type="cellIs" dxfId="8664" priority="1248" operator="greaterThan">
      <formula>1</formula>
    </cfRule>
    <cfRule type="cellIs" dxfId="8663" priority="1249" operator="lessThan">
      <formula>0.8</formula>
    </cfRule>
  </conditionalFormatting>
  <conditionalFormatting sqref="P130">
    <cfRule type="cellIs" dxfId="8662" priority="1247" operator="greaterThan">
      <formula>0</formula>
    </cfRule>
  </conditionalFormatting>
  <conditionalFormatting sqref="R130">
    <cfRule type="cellIs" dxfId="8661" priority="1244" operator="lessThan">
      <formula>0.8</formula>
    </cfRule>
    <cfRule type="cellIs" dxfId="8660" priority="1245" operator="greaterThan">
      <formula>1</formula>
    </cfRule>
  </conditionalFormatting>
  <conditionalFormatting sqref="R130">
    <cfRule type="cellIs" dxfId="8659" priority="1242" operator="greaterThan">
      <formula>1</formula>
    </cfRule>
    <cfRule type="cellIs" dxfId="8658" priority="1243" operator="lessThan">
      <formula>0.8</formula>
    </cfRule>
  </conditionalFormatting>
  <conditionalFormatting sqref="P130">
    <cfRule type="cellIs" dxfId="8657" priority="1241" operator="greaterThan">
      <formula>0</formula>
    </cfRule>
  </conditionalFormatting>
  <conditionalFormatting sqref="Q130">
    <cfRule type="cellIs" dxfId="8656" priority="1246" operator="lessThan">
      <formula>0</formula>
    </cfRule>
  </conditionalFormatting>
  <conditionalFormatting sqref="Q130">
    <cfRule type="cellIs" dxfId="8655" priority="1240" operator="lessThan">
      <formula>0</formula>
    </cfRule>
  </conditionalFormatting>
  <conditionalFormatting sqref="R130">
    <cfRule type="cellIs" dxfId="8654" priority="1238" operator="lessThan">
      <formula>0.8</formula>
    </cfRule>
    <cfRule type="cellIs" dxfId="8653" priority="1239" operator="greaterThan">
      <formula>1</formula>
    </cfRule>
  </conditionalFormatting>
  <conditionalFormatting sqref="R130">
    <cfRule type="cellIs" dxfId="8652" priority="1236" operator="greaterThan">
      <formula>1</formula>
    </cfRule>
    <cfRule type="cellIs" dxfId="8651" priority="1237" operator="lessThan">
      <formula>0.8</formula>
    </cfRule>
  </conditionalFormatting>
  <conditionalFormatting sqref="P130">
    <cfRule type="cellIs" dxfId="8650" priority="1235" operator="greaterThan">
      <formula>0</formula>
    </cfRule>
  </conditionalFormatting>
  <conditionalFormatting sqref="Q130">
    <cfRule type="cellIs" dxfId="8649" priority="1229" operator="lessThan">
      <formula>0</formula>
    </cfRule>
  </conditionalFormatting>
  <conditionalFormatting sqref="R130">
    <cfRule type="cellIs" dxfId="8648" priority="1233" operator="lessThan">
      <formula>0.8</formula>
    </cfRule>
    <cfRule type="cellIs" dxfId="8647" priority="1234" operator="greaterThan">
      <formula>1</formula>
    </cfRule>
  </conditionalFormatting>
  <conditionalFormatting sqref="R130">
    <cfRule type="cellIs" dxfId="8646" priority="1231" operator="greaterThan">
      <formula>1</formula>
    </cfRule>
    <cfRule type="cellIs" dxfId="8645" priority="1232" operator="lessThan">
      <formula>0.8</formula>
    </cfRule>
  </conditionalFormatting>
  <conditionalFormatting sqref="P130">
    <cfRule type="cellIs" dxfId="8644" priority="1230" operator="greaterThan">
      <formula>0</formula>
    </cfRule>
  </conditionalFormatting>
  <conditionalFormatting sqref="Q130">
    <cfRule type="cellIs" dxfId="8643" priority="1228" operator="lessThan">
      <formula>0</formula>
    </cfRule>
  </conditionalFormatting>
  <conditionalFormatting sqref="R130">
    <cfRule type="cellIs" dxfId="8642" priority="1226" operator="lessThan">
      <formula>0.8</formula>
    </cfRule>
    <cfRule type="cellIs" dxfId="8641" priority="1227" operator="greaterThan">
      <formula>1</formula>
    </cfRule>
  </conditionalFormatting>
  <conditionalFormatting sqref="R130">
    <cfRule type="cellIs" dxfId="8640" priority="1224" operator="greaterThan">
      <formula>1</formula>
    </cfRule>
    <cfRule type="cellIs" dxfId="8639" priority="1225" operator="lessThan">
      <formula>0.8</formula>
    </cfRule>
  </conditionalFormatting>
  <conditionalFormatting sqref="P130">
    <cfRule type="cellIs" dxfId="8638" priority="1223" operator="greaterThan">
      <formula>0</formula>
    </cfRule>
  </conditionalFormatting>
  <conditionalFormatting sqref="Q130">
    <cfRule type="cellIs" dxfId="8637" priority="1222" operator="lessThan">
      <formula>0</formula>
    </cfRule>
  </conditionalFormatting>
  <conditionalFormatting sqref="R130">
    <cfRule type="cellIs" dxfId="8636" priority="1220" operator="lessThan">
      <formula>0.8</formula>
    </cfRule>
    <cfRule type="cellIs" dxfId="8635" priority="1221" operator="greaterThan">
      <formula>1</formula>
    </cfRule>
  </conditionalFormatting>
  <conditionalFormatting sqref="R130">
    <cfRule type="cellIs" dxfId="8634" priority="1218" operator="greaterThan">
      <formula>1</formula>
    </cfRule>
    <cfRule type="cellIs" dxfId="8633" priority="1219" operator="lessThan">
      <formula>0.8</formula>
    </cfRule>
  </conditionalFormatting>
  <conditionalFormatting sqref="P130">
    <cfRule type="cellIs" dxfId="8632" priority="1217" operator="greaterThan">
      <formula>0</formula>
    </cfRule>
  </conditionalFormatting>
  <conditionalFormatting sqref="Q130">
    <cfRule type="cellIs" dxfId="8631" priority="1216" operator="lessThan">
      <formula>0</formula>
    </cfRule>
  </conditionalFormatting>
  <conditionalFormatting sqref="R130">
    <cfRule type="cellIs" dxfId="8630" priority="1214" operator="lessThan">
      <formula>0.8</formula>
    </cfRule>
    <cfRule type="cellIs" dxfId="8629" priority="1215" operator="greaterThan">
      <formula>1</formula>
    </cfRule>
  </conditionalFormatting>
  <conditionalFormatting sqref="R130">
    <cfRule type="cellIs" dxfId="8628" priority="1212" operator="greaterThan">
      <formula>1</formula>
    </cfRule>
    <cfRule type="cellIs" dxfId="8627" priority="1213" operator="lessThan">
      <formula>0.8</formula>
    </cfRule>
  </conditionalFormatting>
  <conditionalFormatting sqref="P130">
    <cfRule type="cellIs" dxfId="8626" priority="1211" operator="greaterThan">
      <formula>0</formula>
    </cfRule>
  </conditionalFormatting>
  <conditionalFormatting sqref="Q130">
    <cfRule type="cellIs" dxfId="8625" priority="1210" operator="lessThan">
      <formula>0</formula>
    </cfRule>
  </conditionalFormatting>
  <conditionalFormatting sqref="R130">
    <cfRule type="cellIs" dxfId="8624" priority="1208" operator="lessThan">
      <formula>0.8</formula>
    </cfRule>
    <cfRule type="cellIs" dxfId="8623" priority="1209" operator="greaterThan">
      <formula>1</formula>
    </cfRule>
  </conditionalFormatting>
  <conditionalFormatting sqref="R130">
    <cfRule type="cellIs" dxfId="8622" priority="1206" operator="greaterThan">
      <formula>1</formula>
    </cfRule>
    <cfRule type="cellIs" dxfId="8621" priority="1207" operator="lessThan">
      <formula>0.8</formula>
    </cfRule>
  </conditionalFormatting>
  <conditionalFormatting sqref="P130">
    <cfRule type="cellIs" dxfId="8620" priority="1205" operator="greaterThan">
      <formula>0</formula>
    </cfRule>
  </conditionalFormatting>
  <conditionalFormatting sqref="Q130">
    <cfRule type="cellIs" dxfId="8619" priority="1204" operator="lessThan">
      <formula>0</formula>
    </cfRule>
  </conditionalFormatting>
  <conditionalFormatting sqref="R130">
    <cfRule type="cellIs" dxfId="8618" priority="1202" operator="lessThan">
      <formula>0.8</formula>
    </cfRule>
    <cfRule type="cellIs" dxfId="8617" priority="1203" operator="greaterThan">
      <formula>1</formula>
    </cfRule>
  </conditionalFormatting>
  <conditionalFormatting sqref="R130">
    <cfRule type="cellIs" dxfId="8616" priority="1200" operator="greaterThan">
      <formula>1</formula>
    </cfRule>
    <cfRule type="cellIs" dxfId="8615" priority="1201" operator="lessThan">
      <formula>0.8</formula>
    </cfRule>
  </conditionalFormatting>
  <conditionalFormatting sqref="P130">
    <cfRule type="cellIs" dxfId="8614" priority="1199" operator="greaterThan">
      <formula>0</formula>
    </cfRule>
  </conditionalFormatting>
  <conditionalFormatting sqref="P130">
    <cfRule type="cellIs" dxfId="8613" priority="1193" operator="greaterThan">
      <formula>0</formula>
    </cfRule>
  </conditionalFormatting>
  <conditionalFormatting sqref="Q130">
    <cfRule type="cellIs" dxfId="8612" priority="1198" operator="lessThan">
      <formula>0</formula>
    </cfRule>
  </conditionalFormatting>
  <conditionalFormatting sqref="R130">
    <cfRule type="cellIs" dxfId="8611" priority="1196" operator="lessThan">
      <formula>0.8</formula>
    </cfRule>
    <cfRule type="cellIs" dxfId="8610" priority="1197" operator="greaterThan">
      <formula>1</formula>
    </cfRule>
  </conditionalFormatting>
  <conditionalFormatting sqref="R130">
    <cfRule type="cellIs" dxfId="8609" priority="1194" operator="greaterThan">
      <formula>1</formula>
    </cfRule>
    <cfRule type="cellIs" dxfId="8608" priority="1195" operator="lessThan">
      <formula>0.8</formula>
    </cfRule>
  </conditionalFormatting>
  <conditionalFormatting sqref="P130">
    <cfRule type="cellIs" dxfId="8607" priority="1187" operator="greaterThan">
      <formula>0</formula>
    </cfRule>
  </conditionalFormatting>
  <conditionalFormatting sqref="Q130">
    <cfRule type="cellIs" dxfId="8606" priority="1192" operator="lessThan">
      <formula>0</formula>
    </cfRule>
  </conditionalFormatting>
  <conditionalFormatting sqref="R130">
    <cfRule type="cellIs" dxfId="8605" priority="1190" operator="lessThan">
      <formula>0.8</formula>
    </cfRule>
    <cfRule type="cellIs" dxfId="8604" priority="1191" operator="greaterThan">
      <formula>1</formula>
    </cfRule>
  </conditionalFormatting>
  <conditionalFormatting sqref="R130">
    <cfRule type="cellIs" dxfId="8603" priority="1188" operator="greaterThan">
      <formula>1</formula>
    </cfRule>
    <cfRule type="cellIs" dxfId="8602" priority="1189" operator="lessThan">
      <formula>0.8</formula>
    </cfRule>
  </conditionalFormatting>
  <conditionalFormatting sqref="R130">
    <cfRule type="cellIs" dxfId="8601" priority="1184" operator="lessThan">
      <formula>0.8</formula>
    </cfRule>
    <cfRule type="cellIs" dxfId="8600" priority="1185" operator="greaterThan">
      <formula>1</formula>
    </cfRule>
  </conditionalFormatting>
  <conditionalFormatting sqref="R130">
    <cfRule type="cellIs" dxfId="8599" priority="1182" operator="greaterThan">
      <formula>1</formula>
    </cfRule>
    <cfRule type="cellIs" dxfId="8598" priority="1183" operator="lessThan">
      <formula>0.8</formula>
    </cfRule>
  </conditionalFormatting>
  <conditionalFormatting sqref="P130">
    <cfRule type="cellIs" dxfId="8597" priority="1181" operator="greaterThan">
      <formula>0</formula>
    </cfRule>
  </conditionalFormatting>
  <conditionalFormatting sqref="Q130">
    <cfRule type="cellIs" dxfId="8596" priority="1186" operator="lessThan">
      <formula>0</formula>
    </cfRule>
  </conditionalFormatting>
  <conditionalFormatting sqref="Q130">
    <cfRule type="cellIs" dxfId="8595" priority="1175" operator="lessThan">
      <formula>0</formula>
    </cfRule>
  </conditionalFormatting>
  <conditionalFormatting sqref="P130">
    <cfRule type="cellIs" dxfId="8594" priority="1176" operator="greaterThan">
      <formula>0</formula>
    </cfRule>
  </conditionalFormatting>
  <conditionalFormatting sqref="R130">
    <cfRule type="cellIs" dxfId="8593" priority="1179" operator="lessThan">
      <formula>0.8</formula>
    </cfRule>
    <cfRule type="cellIs" dxfId="8592" priority="1180" operator="greaterThan">
      <formula>1</formula>
    </cfRule>
  </conditionalFormatting>
  <conditionalFormatting sqref="R130">
    <cfRule type="cellIs" dxfId="8591" priority="1177" operator="greaterThan">
      <formula>1</formula>
    </cfRule>
    <cfRule type="cellIs" dxfId="8590" priority="1178" operator="lessThan">
      <formula>0.8</formula>
    </cfRule>
  </conditionalFormatting>
  <conditionalFormatting sqref="Q130">
    <cfRule type="cellIs" dxfId="8589" priority="1169" operator="lessThan">
      <formula>0</formula>
    </cfRule>
  </conditionalFormatting>
  <conditionalFormatting sqref="R130">
    <cfRule type="cellIs" dxfId="8588" priority="1173" operator="lessThan">
      <formula>0.8</formula>
    </cfRule>
    <cfRule type="cellIs" dxfId="8587" priority="1174" operator="greaterThan">
      <formula>1</formula>
    </cfRule>
  </conditionalFormatting>
  <conditionalFormatting sqref="R130">
    <cfRule type="cellIs" dxfId="8586" priority="1171" operator="greaterThan">
      <formula>1</formula>
    </cfRule>
    <cfRule type="cellIs" dxfId="8585" priority="1172" operator="lessThan">
      <formula>0.8</formula>
    </cfRule>
  </conditionalFormatting>
  <conditionalFormatting sqref="P130">
    <cfRule type="cellIs" dxfId="8584" priority="1170" operator="greaterThan">
      <formula>0</formula>
    </cfRule>
  </conditionalFormatting>
  <conditionalFormatting sqref="Q130">
    <cfRule type="cellIs" dxfId="8583" priority="1168" operator="lessThan">
      <formula>0</formula>
    </cfRule>
  </conditionalFormatting>
  <conditionalFormatting sqref="R130">
    <cfRule type="cellIs" dxfId="8582" priority="1166" operator="lessThan">
      <formula>0.8</formula>
    </cfRule>
    <cfRule type="cellIs" dxfId="8581" priority="1167" operator="greaterThan">
      <formula>1</formula>
    </cfRule>
  </conditionalFormatting>
  <conditionalFormatting sqref="R130">
    <cfRule type="cellIs" dxfId="8580" priority="1164" operator="greaterThan">
      <formula>1</formula>
    </cfRule>
    <cfRule type="cellIs" dxfId="8579" priority="1165" operator="lessThan">
      <formula>0.8</formula>
    </cfRule>
  </conditionalFormatting>
  <conditionalFormatting sqref="P130">
    <cfRule type="cellIs" dxfId="8578" priority="1163" operator="greaterThan">
      <formula>0</formula>
    </cfRule>
  </conditionalFormatting>
  <conditionalFormatting sqref="Q130">
    <cfRule type="cellIs" dxfId="8577" priority="1162" operator="lessThan">
      <formula>0</formula>
    </cfRule>
  </conditionalFormatting>
  <conditionalFormatting sqref="R130">
    <cfRule type="cellIs" dxfId="8576" priority="1160" operator="lessThan">
      <formula>0.8</formula>
    </cfRule>
    <cfRule type="cellIs" dxfId="8575" priority="1161" operator="greaterThan">
      <formula>1</formula>
    </cfRule>
  </conditionalFormatting>
  <conditionalFormatting sqref="R130">
    <cfRule type="cellIs" dxfId="8574" priority="1158" operator="greaterThan">
      <formula>1</formula>
    </cfRule>
    <cfRule type="cellIs" dxfId="8573" priority="1159" operator="lessThan">
      <formula>0.8</formula>
    </cfRule>
  </conditionalFormatting>
  <conditionalFormatting sqref="P130">
    <cfRule type="cellIs" dxfId="8572" priority="1157" operator="greaterThan">
      <formula>0</formula>
    </cfRule>
  </conditionalFormatting>
  <conditionalFormatting sqref="Q130">
    <cfRule type="cellIs" dxfId="8571" priority="1151" operator="lessThan">
      <formula>0</formula>
    </cfRule>
  </conditionalFormatting>
  <conditionalFormatting sqref="P130">
    <cfRule type="cellIs" dxfId="8570" priority="1152" operator="greaterThan">
      <formula>0</formula>
    </cfRule>
  </conditionalFormatting>
  <conditionalFormatting sqref="R130">
    <cfRule type="cellIs" dxfId="8569" priority="1155" operator="lessThan">
      <formula>0.8</formula>
    </cfRule>
    <cfRule type="cellIs" dxfId="8568" priority="1156" operator="greaterThan">
      <formula>1</formula>
    </cfRule>
  </conditionalFormatting>
  <conditionalFormatting sqref="R130">
    <cfRule type="cellIs" dxfId="8567" priority="1153" operator="greaterThan">
      <formula>1</formula>
    </cfRule>
    <cfRule type="cellIs" dxfId="8566" priority="1154" operator="lessThan">
      <formula>0.8</formula>
    </cfRule>
  </conditionalFormatting>
  <conditionalFormatting sqref="Q130">
    <cfRule type="cellIs" dxfId="8565" priority="1145" operator="lessThan">
      <formula>0</formula>
    </cfRule>
  </conditionalFormatting>
  <conditionalFormatting sqref="R130">
    <cfRule type="cellIs" dxfId="8564" priority="1149" operator="lessThan">
      <formula>0.8</formula>
    </cfRule>
    <cfRule type="cellIs" dxfId="8563" priority="1150" operator="greaterThan">
      <formula>1</formula>
    </cfRule>
  </conditionalFormatting>
  <conditionalFormatting sqref="R130">
    <cfRule type="cellIs" dxfId="8562" priority="1147" operator="greaterThan">
      <formula>1</formula>
    </cfRule>
    <cfRule type="cellIs" dxfId="8561" priority="1148" operator="lessThan">
      <formula>0.8</formula>
    </cfRule>
  </conditionalFormatting>
  <conditionalFormatting sqref="P130">
    <cfRule type="cellIs" dxfId="8560" priority="1146" operator="greaterThan">
      <formula>0</formula>
    </cfRule>
  </conditionalFormatting>
  <conditionalFormatting sqref="Q130">
    <cfRule type="cellIs" dxfId="8559" priority="1144" operator="lessThan">
      <formula>0</formula>
    </cfRule>
  </conditionalFormatting>
  <conditionalFormatting sqref="R130">
    <cfRule type="cellIs" dxfId="8558" priority="1142" operator="lessThan">
      <formula>0.8</formula>
    </cfRule>
    <cfRule type="cellIs" dxfId="8557" priority="1143" operator="greaterThan">
      <formula>1</formula>
    </cfRule>
  </conditionalFormatting>
  <conditionalFormatting sqref="R130">
    <cfRule type="cellIs" dxfId="8556" priority="1140" operator="greaterThan">
      <formula>1</formula>
    </cfRule>
    <cfRule type="cellIs" dxfId="8555" priority="1141" operator="lessThan">
      <formula>0.8</formula>
    </cfRule>
  </conditionalFormatting>
  <conditionalFormatting sqref="P130">
    <cfRule type="cellIs" dxfId="8554" priority="1139" operator="greaterThan">
      <formula>0</formula>
    </cfRule>
  </conditionalFormatting>
  <conditionalFormatting sqref="Q130">
    <cfRule type="cellIs" dxfId="8553" priority="1138" operator="lessThan">
      <formula>0</formula>
    </cfRule>
  </conditionalFormatting>
  <conditionalFormatting sqref="R130">
    <cfRule type="cellIs" dxfId="8552" priority="1136" operator="lessThan">
      <formula>0.8</formula>
    </cfRule>
    <cfRule type="cellIs" dxfId="8551" priority="1137" operator="greaterThan">
      <formula>1</formula>
    </cfRule>
  </conditionalFormatting>
  <conditionalFormatting sqref="R130">
    <cfRule type="cellIs" dxfId="8550" priority="1134" operator="greaterThan">
      <formula>1</formula>
    </cfRule>
    <cfRule type="cellIs" dxfId="8549" priority="1135" operator="lessThan">
      <formula>0.8</formula>
    </cfRule>
  </conditionalFormatting>
  <conditionalFormatting sqref="P130">
    <cfRule type="cellIs" dxfId="8548" priority="1133" operator="greaterThan">
      <formula>0</formula>
    </cfRule>
  </conditionalFormatting>
  <conditionalFormatting sqref="P130">
    <cfRule type="cellIs" dxfId="8547" priority="1127" operator="greaterThan">
      <formula>0</formula>
    </cfRule>
  </conditionalFormatting>
  <conditionalFormatting sqref="Q130">
    <cfRule type="cellIs" dxfId="8546" priority="1132" operator="lessThan">
      <formula>0</formula>
    </cfRule>
  </conditionalFormatting>
  <conditionalFormatting sqref="R130">
    <cfRule type="cellIs" dxfId="8545" priority="1130" operator="lessThan">
      <formula>0.8</formula>
    </cfRule>
    <cfRule type="cellIs" dxfId="8544" priority="1131" operator="greaterThan">
      <formula>1</formula>
    </cfRule>
  </conditionalFormatting>
  <conditionalFormatting sqref="R130">
    <cfRule type="cellIs" dxfId="8543" priority="1128" operator="greaterThan">
      <formula>1</formula>
    </cfRule>
    <cfRule type="cellIs" dxfId="8542" priority="1129" operator="lessThan">
      <formula>0.8</formula>
    </cfRule>
  </conditionalFormatting>
  <conditionalFormatting sqref="P130">
    <cfRule type="cellIs" dxfId="8541" priority="1121" operator="greaterThan">
      <formula>0</formula>
    </cfRule>
  </conditionalFormatting>
  <conditionalFormatting sqref="Q130">
    <cfRule type="cellIs" dxfId="8540" priority="1126" operator="lessThan">
      <formula>0</formula>
    </cfRule>
  </conditionalFormatting>
  <conditionalFormatting sqref="R130">
    <cfRule type="cellIs" dxfId="8539" priority="1124" operator="lessThan">
      <formula>0.8</formula>
    </cfRule>
    <cfRule type="cellIs" dxfId="8538" priority="1125" operator="greaterThan">
      <formula>1</formula>
    </cfRule>
  </conditionalFormatting>
  <conditionalFormatting sqref="R130">
    <cfRule type="cellIs" dxfId="8537" priority="1122" operator="greaterThan">
      <formula>1</formula>
    </cfRule>
    <cfRule type="cellIs" dxfId="8536" priority="1123" operator="lessThan">
      <formula>0.8</formula>
    </cfRule>
  </conditionalFormatting>
  <conditionalFormatting sqref="Q130">
    <cfRule type="cellIs" dxfId="8535" priority="1115" operator="lessThan">
      <formula>0</formula>
    </cfRule>
  </conditionalFormatting>
  <conditionalFormatting sqref="R130">
    <cfRule type="cellIs" dxfId="8534" priority="1119" operator="lessThan">
      <formula>0.8</formula>
    </cfRule>
    <cfRule type="cellIs" dxfId="8533" priority="1120" operator="greaterThan">
      <formula>1</formula>
    </cfRule>
  </conditionalFormatting>
  <conditionalFormatting sqref="R130">
    <cfRule type="cellIs" dxfId="8532" priority="1117" operator="greaterThan">
      <formula>1</formula>
    </cfRule>
    <cfRule type="cellIs" dxfId="8531" priority="1118" operator="lessThan">
      <formula>0.8</formula>
    </cfRule>
  </conditionalFormatting>
  <conditionalFormatting sqref="P130">
    <cfRule type="cellIs" dxfId="8530" priority="1116" operator="greaterThan">
      <formula>0</formula>
    </cfRule>
  </conditionalFormatting>
  <conditionalFormatting sqref="Q130">
    <cfRule type="cellIs" dxfId="8529" priority="1114" operator="lessThan">
      <formula>0</formula>
    </cfRule>
  </conditionalFormatting>
  <conditionalFormatting sqref="R130">
    <cfRule type="cellIs" dxfId="8528" priority="1112" operator="lessThan">
      <formula>0.8</formula>
    </cfRule>
    <cfRule type="cellIs" dxfId="8527" priority="1113" operator="greaterThan">
      <formula>1</formula>
    </cfRule>
  </conditionalFormatting>
  <conditionalFormatting sqref="R130">
    <cfRule type="cellIs" dxfId="8526" priority="1110" operator="greaterThan">
      <formula>1</formula>
    </cfRule>
    <cfRule type="cellIs" dxfId="8525" priority="1111" operator="lessThan">
      <formula>0.8</formula>
    </cfRule>
  </conditionalFormatting>
  <conditionalFormatting sqref="P130">
    <cfRule type="cellIs" dxfId="8524" priority="1109" operator="greaterThan">
      <formula>0</formula>
    </cfRule>
  </conditionalFormatting>
  <conditionalFormatting sqref="Q130">
    <cfRule type="cellIs" dxfId="8523" priority="1108" operator="lessThan">
      <formula>0</formula>
    </cfRule>
  </conditionalFormatting>
  <conditionalFormatting sqref="R130">
    <cfRule type="cellIs" dxfId="8522" priority="1106" operator="lessThan">
      <formula>0.8</formula>
    </cfRule>
    <cfRule type="cellIs" dxfId="8521" priority="1107" operator="greaterThan">
      <formula>1</formula>
    </cfRule>
  </conditionalFormatting>
  <conditionalFormatting sqref="R130">
    <cfRule type="cellIs" dxfId="8520" priority="1104" operator="greaterThan">
      <formula>1</formula>
    </cfRule>
    <cfRule type="cellIs" dxfId="8519" priority="1105" operator="lessThan">
      <formula>0.8</formula>
    </cfRule>
  </conditionalFormatting>
  <conditionalFormatting sqref="P130">
    <cfRule type="cellIs" dxfId="8518" priority="1103" operator="greaterThan">
      <formula>0</formula>
    </cfRule>
  </conditionalFormatting>
  <conditionalFormatting sqref="Q130">
    <cfRule type="cellIs" dxfId="8517" priority="1102" operator="lessThan">
      <formula>0</formula>
    </cfRule>
  </conditionalFormatting>
  <conditionalFormatting sqref="R130">
    <cfRule type="cellIs" dxfId="8516" priority="1100" operator="lessThan">
      <formula>0.8</formula>
    </cfRule>
    <cfRule type="cellIs" dxfId="8515" priority="1101" operator="greaterThan">
      <formula>1</formula>
    </cfRule>
  </conditionalFormatting>
  <conditionalFormatting sqref="R130">
    <cfRule type="cellIs" dxfId="8514" priority="1098" operator="greaterThan">
      <formula>1</formula>
    </cfRule>
    <cfRule type="cellIs" dxfId="8513" priority="1099" operator="lessThan">
      <formula>0.8</formula>
    </cfRule>
  </conditionalFormatting>
  <conditionalFormatting sqref="P130">
    <cfRule type="cellIs" dxfId="8512" priority="1097" operator="greaterThan">
      <formula>0</formula>
    </cfRule>
  </conditionalFormatting>
  <conditionalFormatting sqref="Q130">
    <cfRule type="cellIs" dxfId="8511" priority="1096" operator="lessThan">
      <formula>0</formula>
    </cfRule>
  </conditionalFormatting>
  <conditionalFormatting sqref="R130">
    <cfRule type="cellIs" dxfId="8510" priority="1094" operator="lessThan">
      <formula>0.8</formula>
    </cfRule>
    <cfRule type="cellIs" dxfId="8509" priority="1095" operator="greaterThan">
      <formula>1</formula>
    </cfRule>
  </conditionalFormatting>
  <conditionalFormatting sqref="R130">
    <cfRule type="cellIs" dxfId="8508" priority="1092" operator="greaterThan">
      <formula>1</formula>
    </cfRule>
    <cfRule type="cellIs" dxfId="8507" priority="1093" operator="lessThan">
      <formula>0.8</formula>
    </cfRule>
  </conditionalFormatting>
  <conditionalFormatting sqref="P130">
    <cfRule type="cellIs" dxfId="8506" priority="1091" operator="greaterThan">
      <formula>0</formula>
    </cfRule>
  </conditionalFormatting>
  <conditionalFormatting sqref="Q130">
    <cfRule type="cellIs" dxfId="8505" priority="1090" operator="lessThan">
      <formula>0</formula>
    </cfRule>
  </conditionalFormatting>
  <conditionalFormatting sqref="R130">
    <cfRule type="cellIs" dxfId="8504" priority="1088" operator="lessThan">
      <formula>0.8</formula>
    </cfRule>
    <cfRule type="cellIs" dxfId="8503" priority="1089" operator="greaterThan">
      <formula>1</formula>
    </cfRule>
  </conditionalFormatting>
  <conditionalFormatting sqref="R130">
    <cfRule type="cellIs" dxfId="8502" priority="1086" operator="greaterThan">
      <formula>1</formula>
    </cfRule>
    <cfRule type="cellIs" dxfId="8501" priority="1087" operator="lessThan">
      <formula>0.8</formula>
    </cfRule>
  </conditionalFormatting>
  <conditionalFormatting sqref="P130">
    <cfRule type="cellIs" dxfId="8500" priority="1085" operator="greaterThan">
      <formula>0</formula>
    </cfRule>
  </conditionalFormatting>
  <conditionalFormatting sqref="P130">
    <cfRule type="cellIs" dxfId="8499" priority="1079" operator="greaterThan">
      <formula>0</formula>
    </cfRule>
  </conditionalFormatting>
  <conditionalFormatting sqref="Q130">
    <cfRule type="cellIs" dxfId="8498" priority="1084" operator="lessThan">
      <formula>0</formula>
    </cfRule>
  </conditionalFormatting>
  <conditionalFormatting sqref="R130">
    <cfRule type="cellIs" dxfId="8497" priority="1082" operator="lessThan">
      <formula>0.8</formula>
    </cfRule>
    <cfRule type="cellIs" dxfId="8496" priority="1083" operator="greaterThan">
      <formula>1</formula>
    </cfRule>
  </conditionalFormatting>
  <conditionalFormatting sqref="R130">
    <cfRule type="cellIs" dxfId="8495" priority="1080" operator="greaterThan">
      <formula>1</formula>
    </cfRule>
    <cfRule type="cellIs" dxfId="8494" priority="1081" operator="lessThan">
      <formula>0.8</formula>
    </cfRule>
  </conditionalFormatting>
  <conditionalFormatting sqref="P130">
    <cfRule type="cellIs" dxfId="8493" priority="1073" operator="greaterThan">
      <formula>0</formula>
    </cfRule>
  </conditionalFormatting>
  <conditionalFormatting sqref="Q130">
    <cfRule type="cellIs" dxfId="8492" priority="1078" operator="lessThan">
      <formula>0</formula>
    </cfRule>
  </conditionalFormatting>
  <conditionalFormatting sqref="R130">
    <cfRule type="cellIs" dxfId="8491" priority="1076" operator="lessThan">
      <formula>0.8</formula>
    </cfRule>
    <cfRule type="cellIs" dxfId="8490" priority="1077" operator="greaterThan">
      <formula>1</formula>
    </cfRule>
  </conditionalFormatting>
  <conditionalFormatting sqref="R130">
    <cfRule type="cellIs" dxfId="8489" priority="1074" operator="greaterThan">
      <formula>1</formula>
    </cfRule>
    <cfRule type="cellIs" dxfId="8488" priority="1075" operator="lessThan">
      <formula>0.8</formula>
    </cfRule>
  </conditionalFormatting>
  <conditionalFormatting sqref="R130">
    <cfRule type="cellIs" dxfId="8487" priority="1070" operator="lessThan">
      <formula>0.8</formula>
    </cfRule>
    <cfRule type="cellIs" dxfId="8486" priority="1071" operator="greaterThan">
      <formula>1</formula>
    </cfRule>
  </conditionalFormatting>
  <conditionalFormatting sqref="R130">
    <cfRule type="cellIs" dxfId="8485" priority="1068" operator="greaterThan">
      <formula>1</formula>
    </cfRule>
    <cfRule type="cellIs" dxfId="8484" priority="1069" operator="lessThan">
      <formula>0.8</formula>
    </cfRule>
  </conditionalFormatting>
  <conditionalFormatting sqref="P130">
    <cfRule type="cellIs" dxfId="8483" priority="1067" operator="greaterThan">
      <formula>0</formula>
    </cfRule>
  </conditionalFormatting>
  <conditionalFormatting sqref="Q130">
    <cfRule type="cellIs" dxfId="8482" priority="1072" operator="lessThan">
      <formula>0</formula>
    </cfRule>
  </conditionalFormatting>
  <conditionalFormatting sqref="Q130">
    <cfRule type="cellIs" dxfId="8481" priority="1061" operator="lessThan">
      <formula>0</formula>
    </cfRule>
  </conditionalFormatting>
  <conditionalFormatting sqref="P130">
    <cfRule type="cellIs" dxfId="8480" priority="1062" operator="greaterThan">
      <formula>0</formula>
    </cfRule>
  </conditionalFormatting>
  <conditionalFormatting sqref="R130">
    <cfRule type="cellIs" dxfId="8479" priority="1065" operator="lessThan">
      <formula>0.8</formula>
    </cfRule>
    <cfRule type="cellIs" dxfId="8478" priority="1066" operator="greaterThan">
      <formula>1</formula>
    </cfRule>
  </conditionalFormatting>
  <conditionalFormatting sqref="R130">
    <cfRule type="cellIs" dxfId="8477" priority="1063" operator="greaterThan">
      <formula>1</formula>
    </cfRule>
    <cfRule type="cellIs" dxfId="8476" priority="1064" operator="lessThan">
      <formula>0.8</formula>
    </cfRule>
  </conditionalFormatting>
  <conditionalFormatting sqref="Q130">
    <cfRule type="cellIs" dxfId="8475" priority="1055" operator="lessThan">
      <formula>0</formula>
    </cfRule>
  </conditionalFormatting>
  <conditionalFormatting sqref="R130">
    <cfRule type="cellIs" dxfId="8474" priority="1059" operator="lessThan">
      <formula>0.8</formula>
    </cfRule>
    <cfRule type="cellIs" dxfId="8473" priority="1060" operator="greaterThan">
      <formula>1</formula>
    </cfRule>
  </conditionalFormatting>
  <conditionalFormatting sqref="R130">
    <cfRule type="cellIs" dxfId="8472" priority="1057" operator="greaterThan">
      <formula>1</formula>
    </cfRule>
    <cfRule type="cellIs" dxfId="8471" priority="1058" operator="lessThan">
      <formula>0.8</formula>
    </cfRule>
  </conditionalFormatting>
  <conditionalFormatting sqref="P130">
    <cfRule type="cellIs" dxfId="8470" priority="1056" operator="greaterThan">
      <formula>0</formula>
    </cfRule>
  </conditionalFormatting>
  <conditionalFormatting sqref="Q130">
    <cfRule type="cellIs" dxfId="8469" priority="1054" operator="lessThan">
      <formula>0</formula>
    </cfRule>
  </conditionalFormatting>
  <conditionalFormatting sqref="R130">
    <cfRule type="cellIs" dxfId="8468" priority="1052" operator="lessThan">
      <formula>0.8</formula>
    </cfRule>
    <cfRule type="cellIs" dxfId="8467" priority="1053" operator="greaterThan">
      <formula>1</formula>
    </cfRule>
  </conditionalFormatting>
  <conditionalFormatting sqref="R130">
    <cfRule type="cellIs" dxfId="8466" priority="1050" operator="greaterThan">
      <formula>1</formula>
    </cfRule>
    <cfRule type="cellIs" dxfId="8465" priority="1051" operator="lessThan">
      <formula>0.8</formula>
    </cfRule>
  </conditionalFormatting>
  <conditionalFormatting sqref="P130">
    <cfRule type="cellIs" dxfId="8464" priority="1049" operator="greaterThan">
      <formula>0</formula>
    </cfRule>
  </conditionalFormatting>
  <conditionalFormatting sqref="Q130">
    <cfRule type="cellIs" dxfId="8463" priority="1048" operator="lessThan">
      <formula>0</formula>
    </cfRule>
  </conditionalFormatting>
  <conditionalFormatting sqref="R130">
    <cfRule type="cellIs" dxfId="8462" priority="1046" operator="lessThan">
      <formula>0.8</formula>
    </cfRule>
    <cfRule type="cellIs" dxfId="8461" priority="1047" operator="greaterThan">
      <formula>1</formula>
    </cfRule>
  </conditionalFormatting>
  <conditionalFormatting sqref="R130">
    <cfRule type="cellIs" dxfId="8460" priority="1044" operator="greaterThan">
      <formula>1</formula>
    </cfRule>
    <cfRule type="cellIs" dxfId="8459" priority="1045" operator="lessThan">
      <formula>0.8</formula>
    </cfRule>
  </conditionalFormatting>
  <conditionalFormatting sqref="P130">
    <cfRule type="cellIs" dxfId="8458" priority="1043" operator="greaterThan">
      <formula>0</formula>
    </cfRule>
  </conditionalFormatting>
  <conditionalFormatting sqref="P131">
    <cfRule type="cellIs" dxfId="8457" priority="1042" operator="greaterThan">
      <formula>0</formula>
    </cfRule>
  </conditionalFormatting>
  <conditionalFormatting sqref="Q131">
    <cfRule type="cellIs" dxfId="8456" priority="1041" operator="lessThan">
      <formula>0</formula>
    </cfRule>
  </conditionalFormatting>
  <conditionalFormatting sqref="R131">
    <cfRule type="cellIs" dxfId="8455" priority="1039" operator="lessThan">
      <formula>0.8</formula>
    </cfRule>
    <cfRule type="cellIs" dxfId="8454" priority="1040" operator="greaterThan">
      <formula>1</formula>
    </cfRule>
  </conditionalFormatting>
  <conditionalFormatting sqref="R131">
    <cfRule type="cellIs" dxfId="8453" priority="1037" operator="greaterThan">
      <formula>1</formula>
    </cfRule>
    <cfRule type="cellIs" dxfId="8452" priority="1038" operator="lessThan">
      <formula>0.8</formula>
    </cfRule>
  </conditionalFormatting>
  <conditionalFormatting sqref="P131">
    <cfRule type="cellIs" dxfId="8451" priority="1036" operator="greaterThan">
      <formula>0</formula>
    </cfRule>
  </conditionalFormatting>
  <conditionalFormatting sqref="P137 P139 P141">
    <cfRule type="cellIs" dxfId="8450" priority="1035" operator="greaterThan">
      <formula>0</formula>
    </cfRule>
  </conditionalFormatting>
  <conditionalFormatting sqref="Q137 Q139 Q141">
    <cfRule type="cellIs" dxfId="8449" priority="1034" operator="lessThan">
      <formula>0</formula>
    </cfRule>
  </conditionalFormatting>
  <conditionalFormatting sqref="R137 R139 R141">
    <cfRule type="cellIs" dxfId="8448" priority="1032" operator="lessThan">
      <formula>0.8</formula>
    </cfRule>
    <cfRule type="cellIs" dxfId="8447" priority="1033" operator="greaterThan">
      <formula>1</formula>
    </cfRule>
  </conditionalFormatting>
  <conditionalFormatting sqref="R137 R139 R141">
    <cfRule type="cellIs" dxfId="8446" priority="1030" operator="greaterThan">
      <formula>1</formula>
    </cfRule>
    <cfRule type="cellIs" dxfId="8445" priority="1031" operator="lessThan">
      <formula>0.8</formula>
    </cfRule>
  </conditionalFormatting>
  <conditionalFormatting sqref="P137 P139 P141">
    <cfRule type="cellIs" dxfId="8444" priority="1029" operator="greaterThan">
      <formula>0</formula>
    </cfRule>
  </conditionalFormatting>
  <conditionalFormatting sqref="Q137 Q139 Q141">
    <cfRule type="cellIs" dxfId="8443" priority="1028" operator="lessThan">
      <formula>0</formula>
    </cfRule>
  </conditionalFormatting>
  <conditionalFormatting sqref="R137 R139 R141">
    <cfRule type="cellIs" dxfId="8442" priority="1026" operator="lessThan">
      <formula>0.8</formula>
    </cfRule>
    <cfRule type="cellIs" dxfId="8441" priority="1027" operator="greaterThan">
      <formula>1</formula>
    </cfRule>
  </conditionalFormatting>
  <conditionalFormatting sqref="R137 R139 R141">
    <cfRule type="cellIs" dxfId="8440" priority="1024" operator="greaterThan">
      <formula>1</formula>
    </cfRule>
    <cfRule type="cellIs" dxfId="8439" priority="1025" operator="lessThan">
      <formula>0.8</formula>
    </cfRule>
  </conditionalFormatting>
  <conditionalFormatting sqref="P137 P139 P141">
    <cfRule type="cellIs" dxfId="8438" priority="1023" operator="greaterThan">
      <formula>0</formula>
    </cfRule>
  </conditionalFormatting>
  <conditionalFormatting sqref="P137 P139 P141">
    <cfRule type="cellIs" dxfId="8437" priority="1017" operator="greaterThan">
      <formula>0</formula>
    </cfRule>
  </conditionalFormatting>
  <conditionalFormatting sqref="Q137 Q139 Q141">
    <cfRule type="cellIs" dxfId="8436" priority="1022" operator="lessThan">
      <formula>0</formula>
    </cfRule>
  </conditionalFormatting>
  <conditionalFormatting sqref="R137 R139 R141">
    <cfRule type="cellIs" dxfId="8435" priority="1020" operator="lessThan">
      <formula>0.8</formula>
    </cfRule>
    <cfRule type="cellIs" dxfId="8434" priority="1021" operator="greaterThan">
      <formula>1</formula>
    </cfRule>
  </conditionalFormatting>
  <conditionalFormatting sqref="R137 R139 R141">
    <cfRule type="cellIs" dxfId="8433" priority="1018" operator="greaterThan">
      <formula>1</formula>
    </cfRule>
    <cfRule type="cellIs" dxfId="8432" priority="1019" operator="lessThan">
      <formula>0.8</formula>
    </cfRule>
  </conditionalFormatting>
  <conditionalFormatting sqref="Q137 Q139 Q141">
    <cfRule type="cellIs" dxfId="8431" priority="1016" operator="lessThan">
      <formula>0</formula>
    </cfRule>
  </conditionalFormatting>
  <conditionalFormatting sqref="R137 R139 R141">
    <cfRule type="cellIs" dxfId="8430" priority="1014" operator="lessThan">
      <formula>0.8</formula>
    </cfRule>
    <cfRule type="cellIs" dxfId="8429" priority="1015" operator="greaterThan">
      <formula>1</formula>
    </cfRule>
  </conditionalFormatting>
  <conditionalFormatting sqref="R137 R139 R141">
    <cfRule type="cellIs" dxfId="8428" priority="1012" operator="greaterThan">
      <formula>1</formula>
    </cfRule>
    <cfRule type="cellIs" dxfId="8427" priority="1013" operator="lessThan">
      <formula>0.8</formula>
    </cfRule>
  </conditionalFormatting>
  <conditionalFormatting sqref="P137 P139 P141">
    <cfRule type="cellIs" dxfId="8426" priority="1011" operator="greaterThan">
      <formula>0</formula>
    </cfRule>
  </conditionalFormatting>
  <conditionalFormatting sqref="Q137 Q139 Q141">
    <cfRule type="cellIs" dxfId="8425" priority="1010" operator="lessThan">
      <formula>0</formula>
    </cfRule>
  </conditionalFormatting>
  <conditionalFormatting sqref="R137 R139 R141">
    <cfRule type="cellIs" dxfId="8424" priority="1008" operator="lessThan">
      <formula>0.8</formula>
    </cfRule>
    <cfRule type="cellIs" dxfId="8423" priority="1009" operator="greaterThan">
      <formula>1</formula>
    </cfRule>
  </conditionalFormatting>
  <conditionalFormatting sqref="R137 R139 R141">
    <cfRule type="cellIs" dxfId="8422" priority="1006" operator="greaterThan">
      <formula>1</formula>
    </cfRule>
    <cfRule type="cellIs" dxfId="8421" priority="1007" operator="lessThan">
      <formula>0.8</formula>
    </cfRule>
  </conditionalFormatting>
  <conditionalFormatting sqref="P137 P139 P141">
    <cfRule type="cellIs" dxfId="8420" priority="1005" operator="greaterThan">
      <formula>0</formula>
    </cfRule>
  </conditionalFormatting>
  <conditionalFormatting sqref="P137 P139 P141">
    <cfRule type="cellIs" dxfId="8419" priority="999" operator="greaterThan">
      <formula>0</formula>
    </cfRule>
  </conditionalFormatting>
  <conditionalFormatting sqref="Q137 Q139 Q141">
    <cfRule type="cellIs" dxfId="8418" priority="1004" operator="lessThan">
      <formula>0</formula>
    </cfRule>
  </conditionalFormatting>
  <conditionalFormatting sqref="R137 R139 R141">
    <cfRule type="cellIs" dxfId="8417" priority="1002" operator="lessThan">
      <formula>0.8</formula>
    </cfRule>
    <cfRule type="cellIs" dxfId="8416" priority="1003" operator="greaterThan">
      <formula>1</formula>
    </cfRule>
  </conditionalFormatting>
  <conditionalFormatting sqref="R137 R139 R141">
    <cfRule type="cellIs" dxfId="8415" priority="1000" operator="greaterThan">
      <formula>1</formula>
    </cfRule>
    <cfRule type="cellIs" dxfId="8414" priority="1001" operator="lessThan">
      <formula>0.8</formula>
    </cfRule>
  </conditionalFormatting>
  <conditionalFormatting sqref="Q137 Q139 Q141">
    <cfRule type="cellIs" dxfId="8413" priority="998" operator="lessThan">
      <formula>0</formula>
    </cfRule>
  </conditionalFormatting>
  <conditionalFormatting sqref="R137 R139 R141">
    <cfRule type="cellIs" dxfId="8412" priority="996" operator="lessThan">
      <formula>0.8</formula>
    </cfRule>
    <cfRule type="cellIs" dxfId="8411" priority="997" operator="greaterThan">
      <formula>1</formula>
    </cfRule>
  </conditionalFormatting>
  <conditionalFormatting sqref="R137 R139 R141">
    <cfRule type="cellIs" dxfId="8410" priority="994" operator="greaterThan">
      <formula>1</formula>
    </cfRule>
    <cfRule type="cellIs" dxfId="8409" priority="995" operator="lessThan">
      <formula>0.8</formula>
    </cfRule>
  </conditionalFormatting>
  <conditionalFormatting sqref="P137 P139 P141">
    <cfRule type="cellIs" dxfId="8408" priority="993" operator="greaterThan">
      <formula>0</formula>
    </cfRule>
  </conditionalFormatting>
  <conditionalFormatting sqref="Q137 Q139 Q141">
    <cfRule type="cellIs" dxfId="8407" priority="992" operator="lessThan">
      <formula>0</formula>
    </cfRule>
  </conditionalFormatting>
  <conditionalFormatting sqref="R137 R139 R141">
    <cfRule type="cellIs" dxfId="8406" priority="990" operator="lessThan">
      <formula>0.8</formula>
    </cfRule>
    <cfRule type="cellIs" dxfId="8405" priority="991" operator="greaterThan">
      <formula>1</formula>
    </cfRule>
  </conditionalFormatting>
  <conditionalFormatting sqref="R137 R139 R141">
    <cfRule type="cellIs" dxfId="8404" priority="988" operator="greaterThan">
      <formula>1</formula>
    </cfRule>
    <cfRule type="cellIs" dxfId="8403" priority="989" operator="lessThan">
      <formula>0.8</formula>
    </cfRule>
  </conditionalFormatting>
  <conditionalFormatting sqref="P137 P139 P141">
    <cfRule type="cellIs" dxfId="8402" priority="987" operator="greaterThan">
      <formula>0</formula>
    </cfRule>
  </conditionalFormatting>
  <conditionalFormatting sqref="P137 P139 P141">
    <cfRule type="cellIs" dxfId="8401" priority="981" operator="greaterThan">
      <formula>0</formula>
    </cfRule>
  </conditionalFormatting>
  <conditionalFormatting sqref="Q137 Q139 Q141">
    <cfRule type="cellIs" dxfId="8400" priority="986" operator="lessThan">
      <formula>0</formula>
    </cfRule>
  </conditionalFormatting>
  <conditionalFormatting sqref="R137 R139 R141">
    <cfRule type="cellIs" dxfId="8399" priority="984" operator="lessThan">
      <formula>0.8</formula>
    </cfRule>
    <cfRule type="cellIs" dxfId="8398" priority="985" operator="greaterThan">
      <formula>1</formula>
    </cfRule>
  </conditionalFormatting>
  <conditionalFormatting sqref="R137 R139 R141">
    <cfRule type="cellIs" dxfId="8397" priority="982" operator="greaterThan">
      <formula>1</formula>
    </cfRule>
    <cfRule type="cellIs" dxfId="8396" priority="983" operator="lessThan">
      <formula>0.8</formula>
    </cfRule>
  </conditionalFormatting>
  <conditionalFormatting sqref="Q137 Q139 Q141">
    <cfRule type="cellIs" dxfId="8395" priority="980" operator="lessThan">
      <formula>0</formula>
    </cfRule>
  </conditionalFormatting>
  <conditionalFormatting sqref="R137 R139 R141">
    <cfRule type="cellIs" dxfId="8394" priority="978" operator="lessThan">
      <formula>0.8</formula>
    </cfRule>
    <cfRule type="cellIs" dxfId="8393" priority="979" operator="greaterThan">
      <formula>1</formula>
    </cfRule>
  </conditionalFormatting>
  <conditionalFormatting sqref="R137 R139 R141">
    <cfRule type="cellIs" dxfId="8392" priority="976" operator="greaterThan">
      <formula>1</formula>
    </cfRule>
    <cfRule type="cellIs" dxfId="8391" priority="977" operator="lessThan">
      <formula>0.8</formula>
    </cfRule>
  </conditionalFormatting>
  <conditionalFormatting sqref="P137 P139 P141">
    <cfRule type="cellIs" dxfId="8390" priority="975" operator="greaterThan">
      <formula>0</formula>
    </cfRule>
  </conditionalFormatting>
  <conditionalFormatting sqref="P138 P140 P142:P143">
    <cfRule type="cellIs" dxfId="8389" priority="969" operator="greaterThan">
      <formula>0</formula>
    </cfRule>
  </conditionalFormatting>
  <conditionalFormatting sqref="Q138 Q140 Q142:Q143">
    <cfRule type="cellIs" dxfId="8388" priority="974" operator="lessThan">
      <formula>0</formula>
    </cfRule>
  </conditionalFormatting>
  <conditionalFormatting sqref="R138 R140 R142:R143">
    <cfRule type="cellIs" dxfId="8387" priority="972" operator="lessThan">
      <formula>0.8</formula>
    </cfRule>
    <cfRule type="cellIs" dxfId="8386" priority="973" operator="greaterThan">
      <formula>1</formula>
    </cfRule>
  </conditionalFormatting>
  <conditionalFormatting sqref="R138 R140 R142:R143">
    <cfRule type="cellIs" dxfId="8385" priority="970" operator="greaterThan">
      <formula>1</formula>
    </cfRule>
    <cfRule type="cellIs" dxfId="8384" priority="971" operator="lessThan">
      <formula>0.8</formula>
    </cfRule>
  </conditionalFormatting>
  <conditionalFormatting sqref="Q138 Q140 Q142:Q143">
    <cfRule type="cellIs" dxfId="8383" priority="968" operator="lessThan">
      <formula>0</formula>
    </cfRule>
  </conditionalFormatting>
  <conditionalFormatting sqref="R138 R140 R142:R143">
    <cfRule type="cellIs" dxfId="8382" priority="966" operator="lessThan">
      <formula>0.8</formula>
    </cfRule>
    <cfRule type="cellIs" dxfId="8381" priority="967" operator="greaterThan">
      <formula>1</formula>
    </cfRule>
  </conditionalFormatting>
  <conditionalFormatting sqref="R138 R140 R142:R143">
    <cfRule type="cellIs" dxfId="8380" priority="964" operator="greaterThan">
      <formula>1</formula>
    </cfRule>
    <cfRule type="cellIs" dxfId="8379" priority="965" operator="lessThan">
      <formula>0.8</formula>
    </cfRule>
  </conditionalFormatting>
  <conditionalFormatting sqref="P138 P140 P142:P143">
    <cfRule type="cellIs" dxfId="8378" priority="963" operator="greaterThan">
      <formula>0</formula>
    </cfRule>
  </conditionalFormatting>
  <conditionalFormatting sqref="Q138 Q140 Q142:Q143">
    <cfRule type="cellIs" dxfId="8377" priority="962" operator="lessThan">
      <formula>0</formula>
    </cfRule>
  </conditionalFormatting>
  <conditionalFormatting sqref="R138 R140 R142:R143">
    <cfRule type="cellIs" dxfId="8376" priority="960" operator="lessThan">
      <formula>0.8</formula>
    </cfRule>
    <cfRule type="cellIs" dxfId="8375" priority="961" operator="greaterThan">
      <formula>1</formula>
    </cfRule>
  </conditionalFormatting>
  <conditionalFormatting sqref="R138 R140 R142:R143">
    <cfRule type="cellIs" dxfId="8374" priority="958" operator="greaterThan">
      <formula>1</formula>
    </cfRule>
    <cfRule type="cellIs" dxfId="8373" priority="959" operator="lessThan">
      <formula>0.8</formula>
    </cfRule>
  </conditionalFormatting>
  <conditionalFormatting sqref="P138 P140 P142:P143">
    <cfRule type="cellIs" dxfId="8372" priority="957" operator="greaterThan">
      <formula>0</formula>
    </cfRule>
  </conditionalFormatting>
  <conditionalFormatting sqref="Q138 Q140 Q142:Q143">
    <cfRule type="cellIs" dxfId="8371" priority="956" operator="lessThan">
      <formula>0</formula>
    </cfRule>
  </conditionalFormatting>
  <conditionalFormatting sqref="R138 R140 R142:R143">
    <cfRule type="cellIs" dxfId="8370" priority="954" operator="lessThan">
      <formula>0.8</formula>
    </cfRule>
    <cfRule type="cellIs" dxfId="8369" priority="955" operator="greaterThan">
      <formula>1</formula>
    </cfRule>
  </conditionalFormatting>
  <conditionalFormatting sqref="R138 R140 R142:R143">
    <cfRule type="cellIs" dxfId="8368" priority="952" operator="greaterThan">
      <formula>1</formula>
    </cfRule>
    <cfRule type="cellIs" dxfId="8367" priority="953" operator="lessThan">
      <formula>0.8</formula>
    </cfRule>
  </conditionalFormatting>
  <conditionalFormatting sqref="P138 P140 P142:P143">
    <cfRule type="cellIs" dxfId="8366" priority="951" operator="greaterThan">
      <formula>0</formula>
    </cfRule>
  </conditionalFormatting>
  <conditionalFormatting sqref="Q138 Q140 Q142:Q143">
    <cfRule type="cellIs" dxfId="8365" priority="950" operator="lessThan">
      <formula>0</formula>
    </cfRule>
  </conditionalFormatting>
  <conditionalFormatting sqref="R138 R140 R142:R143">
    <cfRule type="cellIs" dxfId="8364" priority="948" operator="lessThan">
      <formula>0.8</formula>
    </cfRule>
    <cfRule type="cellIs" dxfId="8363" priority="949" operator="greaterThan">
      <formula>1</formula>
    </cfRule>
  </conditionalFormatting>
  <conditionalFormatting sqref="R138 R140 R142:R143">
    <cfRule type="cellIs" dxfId="8362" priority="946" operator="greaterThan">
      <formula>1</formula>
    </cfRule>
    <cfRule type="cellIs" dxfId="8361" priority="947" operator="lessThan">
      <formula>0.8</formula>
    </cfRule>
  </conditionalFormatting>
  <conditionalFormatting sqref="Q138 Q140 Q142:Q143">
    <cfRule type="cellIs" dxfId="8360" priority="945" operator="lessThan">
      <formula>0</formula>
    </cfRule>
  </conditionalFormatting>
  <conditionalFormatting sqref="R138 R140 R142:R143">
    <cfRule type="cellIs" dxfId="8359" priority="943" operator="lessThan">
      <formula>0.8</formula>
    </cfRule>
    <cfRule type="cellIs" dxfId="8358" priority="944" operator="greaterThan">
      <formula>1</formula>
    </cfRule>
  </conditionalFormatting>
  <conditionalFormatting sqref="R138 R140 R142:R143">
    <cfRule type="cellIs" dxfId="8357" priority="941" operator="greaterThan">
      <formula>1</formula>
    </cfRule>
    <cfRule type="cellIs" dxfId="8356" priority="942" operator="lessThan">
      <formula>0.8</formula>
    </cfRule>
  </conditionalFormatting>
  <conditionalFormatting sqref="P138 P140 P142:P143">
    <cfRule type="cellIs" dxfId="8355" priority="940" operator="greaterThan">
      <formula>0</formula>
    </cfRule>
  </conditionalFormatting>
  <conditionalFormatting sqref="P138 P140 P142:P143">
    <cfRule type="cellIs" dxfId="8354" priority="934" operator="greaterThan">
      <formula>0</formula>
    </cfRule>
  </conditionalFormatting>
  <conditionalFormatting sqref="Q138 Q140 Q142:Q143">
    <cfRule type="cellIs" dxfId="8353" priority="939" operator="lessThan">
      <formula>0</formula>
    </cfRule>
  </conditionalFormatting>
  <conditionalFormatting sqref="R138 R140 R142:R143">
    <cfRule type="cellIs" dxfId="8352" priority="937" operator="lessThan">
      <formula>0.8</formula>
    </cfRule>
    <cfRule type="cellIs" dxfId="8351" priority="938" operator="greaterThan">
      <formula>1</formula>
    </cfRule>
  </conditionalFormatting>
  <conditionalFormatting sqref="R138 R140 R142:R143">
    <cfRule type="cellIs" dxfId="8350" priority="935" operator="greaterThan">
      <formula>1</formula>
    </cfRule>
    <cfRule type="cellIs" dxfId="8349" priority="936" operator="lessThan">
      <formula>0.8</formula>
    </cfRule>
  </conditionalFormatting>
  <conditionalFormatting sqref="Q138 Q140 Q142:Q143">
    <cfRule type="cellIs" dxfId="8348" priority="933" operator="lessThan">
      <formula>0</formula>
    </cfRule>
  </conditionalFormatting>
  <conditionalFormatting sqref="R138 R140 R142:R143">
    <cfRule type="cellIs" dxfId="8347" priority="931" operator="lessThan">
      <formula>0.8</formula>
    </cfRule>
    <cfRule type="cellIs" dxfId="8346" priority="932" operator="greaterThan">
      <formula>1</formula>
    </cfRule>
  </conditionalFormatting>
  <conditionalFormatting sqref="R138 R140 R142:R143">
    <cfRule type="cellIs" dxfId="8345" priority="929" operator="greaterThan">
      <formula>1</formula>
    </cfRule>
    <cfRule type="cellIs" dxfId="8344" priority="930" operator="lessThan">
      <formula>0.8</formula>
    </cfRule>
  </conditionalFormatting>
  <conditionalFormatting sqref="P138 P140 P142:P143">
    <cfRule type="cellIs" dxfId="8343" priority="928" operator="greaterThan">
      <formula>0</formula>
    </cfRule>
  </conditionalFormatting>
  <conditionalFormatting sqref="Q148:Q153">
    <cfRule type="cellIs" dxfId="8342" priority="927" operator="lessThan">
      <formula>0</formula>
    </cfRule>
  </conditionalFormatting>
  <conditionalFormatting sqref="R148:R153">
    <cfRule type="cellIs" dxfId="8341" priority="925" operator="lessThan">
      <formula>0.8</formula>
    </cfRule>
    <cfRule type="cellIs" dxfId="8340" priority="926" operator="greaterThan">
      <formula>1</formula>
    </cfRule>
  </conditionalFormatting>
  <conditionalFormatting sqref="R148:R153">
    <cfRule type="cellIs" dxfId="8339" priority="923" operator="greaterThan">
      <formula>1</formula>
    </cfRule>
    <cfRule type="cellIs" dxfId="8338" priority="924" operator="lessThan">
      <formula>0.8</formula>
    </cfRule>
  </conditionalFormatting>
  <conditionalFormatting sqref="P148:P153">
    <cfRule type="cellIs" dxfId="8337" priority="922" operator="greaterThan">
      <formula>0</formula>
    </cfRule>
  </conditionalFormatting>
  <conditionalFormatting sqref="P148:P153">
    <cfRule type="cellIs" dxfId="8336" priority="916" operator="greaterThan">
      <formula>0</formula>
    </cfRule>
  </conditionalFormatting>
  <conditionalFormatting sqref="Q148:Q153">
    <cfRule type="cellIs" dxfId="8335" priority="921" operator="lessThan">
      <formula>0</formula>
    </cfRule>
  </conditionalFormatting>
  <conditionalFormatting sqref="R148:R153">
    <cfRule type="cellIs" dxfId="8334" priority="919" operator="lessThan">
      <formula>0.8</formula>
    </cfRule>
    <cfRule type="cellIs" dxfId="8333" priority="920" operator="greaterThan">
      <formula>1</formula>
    </cfRule>
  </conditionalFormatting>
  <conditionalFormatting sqref="R148:R153">
    <cfRule type="cellIs" dxfId="8332" priority="917" operator="greaterThan">
      <formula>1</formula>
    </cfRule>
    <cfRule type="cellIs" dxfId="8331" priority="918" operator="lessThan">
      <formula>0.8</formula>
    </cfRule>
  </conditionalFormatting>
  <conditionalFormatting sqref="Q148:Q153">
    <cfRule type="cellIs" dxfId="8330" priority="915" operator="lessThan">
      <formula>0</formula>
    </cfRule>
  </conditionalFormatting>
  <conditionalFormatting sqref="R148:R153">
    <cfRule type="cellIs" dxfId="8329" priority="913" operator="lessThan">
      <formula>0.8</formula>
    </cfRule>
    <cfRule type="cellIs" dxfId="8328" priority="914" operator="greaterThan">
      <formula>1</formula>
    </cfRule>
  </conditionalFormatting>
  <conditionalFormatting sqref="R148:R153">
    <cfRule type="cellIs" dxfId="8327" priority="911" operator="greaterThan">
      <formula>1</formula>
    </cfRule>
    <cfRule type="cellIs" dxfId="8326" priority="912" operator="lessThan">
      <formula>0.8</formula>
    </cfRule>
  </conditionalFormatting>
  <conditionalFormatting sqref="P148:P153">
    <cfRule type="cellIs" dxfId="8325" priority="910" operator="greaterThan">
      <formula>0</formula>
    </cfRule>
  </conditionalFormatting>
  <conditionalFormatting sqref="Q148:Q153">
    <cfRule type="cellIs" dxfId="8324" priority="909" operator="lessThan">
      <formula>0</formula>
    </cfRule>
  </conditionalFormatting>
  <conditionalFormatting sqref="R148:R153">
    <cfRule type="cellIs" dxfId="8323" priority="907" operator="lessThan">
      <formula>0.8</formula>
    </cfRule>
    <cfRule type="cellIs" dxfId="8322" priority="908" operator="greaterThan">
      <formula>1</formula>
    </cfRule>
  </conditionalFormatting>
  <conditionalFormatting sqref="R148:R153">
    <cfRule type="cellIs" dxfId="8321" priority="905" operator="greaterThan">
      <formula>1</formula>
    </cfRule>
    <cfRule type="cellIs" dxfId="8320" priority="906" operator="lessThan">
      <formula>0.8</formula>
    </cfRule>
  </conditionalFormatting>
  <conditionalFormatting sqref="P148:P153">
    <cfRule type="cellIs" dxfId="8319" priority="904" operator="greaterThan">
      <formula>0</formula>
    </cfRule>
  </conditionalFormatting>
  <conditionalFormatting sqref="P148:P153">
    <cfRule type="cellIs" dxfId="8318" priority="898" operator="greaterThan">
      <formula>0</formula>
    </cfRule>
  </conditionalFormatting>
  <conditionalFormatting sqref="Q148:Q153">
    <cfRule type="cellIs" dxfId="8317" priority="903" operator="lessThan">
      <formula>0</formula>
    </cfRule>
  </conditionalFormatting>
  <conditionalFormatting sqref="R148:R153">
    <cfRule type="cellIs" dxfId="8316" priority="901" operator="lessThan">
      <formula>0.8</formula>
    </cfRule>
    <cfRule type="cellIs" dxfId="8315" priority="902" operator="greaterThan">
      <formula>1</formula>
    </cfRule>
  </conditionalFormatting>
  <conditionalFormatting sqref="R148:R153">
    <cfRule type="cellIs" dxfId="8314" priority="899" operator="greaterThan">
      <formula>1</formula>
    </cfRule>
    <cfRule type="cellIs" dxfId="8313" priority="900" operator="lessThan">
      <formula>0.8</formula>
    </cfRule>
  </conditionalFormatting>
  <conditionalFormatting sqref="Q148:Q153">
    <cfRule type="cellIs" dxfId="8312" priority="897" operator="lessThan">
      <formula>0</formula>
    </cfRule>
  </conditionalFormatting>
  <conditionalFormatting sqref="R148:R153">
    <cfRule type="cellIs" dxfId="8311" priority="895" operator="lessThan">
      <formula>0.8</formula>
    </cfRule>
    <cfRule type="cellIs" dxfId="8310" priority="896" operator="greaterThan">
      <formula>1</formula>
    </cfRule>
  </conditionalFormatting>
  <conditionalFormatting sqref="R148:R153">
    <cfRule type="cellIs" dxfId="8309" priority="893" operator="greaterThan">
      <formula>1</formula>
    </cfRule>
    <cfRule type="cellIs" dxfId="8308" priority="894" operator="lessThan">
      <formula>0.8</formula>
    </cfRule>
  </conditionalFormatting>
  <conditionalFormatting sqref="P148:P153">
    <cfRule type="cellIs" dxfId="8307" priority="892" operator="greaterThan">
      <formula>0</formula>
    </cfRule>
  </conditionalFormatting>
  <conditionalFormatting sqref="Q148:Q153">
    <cfRule type="cellIs" dxfId="8306" priority="886" operator="lessThan">
      <formula>0</formula>
    </cfRule>
  </conditionalFormatting>
  <conditionalFormatting sqref="P148:P153">
    <cfRule type="cellIs" dxfId="8305" priority="887" operator="greaterThan">
      <formula>0</formula>
    </cfRule>
  </conditionalFormatting>
  <conditionalFormatting sqref="R148:R153">
    <cfRule type="cellIs" dxfId="8304" priority="890" operator="lessThan">
      <formula>0.8</formula>
    </cfRule>
    <cfRule type="cellIs" dxfId="8303" priority="891" operator="greaterThan">
      <formula>1</formula>
    </cfRule>
  </conditionalFormatting>
  <conditionalFormatting sqref="R148:R153">
    <cfRule type="cellIs" dxfId="8302" priority="888" operator="greaterThan">
      <formula>1</formula>
    </cfRule>
    <cfRule type="cellIs" dxfId="8301" priority="889" operator="lessThan">
      <formula>0.8</formula>
    </cfRule>
  </conditionalFormatting>
  <conditionalFormatting sqref="Q148:Q153">
    <cfRule type="cellIs" dxfId="8300" priority="880" operator="lessThan">
      <formula>0</formula>
    </cfRule>
  </conditionalFormatting>
  <conditionalFormatting sqref="R148:R153">
    <cfRule type="cellIs" dxfId="8299" priority="884" operator="lessThan">
      <formula>0.8</formula>
    </cfRule>
    <cfRule type="cellIs" dxfId="8298" priority="885" operator="greaterThan">
      <formula>1</formula>
    </cfRule>
  </conditionalFormatting>
  <conditionalFormatting sqref="R148:R153">
    <cfRule type="cellIs" dxfId="8297" priority="882" operator="greaterThan">
      <formula>1</formula>
    </cfRule>
    <cfRule type="cellIs" dxfId="8296" priority="883" operator="lessThan">
      <formula>0.8</formula>
    </cfRule>
  </conditionalFormatting>
  <conditionalFormatting sqref="P148:P153">
    <cfRule type="cellIs" dxfId="8295" priority="881" operator="greaterThan">
      <formula>0</formula>
    </cfRule>
  </conditionalFormatting>
  <conditionalFormatting sqref="Q148:Q153">
    <cfRule type="cellIs" dxfId="8294" priority="879" operator="lessThan">
      <formula>0</formula>
    </cfRule>
  </conditionalFormatting>
  <conditionalFormatting sqref="R148:R153">
    <cfRule type="cellIs" dxfId="8293" priority="877" operator="lessThan">
      <formula>0.8</formula>
    </cfRule>
    <cfRule type="cellIs" dxfId="8292" priority="878" operator="greaterThan">
      <formula>1</formula>
    </cfRule>
  </conditionalFormatting>
  <conditionalFormatting sqref="R148:R153">
    <cfRule type="cellIs" dxfId="8291" priority="875" operator="greaterThan">
      <formula>1</formula>
    </cfRule>
    <cfRule type="cellIs" dxfId="8290" priority="876" operator="lessThan">
      <formula>0.8</formula>
    </cfRule>
  </conditionalFormatting>
  <conditionalFormatting sqref="P148:P153">
    <cfRule type="cellIs" dxfId="8289" priority="874" operator="greaterThan">
      <formula>0</formula>
    </cfRule>
  </conditionalFormatting>
  <conditionalFormatting sqref="Q148:Q153">
    <cfRule type="cellIs" dxfId="8288" priority="873" operator="lessThan">
      <formula>0</formula>
    </cfRule>
  </conditionalFormatting>
  <conditionalFormatting sqref="R148:R153">
    <cfRule type="cellIs" dxfId="8287" priority="871" operator="lessThan">
      <formula>0.8</formula>
    </cfRule>
    <cfRule type="cellIs" dxfId="8286" priority="872" operator="greaterThan">
      <formula>1</formula>
    </cfRule>
  </conditionalFormatting>
  <conditionalFormatting sqref="R148:R153">
    <cfRule type="cellIs" dxfId="8285" priority="869" operator="greaterThan">
      <formula>1</formula>
    </cfRule>
    <cfRule type="cellIs" dxfId="8284" priority="870" operator="lessThan">
      <formula>0.8</formula>
    </cfRule>
  </conditionalFormatting>
  <conditionalFormatting sqref="P148:P153">
    <cfRule type="cellIs" dxfId="8283" priority="868" operator="greaterThan">
      <formula>0</formula>
    </cfRule>
  </conditionalFormatting>
  <conditionalFormatting sqref="Q148:Q153">
    <cfRule type="cellIs" dxfId="8282" priority="867" operator="lessThan">
      <formula>0</formula>
    </cfRule>
  </conditionalFormatting>
  <conditionalFormatting sqref="R148:R153">
    <cfRule type="cellIs" dxfId="8281" priority="865" operator="lessThan">
      <formula>0.8</formula>
    </cfRule>
    <cfRule type="cellIs" dxfId="8280" priority="866" operator="greaterThan">
      <formula>1</formula>
    </cfRule>
  </conditionalFormatting>
  <conditionalFormatting sqref="R148:R153">
    <cfRule type="cellIs" dxfId="8279" priority="863" operator="greaterThan">
      <formula>1</formula>
    </cfRule>
    <cfRule type="cellIs" dxfId="8278" priority="864" operator="lessThan">
      <formula>0.8</formula>
    </cfRule>
  </conditionalFormatting>
  <conditionalFormatting sqref="P148:P153">
    <cfRule type="cellIs" dxfId="8277" priority="862" operator="greaterThan">
      <formula>0</formula>
    </cfRule>
  </conditionalFormatting>
  <conditionalFormatting sqref="Q148:Q153">
    <cfRule type="cellIs" dxfId="8276" priority="861" operator="lessThan">
      <formula>0</formula>
    </cfRule>
  </conditionalFormatting>
  <conditionalFormatting sqref="R148:R153">
    <cfRule type="cellIs" dxfId="8275" priority="859" operator="lessThan">
      <formula>0.8</formula>
    </cfRule>
    <cfRule type="cellIs" dxfId="8274" priority="860" operator="greaterThan">
      <formula>1</formula>
    </cfRule>
  </conditionalFormatting>
  <conditionalFormatting sqref="R148:R153">
    <cfRule type="cellIs" dxfId="8273" priority="857" operator="greaterThan">
      <formula>1</formula>
    </cfRule>
    <cfRule type="cellIs" dxfId="8272" priority="858" operator="lessThan">
      <formula>0.8</formula>
    </cfRule>
  </conditionalFormatting>
  <conditionalFormatting sqref="P148:P153">
    <cfRule type="cellIs" dxfId="8271" priority="856" operator="greaterThan">
      <formula>0</formula>
    </cfRule>
  </conditionalFormatting>
  <conditionalFormatting sqref="Q148:Q153">
    <cfRule type="cellIs" dxfId="8270" priority="855" operator="lessThan">
      <formula>0</formula>
    </cfRule>
  </conditionalFormatting>
  <conditionalFormatting sqref="R148:R153">
    <cfRule type="cellIs" dxfId="8269" priority="853" operator="lessThan">
      <formula>0.8</formula>
    </cfRule>
    <cfRule type="cellIs" dxfId="8268" priority="854" operator="greaterThan">
      <formula>1</formula>
    </cfRule>
  </conditionalFormatting>
  <conditionalFormatting sqref="R148:R153">
    <cfRule type="cellIs" dxfId="8267" priority="851" operator="greaterThan">
      <formula>1</formula>
    </cfRule>
    <cfRule type="cellIs" dxfId="8266" priority="852" operator="lessThan">
      <formula>0.8</formula>
    </cfRule>
  </conditionalFormatting>
  <conditionalFormatting sqref="P148:P153">
    <cfRule type="cellIs" dxfId="8265" priority="850" operator="greaterThan">
      <formula>0</formula>
    </cfRule>
  </conditionalFormatting>
  <conditionalFormatting sqref="Q148:Q153">
    <cfRule type="cellIs" dxfId="8264" priority="849" operator="lessThan">
      <formula>0</formula>
    </cfRule>
  </conditionalFormatting>
  <conditionalFormatting sqref="R148:R153">
    <cfRule type="cellIs" dxfId="8263" priority="847" operator="lessThan">
      <formula>0.8</formula>
    </cfRule>
    <cfRule type="cellIs" dxfId="8262" priority="848" operator="greaterThan">
      <formula>1</formula>
    </cfRule>
  </conditionalFormatting>
  <conditionalFormatting sqref="R148:R153">
    <cfRule type="cellIs" dxfId="8261" priority="845" operator="greaterThan">
      <formula>1</formula>
    </cfRule>
    <cfRule type="cellIs" dxfId="8260" priority="846" operator="lessThan">
      <formula>0.8</formula>
    </cfRule>
  </conditionalFormatting>
  <conditionalFormatting sqref="P148:P153">
    <cfRule type="cellIs" dxfId="8259" priority="844" operator="greaterThan">
      <formula>0</formula>
    </cfRule>
  </conditionalFormatting>
  <conditionalFormatting sqref="Q148:Q153">
    <cfRule type="cellIs" dxfId="8258" priority="843" operator="lessThan">
      <formula>0</formula>
    </cfRule>
  </conditionalFormatting>
  <conditionalFormatting sqref="R148:R153">
    <cfRule type="cellIs" dxfId="8257" priority="841" operator="lessThan">
      <formula>0.8</formula>
    </cfRule>
    <cfRule type="cellIs" dxfId="8256" priority="842" operator="greaterThan">
      <formula>1</formula>
    </cfRule>
  </conditionalFormatting>
  <conditionalFormatting sqref="R148:R153">
    <cfRule type="cellIs" dxfId="8255" priority="839" operator="greaterThan">
      <formula>1</formula>
    </cfRule>
    <cfRule type="cellIs" dxfId="8254" priority="840" operator="lessThan">
      <formula>0.8</formula>
    </cfRule>
  </conditionalFormatting>
  <conditionalFormatting sqref="P148:P153">
    <cfRule type="cellIs" dxfId="8253" priority="838" operator="greaterThan">
      <formula>0</formula>
    </cfRule>
  </conditionalFormatting>
  <conditionalFormatting sqref="P148:P153">
    <cfRule type="cellIs" dxfId="8252" priority="832" operator="greaterThan">
      <formula>0</formula>
    </cfRule>
  </conditionalFormatting>
  <conditionalFormatting sqref="Q148:Q153">
    <cfRule type="cellIs" dxfId="8251" priority="837" operator="lessThan">
      <formula>0</formula>
    </cfRule>
  </conditionalFormatting>
  <conditionalFormatting sqref="R148:R153">
    <cfRule type="cellIs" dxfId="8250" priority="835" operator="lessThan">
      <formula>0.8</formula>
    </cfRule>
    <cfRule type="cellIs" dxfId="8249" priority="836" operator="greaterThan">
      <formula>1</formula>
    </cfRule>
  </conditionalFormatting>
  <conditionalFormatting sqref="R148:R153">
    <cfRule type="cellIs" dxfId="8248" priority="833" operator="greaterThan">
      <formula>1</formula>
    </cfRule>
    <cfRule type="cellIs" dxfId="8247" priority="834" operator="lessThan">
      <formula>0.8</formula>
    </cfRule>
  </conditionalFormatting>
  <conditionalFormatting sqref="P148:P153">
    <cfRule type="cellIs" dxfId="8246" priority="826" operator="greaterThan">
      <formula>0</formula>
    </cfRule>
  </conditionalFormatting>
  <conditionalFormatting sqref="Q148:Q153">
    <cfRule type="cellIs" dxfId="8245" priority="831" operator="lessThan">
      <formula>0</formula>
    </cfRule>
  </conditionalFormatting>
  <conditionalFormatting sqref="R148:R153">
    <cfRule type="cellIs" dxfId="8244" priority="829" operator="lessThan">
      <formula>0.8</formula>
    </cfRule>
    <cfRule type="cellIs" dxfId="8243" priority="830" operator="greaterThan">
      <formula>1</formula>
    </cfRule>
  </conditionalFormatting>
  <conditionalFormatting sqref="R148:R153">
    <cfRule type="cellIs" dxfId="8242" priority="827" operator="greaterThan">
      <formula>1</formula>
    </cfRule>
    <cfRule type="cellIs" dxfId="8241" priority="828" operator="lessThan">
      <formula>0.8</formula>
    </cfRule>
  </conditionalFormatting>
  <conditionalFormatting sqref="R148:R153">
    <cfRule type="cellIs" dxfId="8240" priority="823" operator="lessThan">
      <formula>0.8</formula>
    </cfRule>
    <cfRule type="cellIs" dxfId="8239" priority="824" operator="greaterThan">
      <formula>1</formula>
    </cfRule>
  </conditionalFormatting>
  <conditionalFormatting sqref="R148:R153">
    <cfRule type="cellIs" dxfId="8238" priority="821" operator="greaterThan">
      <formula>1</formula>
    </cfRule>
    <cfRule type="cellIs" dxfId="8237" priority="822" operator="lessThan">
      <formula>0.8</formula>
    </cfRule>
  </conditionalFormatting>
  <conditionalFormatting sqref="P148:P153">
    <cfRule type="cellIs" dxfId="8236" priority="820" operator="greaterThan">
      <formula>0</formula>
    </cfRule>
  </conditionalFormatting>
  <conditionalFormatting sqref="Q148:Q153">
    <cfRule type="cellIs" dxfId="8235" priority="825" operator="lessThan">
      <formula>0</formula>
    </cfRule>
  </conditionalFormatting>
  <conditionalFormatting sqref="Q148:Q153">
    <cfRule type="cellIs" dxfId="8234" priority="819" operator="lessThan">
      <formula>0</formula>
    </cfRule>
  </conditionalFormatting>
  <conditionalFormatting sqref="R148:R153">
    <cfRule type="cellIs" dxfId="8233" priority="817" operator="lessThan">
      <formula>0.8</formula>
    </cfRule>
    <cfRule type="cellIs" dxfId="8232" priority="818" operator="greaterThan">
      <formula>1</formula>
    </cfRule>
  </conditionalFormatting>
  <conditionalFormatting sqref="R148:R153">
    <cfRule type="cellIs" dxfId="8231" priority="815" operator="greaterThan">
      <formula>1</formula>
    </cfRule>
    <cfRule type="cellIs" dxfId="8230" priority="816" operator="lessThan">
      <formula>0.8</formula>
    </cfRule>
  </conditionalFormatting>
  <conditionalFormatting sqref="P148:P153">
    <cfRule type="cellIs" dxfId="8229" priority="814" operator="greaterThan">
      <formula>0</formula>
    </cfRule>
  </conditionalFormatting>
  <conditionalFormatting sqref="P148:P153">
    <cfRule type="cellIs" dxfId="8228" priority="808" operator="greaterThan">
      <formula>0</formula>
    </cfRule>
  </conditionalFormatting>
  <conditionalFormatting sqref="Q148:Q153">
    <cfRule type="cellIs" dxfId="8227" priority="813" operator="lessThan">
      <formula>0</formula>
    </cfRule>
  </conditionalFormatting>
  <conditionalFormatting sqref="R148:R153">
    <cfRule type="cellIs" dxfId="8226" priority="811" operator="lessThan">
      <formula>0.8</formula>
    </cfRule>
    <cfRule type="cellIs" dxfId="8225" priority="812" operator="greaterThan">
      <formula>1</formula>
    </cfRule>
  </conditionalFormatting>
  <conditionalFormatting sqref="R148:R153">
    <cfRule type="cellIs" dxfId="8224" priority="809" operator="greaterThan">
      <formula>1</formula>
    </cfRule>
    <cfRule type="cellIs" dxfId="8223" priority="810" operator="lessThan">
      <formula>0.8</formula>
    </cfRule>
  </conditionalFormatting>
  <conditionalFormatting sqref="P148:P153">
    <cfRule type="cellIs" dxfId="8222" priority="802" operator="greaterThan">
      <formula>0</formula>
    </cfRule>
  </conditionalFormatting>
  <conditionalFormatting sqref="Q148:Q153">
    <cfRule type="cellIs" dxfId="8221" priority="807" operator="lessThan">
      <formula>0</formula>
    </cfRule>
  </conditionalFormatting>
  <conditionalFormatting sqref="R148:R153">
    <cfRule type="cellIs" dxfId="8220" priority="805" operator="lessThan">
      <formula>0.8</formula>
    </cfRule>
    <cfRule type="cellIs" dxfId="8219" priority="806" operator="greaterThan">
      <formula>1</formula>
    </cfRule>
  </conditionalFormatting>
  <conditionalFormatting sqref="R148:R153">
    <cfRule type="cellIs" dxfId="8218" priority="803" operator="greaterThan">
      <formula>1</formula>
    </cfRule>
    <cfRule type="cellIs" dxfId="8217" priority="804" operator="lessThan">
      <formula>0.8</formula>
    </cfRule>
  </conditionalFormatting>
  <conditionalFormatting sqref="R148:R153">
    <cfRule type="cellIs" dxfId="8216" priority="799" operator="lessThan">
      <formula>0.8</formula>
    </cfRule>
    <cfRule type="cellIs" dxfId="8215" priority="800" operator="greaterThan">
      <formula>1</formula>
    </cfRule>
  </conditionalFormatting>
  <conditionalFormatting sqref="R148:R153">
    <cfRule type="cellIs" dxfId="8214" priority="797" operator="greaterThan">
      <formula>1</formula>
    </cfRule>
    <cfRule type="cellIs" dxfId="8213" priority="798" operator="lessThan">
      <formula>0.8</formula>
    </cfRule>
  </conditionalFormatting>
  <conditionalFormatting sqref="P148:P153">
    <cfRule type="cellIs" dxfId="8212" priority="796" operator="greaterThan">
      <formula>0</formula>
    </cfRule>
  </conditionalFormatting>
  <conditionalFormatting sqref="Q148:Q153">
    <cfRule type="cellIs" dxfId="8211" priority="801" operator="lessThan">
      <formula>0</formula>
    </cfRule>
  </conditionalFormatting>
  <conditionalFormatting sqref="P148:P153">
    <cfRule type="cellIs" dxfId="8210" priority="790" operator="greaterThan">
      <formula>0</formula>
    </cfRule>
  </conditionalFormatting>
  <conditionalFormatting sqref="Q148:Q153">
    <cfRule type="cellIs" dxfId="8209" priority="795" operator="lessThan">
      <formula>0</formula>
    </cfRule>
  </conditionalFormatting>
  <conditionalFormatting sqref="R148:R153">
    <cfRule type="cellIs" dxfId="8208" priority="793" operator="lessThan">
      <formula>0.8</formula>
    </cfRule>
    <cfRule type="cellIs" dxfId="8207" priority="794" operator="greaterThan">
      <formula>1</formula>
    </cfRule>
  </conditionalFormatting>
  <conditionalFormatting sqref="R148:R153">
    <cfRule type="cellIs" dxfId="8206" priority="791" operator="greaterThan">
      <formula>1</formula>
    </cfRule>
    <cfRule type="cellIs" dxfId="8205" priority="792" operator="lessThan">
      <formula>0.8</formula>
    </cfRule>
  </conditionalFormatting>
  <conditionalFormatting sqref="R148:R153">
    <cfRule type="cellIs" dxfId="8204" priority="787" operator="lessThan">
      <formula>0.8</formula>
    </cfRule>
    <cfRule type="cellIs" dxfId="8203" priority="788" operator="greaterThan">
      <formula>1</formula>
    </cfRule>
  </conditionalFormatting>
  <conditionalFormatting sqref="R148:R153">
    <cfRule type="cellIs" dxfId="8202" priority="785" operator="greaterThan">
      <formula>1</formula>
    </cfRule>
    <cfRule type="cellIs" dxfId="8201" priority="786" operator="lessThan">
      <formula>0.8</formula>
    </cfRule>
  </conditionalFormatting>
  <conditionalFormatting sqref="P148:P153">
    <cfRule type="cellIs" dxfId="8200" priority="784" operator="greaterThan">
      <formula>0</formula>
    </cfRule>
  </conditionalFormatting>
  <conditionalFormatting sqref="Q148:Q153">
    <cfRule type="cellIs" dxfId="8199" priority="789" operator="lessThan">
      <formula>0</formula>
    </cfRule>
  </conditionalFormatting>
  <conditionalFormatting sqref="R148:R153">
    <cfRule type="cellIs" dxfId="8198" priority="781" operator="lessThan">
      <formula>0.8</formula>
    </cfRule>
    <cfRule type="cellIs" dxfId="8197" priority="782" operator="greaterThan">
      <formula>1</formula>
    </cfRule>
  </conditionalFormatting>
  <conditionalFormatting sqref="R148:R153">
    <cfRule type="cellIs" dxfId="8196" priority="779" operator="greaterThan">
      <formula>1</formula>
    </cfRule>
    <cfRule type="cellIs" dxfId="8195" priority="780" operator="lessThan">
      <formula>0.8</formula>
    </cfRule>
  </conditionalFormatting>
  <conditionalFormatting sqref="P148:P153">
    <cfRule type="cellIs" dxfId="8194" priority="778" operator="greaterThan">
      <formula>0</formula>
    </cfRule>
  </conditionalFormatting>
  <conditionalFormatting sqref="Q148:Q153">
    <cfRule type="cellIs" dxfId="8193" priority="783" operator="lessThan">
      <formula>0</formula>
    </cfRule>
  </conditionalFormatting>
  <conditionalFormatting sqref="Q148:Q153">
    <cfRule type="cellIs" dxfId="8192" priority="777" operator="lessThan">
      <formula>0</formula>
    </cfRule>
  </conditionalFormatting>
  <conditionalFormatting sqref="R148:R153">
    <cfRule type="cellIs" dxfId="8191" priority="775" operator="lessThan">
      <formula>0.8</formula>
    </cfRule>
    <cfRule type="cellIs" dxfId="8190" priority="776" operator="greaterThan">
      <formula>1</formula>
    </cfRule>
  </conditionalFormatting>
  <conditionalFormatting sqref="R148:R153">
    <cfRule type="cellIs" dxfId="8189" priority="773" operator="greaterThan">
      <formula>1</formula>
    </cfRule>
    <cfRule type="cellIs" dxfId="8188" priority="774" operator="lessThan">
      <formula>0.8</formula>
    </cfRule>
  </conditionalFormatting>
  <conditionalFormatting sqref="P148:P153">
    <cfRule type="cellIs" dxfId="8187" priority="772" operator="greaterThan">
      <formula>0</formula>
    </cfRule>
  </conditionalFormatting>
  <conditionalFormatting sqref="Q148:Q153">
    <cfRule type="cellIs" dxfId="8186" priority="766" operator="lessThan">
      <formula>0</formula>
    </cfRule>
  </conditionalFormatting>
  <conditionalFormatting sqref="R148:R153">
    <cfRule type="cellIs" dxfId="8185" priority="770" operator="lessThan">
      <formula>0.8</formula>
    </cfRule>
    <cfRule type="cellIs" dxfId="8184" priority="771" operator="greaterThan">
      <formula>1</formula>
    </cfRule>
  </conditionalFormatting>
  <conditionalFormatting sqref="R148:R153">
    <cfRule type="cellIs" dxfId="8183" priority="768" operator="greaterThan">
      <formula>1</formula>
    </cfRule>
    <cfRule type="cellIs" dxfId="8182" priority="769" operator="lessThan">
      <formula>0.8</formula>
    </cfRule>
  </conditionalFormatting>
  <conditionalFormatting sqref="P148:P153">
    <cfRule type="cellIs" dxfId="8181" priority="767" operator="greaterThan">
      <formula>0</formula>
    </cfRule>
  </conditionalFormatting>
  <conditionalFormatting sqref="Q148:Q153">
    <cfRule type="cellIs" dxfId="8180" priority="765" operator="lessThan">
      <formula>0</formula>
    </cfRule>
  </conditionalFormatting>
  <conditionalFormatting sqref="R148:R153">
    <cfRule type="cellIs" dxfId="8179" priority="763" operator="lessThan">
      <formula>0.8</formula>
    </cfRule>
    <cfRule type="cellIs" dxfId="8178" priority="764" operator="greaterThan">
      <formula>1</formula>
    </cfRule>
  </conditionalFormatting>
  <conditionalFormatting sqref="R148:R153">
    <cfRule type="cellIs" dxfId="8177" priority="761" operator="greaterThan">
      <formula>1</formula>
    </cfRule>
    <cfRule type="cellIs" dxfId="8176" priority="762" operator="lessThan">
      <formula>0.8</formula>
    </cfRule>
  </conditionalFormatting>
  <conditionalFormatting sqref="P148:P153">
    <cfRule type="cellIs" dxfId="8175" priority="760" operator="greaterThan">
      <formula>0</formula>
    </cfRule>
  </conditionalFormatting>
  <conditionalFormatting sqref="Q148:Q153">
    <cfRule type="cellIs" dxfId="8174" priority="759" operator="lessThan">
      <formula>0</formula>
    </cfRule>
  </conditionalFormatting>
  <conditionalFormatting sqref="R148:R153">
    <cfRule type="cellIs" dxfId="8173" priority="757" operator="lessThan">
      <formula>0.8</formula>
    </cfRule>
    <cfRule type="cellIs" dxfId="8172" priority="758" operator="greaterThan">
      <formula>1</formula>
    </cfRule>
  </conditionalFormatting>
  <conditionalFormatting sqref="R148:R153">
    <cfRule type="cellIs" dxfId="8171" priority="755" operator="greaterThan">
      <formula>1</formula>
    </cfRule>
    <cfRule type="cellIs" dxfId="8170" priority="756" operator="lessThan">
      <formula>0.8</formula>
    </cfRule>
  </conditionalFormatting>
  <conditionalFormatting sqref="P148:P153">
    <cfRule type="cellIs" dxfId="8169" priority="754" operator="greaterThan">
      <formula>0</formula>
    </cfRule>
  </conditionalFormatting>
  <conditionalFormatting sqref="Q148:Q153">
    <cfRule type="cellIs" dxfId="8168" priority="753" operator="lessThan">
      <formula>0</formula>
    </cfRule>
  </conditionalFormatting>
  <conditionalFormatting sqref="R148:R153">
    <cfRule type="cellIs" dxfId="8167" priority="751" operator="lessThan">
      <formula>0.8</formula>
    </cfRule>
    <cfRule type="cellIs" dxfId="8166" priority="752" operator="greaterThan">
      <formula>1</formula>
    </cfRule>
  </conditionalFormatting>
  <conditionalFormatting sqref="R148:R153">
    <cfRule type="cellIs" dxfId="8165" priority="749" operator="greaterThan">
      <formula>1</formula>
    </cfRule>
    <cfRule type="cellIs" dxfId="8164" priority="750" operator="lessThan">
      <formula>0.8</formula>
    </cfRule>
  </conditionalFormatting>
  <conditionalFormatting sqref="P148:P153">
    <cfRule type="cellIs" dxfId="8163" priority="748" operator="greaterThan">
      <formula>0</formula>
    </cfRule>
  </conditionalFormatting>
  <conditionalFormatting sqref="Q148:Q153">
    <cfRule type="cellIs" dxfId="8162" priority="747" operator="lessThan">
      <formula>0</formula>
    </cfRule>
  </conditionalFormatting>
  <conditionalFormatting sqref="R148:R153">
    <cfRule type="cellIs" dxfId="8161" priority="745" operator="lessThan">
      <formula>0.8</formula>
    </cfRule>
    <cfRule type="cellIs" dxfId="8160" priority="746" operator="greaterThan">
      <formula>1</formula>
    </cfRule>
  </conditionalFormatting>
  <conditionalFormatting sqref="R148:R153">
    <cfRule type="cellIs" dxfId="8159" priority="743" operator="greaterThan">
      <formula>1</formula>
    </cfRule>
    <cfRule type="cellIs" dxfId="8158" priority="744" operator="lessThan">
      <formula>0.8</formula>
    </cfRule>
  </conditionalFormatting>
  <conditionalFormatting sqref="P148:P153">
    <cfRule type="cellIs" dxfId="8157" priority="742" operator="greaterThan">
      <formula>0</formula>
    </cfRule>
  </conditionalFormatting>
  <conditionalFormatting sqref="Q148:Q153">
    <cfRule type="cellIs" dxfId="8156" priority="741" operator="lessThan">
      <formula>0</formula>
    </cfRule>
  </conditionalFormatting>
  <conditionalFormatting sqref="R148:R153">
    <cfRule type="cellIs" dxfId="8155" priority="739" operator="lessThan">
      <formula>0.8</formula>
    </cfRule>
    <cfRule type="cellIs" dxfId="8154" priority="740" operator="greaterThan">
      <formula>1</formula>
    </cfRule>
  </conditionalFormatting>
  <conditionalFormatting sqref="R148:R153">
    <cfRule type="cellIs" dxfId="8153" priority="737" operator="greaterThan">
      <formula>1</formula>
    </cfRule>
    <cfRule type="cellIs" dxfId="8152" priority="738" operator="lessThan">
      <formula>0.8</formula>
    </cfRule>
  </conditionalFormatting>
  <conditionalFormatting sqref="P148:P153">
    <cfRule type="cellIs" dxfId="8151" priority="736" operator="greaterThan">
      <formula>0</formula>
    </cfRule>
  </conditionalFormatting>
  <conditionalFormatting sqref="P148:P153">
    <cfRule type="cellIs" dxfId="8150" priority="730" operator="greaterThan">
      <formula>0</formula>
    </cfRule>
  </conditionalFormatting>
  <conditionalFormatting sqref="Q148:Q153">
    <cfRule type="cellIs" dxfId="8149" priority="735" operator="lessThan">
      <formula>0</formula>
    </cfRule>
  </conditionalFormatting>
  <conditionalFormatting sqref="R148:R153">
    <cfRule type="cellIs" dxfId="8148" priority="733" operator="lessThan">
      <formula>0.8</formula>
    </cfRule>
    <cfRule type="cellIs" dxfId="8147" priority="734" operator="greaterThan">
      <formula>1</formula>
    </cfRule>
  </conditionalFormatting>
  <conditionalFormatting sqref="R148:R153">
    <cfRule type="cellIs" dxfId="8146" priority="731" operator="greaterThan">
      <formula>1</formula>
    </cfRule>
    <cfRule type="cellIs" dxfId="8145" priority="732" operator="lessThan">
      <formula>0.8</formula>
    </cfRule>
  </conditionalFormatting>
  <conditionalFormatting sqref="P148:P153">
    <cfRule type="cellIs" dxfId="8144" priority="724" operator="greaterThan">
      <formula>0</formula>
    </cfRule>
  </conditionalFormatting>
  <conditionalFormatting sqref="Q148:Q153">
    <cfRule type="cellIs" dxfId="8143" priority="729" operator="lessThan">
      <formula>0</formula>
    </cfRule>
  </conditionalFormatting>
  <conditionalFormatting sqref="R148:R153">
    <cfRule type="cellIs" dxfId="8142" priority="727" operator="lessThan">
      <formula>0.8</formula>
    </cfRule>
    <cfRule type="cellIs" dxfId="8141" priority="728" operator="greaterThan">
      <formula>1</formula>
    </cfRule>
  </conditionalFormatting>
  <conditionalFormatting sqref="R148:R153">
    <cfRule type="cellIs" dxfId="8140" priority="725" operator="greaterThan">
      <formula>1</formula>
    </cfRule>
    <cfRule type="cellIs" dxfId="8139" priority="726" operator="lessThan">
      <formula>0.8</formula>
    </cfRule>
  </conditionalFormatting>
  <conditionalFormatting sqref="R148:R153">
    <cfRule type="cellIs" dxfId="8138" priority="721" operator="lessThan">
      <formula>0.8</formula>
    </cfRule>
    <cfRule type="cellIs" dxfId="8137" priority="722" operator="greaterThan">
      <formula>1</formula>
    </cfRule>
  </conditionalFormatting>
  <conditionalFormatting sqref="R148:R153">
    <cfRule type="cellIs" dxfId="8136" priority="719" operator="greaterThan">
      <formula>1</formula>
    </cfRule>
    <cfRule type="cellIs" dxfId="8135" priority="720" operator="lessThan">
      <formula>0.8</formula>
    </cfRule>
  </conditionalFormatting>
  <conditionalFormatting sqref="P148:P153">
    <cfRule type="cellIs" dxfId="8134" priority="718" operator="greaterThan">
      <formula>0</formula>
    </cfRule>
  </conditionalFormatting>
  <conditionalFormatting sqref="Q148:Q153">
    <cfRule type="cellIs" dxfId="8133" priority="723" operator="lessThan">
      <formula>0</formula>
    </cfRule>
  </conditionalFormatting>
  <conditionalFormatting sqref="P44:P51">
    <cfRule type="cellIs" dxfId="8132" priority="712" operator="greaterThan">
      <formula>0</formula>
    </cfRule>
  </conditionalFormatting>
  <conditionalFormatting sqref="Q44:Q51">
    <cfRule type="cellIs" dxfId="8131" priority="717" operator="lessThan">
      <formula>0</formula>
    </cfRule>
  </conditionalFormatting>
  <conditionalFormatting sqref="R44:R51">
    <cfRule type="cellIs" dxfId="8130" priority="715" operator="lessThan">
      <formula>0.8</formula>
    </cfRule>
    <cfRule type="cellIs" dxfId="8129" priority="716" operator="greaterThan">
      <formula>1</formula>
    </cfRule>
  </conditionalFormatting>
  <conditionalFormatting sqref="R44:R51">
    <cfRule type="cellIs" dxfId="8128" priority="713" operator="greaterThan">
      <formula>1</formula>
    </cfRule>
    <cfRule type="cellIs" dxfId="8127" priority="714" operator="lessThan">
      <formula>0.8</formula>
    </cfRule>
  </conditionalFormatting>
  <conditionalFormatting sqref="Q84:Q91">
    <cfRule type="cellIs" dxfId="8126" priority="711" operator="lessThan">
      <formula>0</formula>
    </cfRule>
  </conditionalFormatting>
  <conditionalFormatting sqref="R84:R91">
    <cfRule type="cellIs" dxfId="8125" priority="709" operator="lessThan">
      <formula>0.8</formula>
    </cfRule>
    <cfRule type="cellIs" dxfId="8124" priority="710" operator="greaterThan">
      <formula>1</formula>
    </cfRule>
  </conditionalFormatting>
  <conditionalFormatting sqref="R84:R91">
    <cfRule type="cellIs" dxfId="8123" priority="707" operator="greaterThan">
      <formula>1</formula>
    </cfRule>
    <cfRule type="cellIs" dxfId="8122" priority="708" operator="lessThan">
      <formula>0.8</formula>
    </cfRule>
  </conditionalFormatting>
  <conditionalFormatting sqref="P84:P91">
    <cfRule type="cellIs" dxfId="8121" priority="706" operator="greaterThan">
      <formula>0</formula>
    </cfRule>
  </conditionalFormatting>
  <conditionalFormatting sqref="Q84:Q91">
    <cfRule type="cellIs" dxfId="8120" priority="705" operator="lessThan">
      <formula>0</formula>
    </cfRule>
  </conditionalFormatting>
  <conditionalFormatting sqref="R84:R91">
    <cfRule type="cellIs" dxfId="8119" priority="703" operator="lessThan">
      <formula>0.8</formula>
    </cfRule>
    <cfRule type="cellIs" dxfId="8118" priority="704" operator="greaterThan">
      <formula>1</formula>
    </cfRule>
  </conditionalFormatting>
  <conditionalFormatting sqref="R84:R91">
    <cfRule type="cellIs" dxfId="8117" priority="701" operator="greaterThan">
      <formula>1</formula>
    </cfRule>
    <cfRule type="cellIs" dxfId="8116" priority="702" operator="lessThan">
      <formula>0.8</formula>
    </cfRule>
  </conditionalFormatting>
  <conditionalFormatting sqref="P84:P91">
    <cfRule type="cellIs" dxfId="8115" priority="700" operator="greaterThan">
      <formula>0</formula>
    </cfRule>
  </conditionalFormatting>
  <conditionalFormatting sqref="Q84:Q91">
    <cfRule type="cellIs" dxfId="8114" priority="699" operator="lessThan">
      <formula>0</formula>
    </cfRule>
  </conditionalFormatting>
  <conditionalFormatting sqref="R84:R91">
    <cfRule type="cellIs" dxfId="8113" priority="697" operator="lessThan">
      <formula>0.8</formula>
    </cfRule>
    <cfRule type="cellIs" dxfId="8112" priority="698" operator="greaterThan">
      <formula>1</formula>
    </cfRule>
  </conditionalFormatting>
  <conditionalFormatting sqref="R84:R91">
    <cfRule type="cellIs" dxfId="8111" priority="695" operator="greaterThan">
      <formula>1</formula>
    </cfRule>
    <cfRule type="cellIs" dxfId="8110" priority="696" operator="lessThan">
      <formula>0.8</formula>
    </cfRule>
  </conditionalFormatting>
  <conditionalFormatting sqref="P84:P91">
    <cfRule type="cellIs" dxfId="8109" priority="694" operator="greaterThan">
      <formula>0</formula>
    </cfRule>
  </conditionalFormatting>
  <conditionalFormatting sqref="Q84:Q91">
    <cfRule type="cellIs" dxfId="8108" priority="693" operator="lessThan">
      <formula>0</formula>
    </cfRule>
  </conditionalFormatting>
  <conditionalFormatting sqref="R84:R91">
    <cfRule type="cellIs" dxfId="8107" priority="691" operator="lessThan">
      <formula>0.8</formula>
    </cfRule>
    <cfRule type="cellIs" dxfId="8106" priority="692" operator="greaterThan">
      <formula>1</formula>
    </cfRule>
  </conditionalFormatting>
  <conditionalFormatting sqref="R84:R91">
    <cfRule type="cellIs" dxfId="8105" priority="689" operator="greaterThan">
      <formula>1</formula>
    </cfRule>
    <cfRule type="cellIs" dxfId="8104" priority="690" operator="lessThan">
      <formula>0.8</formula>
    </cfRule>
  </conditionalFormatting>
  <conditionalFormatting sqref="P84:P91">
    <cfRule type="cellIs" dxfId="8103" priority="688" operator="greaterThan">
      <formula>0</formula>
    </cfRule>
  </conditionalFormatting>
  <conditionalFormatting sqref="P84:P91">
    <cfRule type="cellIs" dxfId="8102" priority="682" operator="greaterThan">
      <formula>0</formula>
    </cfRule>
  </conditionalFormatting>
  <conditionalFormatting sqref="Q84:Q91">
    <cfRule type="cellIs" dxfId="8101" priority="687" operator="lessThan">
      <formula>0</formula>
    </cfRule>
  </conditionalFormatting>
  <conditionalFormatting sqref="R84:R91">
    <cfRule type="cellIs" dxfId="8100" priority="685" operator="lessThan">
      <formula>0.8</formula>
    </cfRule>
    <cfRule type="cellIs" dxfId="8099" priority="686" operator="greaterThan">
      <formula>1</formula>
    </cfRule>
  </conditionalFormatting>
  <conditionalFormatting sqref="R84:R91">
    <cfRule type="cellIs" dxfId="8098" priority="683" operator="greaterThan">
      <formula>1</formula>
    </cfRule>
    <cfRule type="cellIs" dxfId="8097" priority="684" operator="lessThan">
      <formula>0.8</formula>
    </cfRule>
  </conditionalFormatting>
  <conditionalFormatting sqref="P84:P91">
    <cfRule type="cellIs" dxfId="8096" priority="676" operator="greaterThan">
      <formula>0</formula>
    </cfRule>
  </conditionalFormatting>
  <conditionalFormatting sqref="Q84:Q91">
    <cfRule type="cellIs" dxfId="8095" priority="681" operator="lessThan">
      <formula>0</formula>
    </cfRule>
  </conditionalFormatting>
  <conditionalFormatting sqref="R84:R91">
    <cfRule type="cellIs" dxfId="8094" priority="679" operator="lessThan">
      <formula>0.8</formula>
    </cfRule>
    <cfRule type="cellIs" dxfId="8093" priority="680" operator="greaterThan">
      <formula>1</formula>
    </cfRule>
  </conditionalFormatting>
  <conditionalFormatting sqref="R84:R91">
    <cfRule type="cellIs" dxfId="8092" priority="677" operator="greaterThan">
      <formula>1</formula>
    </cfRule>
    <cfRule type="cellIs" dxfId="8091" priority="678" operator="lessThan">
      <formula>0.8</formula>
    </cfRule>
  </conditionalFormatting>
  <conditionalFormatting sqref="R84:R91">
    <cfRule type="cellIs" dxfId="8090" priority="673" operator="lessThan">
      <formula>0.8</formula>
    </cfRule>
    <cfRule type="cellIs" dxfId="8089" priority="674" operator="greaterThan">
      <formula>1</formula>
    </cfRule>
  </conditionalFormatting>
  <conditionalFormatting sqref="R84:R91">
    <cfRule type="cellIs" dxfId="8088" priority="671" operator="greaterThan">
      <formula>1</formula>
    </cfRule>
    <cfRule type="cellIs" dxfId="8087" priority="672" operator="lessThan">
      <formula>0.8</formula>
    </cfRule>
  </conditionalFormatting>
  <conditionalFormatting sqref="P84:P91">
    <cfRule type="cellIs" dxfId="8086" priority="670" operator="greaterThan">
      <formula>0</formula>
    </cfRule>
  </conditionalFormatting>
  <conditionalFormatting sqref="Q84:Q91">
    <cfRule type="cellIs" dxfId="8085" priority="675" operator="lessThan">
      <formula>0</formula>
    </cfRule>
  </conditionalFormatting>
  <conditionalFormatting sqref="Q84:Q91">
    <cfRule type="cellIs" dxfId="8084" priority="669" operator="lessThan">
      <formula>0</formula>
    </cfRule>
  </conditionalFormatting>
  <conditionalFormatting sqref="R84:R91">
    <cfRule type="cellIs" dxfId="8083" priority="667" operator="lessThan">
      <formula>0.8</formula>
    </cfRule>
    <cfRule type="cellIs" dxfId="8082" priority="668" operator="greaterThan">
      <formula>1</formula>
    </cfRule>
  </conditionalFormatting>
  <conditionalFormatting sqref="R84:R91">
    <cfRule type="cellIs" dxfId="8081" priority="665" operator="greaterThan">
      <formula>1</formula>
    </cfRule>
    <cfRule type="cellIs" dxfId="8080" priority="666" operator="lessThan">
      <formula>0.8</formula>
    </cfRule>
  </conditionalFormatting>
  <conditionalFormatting sqref="P84:P91">
    <cfRule type="cellIs" dxfId="8079" priority="664" operator="greaterThan">
      <formula>0</formula>
    </cfRule>
  </conditionalFormatting>
  <conditionalFormatting sqref="P84:P91">
    <cfRule type="cellIs" dxfId="8078" priority="658" operator="greaterThan">
      <formula>0</formula>
    </cfRule>
  </conditionalFormatting>
  <conditionalFormatting sqref="Q84:Q91">
    <cfRule type="cellIs" dxfId="8077" priority="663" operator="lessThan">
      <formula>0</formula>
    </cfRule>
  </conditionalFormatting>
  <conditionalFormatting sqref="R84:R91">
    <cfRule type="cellIs" dxfId="8076" priority="661" operator="lessThan">
      <formula>0.8</formula>
    </cfRule>
    <cfRule type="cellIs" dxfId="8075" priority="662" operator="greaterThan">
      <formula>1</formula>
    </cfRule>
  </conditionalFormatting>
  <conditionalFormatting sqref="R84:R91">
    <cfRule type="cellIs" dxfId="8074" priority="659" operator="greaterThan">
      <formula>1</formula>
    </cfRule>
    <cfRule type="cellIs" dxfId="8073" priority="660" operator="lessThan">
      <formula>0.8</formula>
    </cfRule>
  </conditionalFormatting>
  <conditionalFormatting sqref="P84:P91">
    <cfRule type="cellIs" dxfId="8072" priority="652" operator="greaterThan">
      <formula>0</formula>
    </cfRule>
  </conditionalFormatting>
  <conditionalFormatting sqref="Q84:Q91">
    <cfRule type="cellIs" dxfId="8071" priority="657" operator="lessThan">
      <formula>0</formula>
    </cfRule>
  </conditionalFormatting>
  <conditionalFormatting sqref="R84:R91">
    <cfRule type="cellIs" dxfId="8070" priority="655" operator="lessThan">
      <formula>0.8</formula>
    </cfRule>
    <cfRule type="cellIs" dxfId="8069" priority="656" operator="greaterThan">
      <formula>1</formula>
    </cfRule>
  </conditionalFormatting>
  <conditionalFormatting sqref="R84:R91">
    <cfRule type="cellIs" dxfId="8068" priority="653" operator="greaterThan">
      <formula>1</formula>
    </cfRule>
    <cfRule type="cellIs" dxfId="8067" priority="654" operator="lessThan">
      <formula>0.8</formula>
    </cfRule>
  </conditionalFormatting>
  <conditionalFormatting sqref="R84:R91">
    <cfRule type="cellIs" dxfId="8066" priority="649" operator="lessThan">
      <formula>0.8</formula>
    </cfRule>
    <cfRule type="cellIs" dxfId="8065" priority="650" operator="greaterThan">
      <formula>1</formula>
    </cfRule>
  </conditionalFormatting>
  <conditionalFormatting sqref="R84:R91">
    <cfRule type="cellIs" dxfId="8064" priority="647" operator="greaterThan">
      <formula>1</formula>
    </cfRule>
    <cfRule type="cellIs" dxfId="8063" priority="648" operator="lessThan">
      <formula>0.8</formula>
    </cfRule>
  </conditionalFormatting>
  <conditionalFormatting sqref="P84:P91">
    <cfRule type="cellIs" dxfId="8062" priority="646" operator="greaterThan">
      <formula>0</formula>
    </cfRule>
  </conditionalFormatting>
  <conditionalFormatting sqref="Q84:Q91">
    <cfRule type="cellIs" dxfId="8061" priority="651" operator="lessThan">
      <formula>0</formula>
    </cfRule>
  </conditionalFormatting>
  <conditionalFormatting sqref="P84:P91">
    <cfRule type="cellIs" dxfId="8060" priority="640" operator="greaterThan">
      <formula>0</formula>
    </cfRule>
  </conditionalFormatting>
  <conditionalFormatting sqref="Q84:Q91">
    <cfRule type="cellIs" dxfId="8059" priority="645" operator="lessThan">
      <formula>0</formula>
    </cfRule>
  </conditionalFormatting>
  <conditionalFormatting sqref="R84:R91">
    <cfRule type="cellIs" dxfId="8058" priority="643" operator="lessThan">
      <formula>0.8</formula>
    </cfRule>
    <cfRule type="cellIs" dxfId="8057" priority="644" operator="greaterThan">
      <formula>1</formula>
    </cfRule>
  </conditionalFormatting>
  <conditionalFormatting sqref="R84:R91">
    <cfRule type="cellIs" dxfId="8056" priority="641" operator="greaterThan">
      <formula>1</formula>
    </cfRule>
    <cfRule type="cellIs" dxfId="8055" priority="642" operator="lessThan">
      <formula>0.8</formula>
    </cfRule>
  </conditionalFormatting>
  <conditionalFormatting sqref="R84:R91">
    <cfRule type="cellIs" dxfId="8054" priority="637" operator="lessThan">
      <formula>0.8</formula>
    </cfRule>
    <cfRule type="cellIs" dxfId="8053" priority="638" operator="greaterThan">
      <formula>1</formula>
    </cfRule>
  </conditionalFormatting>
  <conditionalFormatting sqref="R84:R91">
    <cfRule type="cellIs" dxfId="8052" priority="635" operator="greaterThan">
      <formula>1</formula>
    </cfRule>
    <cfRule type="cellIs" dxfId="8051" priority="636" operator="lessThan">
      <formula>0.8</formula>
    </cfRule>
  </conditionalFormatting>
  <conditionalFormatting sqref="P84:P91">
    <cfRule type="cellIs" dxfId="8050" priority="634" operator="greaterThan">
      <formula>0</formula>
    </cfRule>
  </conditionalFormatting>
  <conditionalFormatting sqref="Q84:Q91">
    <cfRule type="cellIs" dxfId="8049" priority="639" operator="lessThan">
      <formula>0</formula>
    </cfRule>
  </conditionalFormatting>
  <conditionalFormatting sqref="R84:R91">
    <cfRule type="cellIs" dxfId="8048" priority="631" operator="lessThan">
      <formula>0.8</formula>
    </cfRule>
    <cfRule type="cellIs" dxfId="8047" priority="632" operator="greaterThan">
      <formula>1</formula>
    </cfRule>
  </conditionalFormatting>
  <conditionalFormatting sqref="R84:R91">
    <cfRule type="cellIs" dxfId="8046" priority="629" operator="greaterThan">
      <formula>1</formula>
    </cfRule>
    <cfRule type="cellIs" dxfId="8045" priority="630" operator="lessThan">
      <formula>0.8</formula>
    </cfRule>
  </conditionalFormatting>
  <conditionalFormatting sqref="P84:P91">
    <cfRule type="cellIs" dxfId="8044" priority="628" operator="greaterThan">
      <formula>0</formula>
    </cfRule>
  </conditionalFormatting>
  <conditionalFormatting sqref="Q84:Q91">
    <cfRule type="cellIs" dxfId="8043" priority="633" operator="lessThan">
      <formula>0</formula>
    </cfRule>
  </conditionalFormatting>
  <conditionalFormatting sqref="Q84:Q91">
    <cfRule type="cellIs" dxfId="8042" priority="627" operator="lessThan">
      <formula>0</formula>
    </cfRule>
  </conditionalFormatting>
  <conditionalFormatting sqref="R84:R91">
    <cfRule type="cellIs" dxfId="8041" priority="625" operator="lessThan">
      <formula>0.8</formula>
    </cfRule>
    <cfRule type="cellIs" dxfId="8040" priority="626" operator="greaterThan">
      <formula>1</formula>
    </cfRule>
  </conditionalFormatting>
  <conditionalFormatting sqref="R84:R91">
    <cfRule type="cellIs" dxfId="8039" priority="623" operator="greaterThan">
      <formula>1</formula>
    </cfRule>
    <cfRule type="cellIs" dxfId="8038" priority="624" operator="lessThan">
      <formula>0.8</formula>
    </cfRule>
  </conditionalFormatting>
  <conditionalFormatting sqref="P84:P91">
    <cfRule type="cellIs" dxfId="8037" priority="622" operator="greaterThan">
      <formula>0</formula>
    </cfRule>
  </conditionalFormatting>
  <conditionalFormatting sqref="Q84:Q91">
    <cfRule type="cellIs" dxfId="8036" priority="616" operator="lessThan">
      <formula>0</formula>
    </cfRule>
  </conditionalFormatting>
  <conditionalFormatting sqref="R84:R91">
    <cfRule type="cellIs" dxfId="8035" priority="620" operator="lessThan">
      <formula>0.8</formula>
    </cfRule>
    <cfRule type="cellIs" dxfId="8034" priority="621" operator="greaterThan">
      <formula>1</formula>
    </cfRule>
  </conditionalFormatting>
  <conditionalFormatting sqref="R84:R91">
    <cfRule type="cellIs" dxfId="8033" priority="618" operator="greaterThan">
      <formula>1</formula>
    </cfRule>
    <cfRule type="cellIs" dxfId="8032" priority="619" operator="lessThan">
      <formula>0.8</formula>
    </cfRule>
  </conditionalFormatting>
  <conditionalFormatting sqref="P84:P91">
    <cfRule type="cellIs" dxfId="8031" priority="617" operator="greaterThan">
      <formula>0</formula>
    </cfRule>
  </conditionalFormatting>
  <conditionalFormatting sqref="Q84:Q91">
    <cfRule type="cellIs" dxfId="8030" priority="615" operator="lessThan">
      <formula>0</formula>
    </cfRule>
  </conditionalFormatting>
  <conditionalFormatting sqref="R84:R91">
    <cfRule type="cellIs" dxfId="8029" priority="613" operator="lessThan">
      <formula>0.8</formula>
    </cfRule>
    <cfRule type="cellIs" dxfId="8028" priority="614" operator="greaterThan">
      <formula>1</formula>
    </cfRule>
  </conditionalFormatting>
  <conditionalFormatting sqref="R84:R91">
    <cfRule type="cellIs" dxfId="8027" priority="611" operator="greaterThan">
      <formula>1</formula>
    </cfRule>
    <cfRule type="cellIs" dxfId="8026" priority="612" operator="lessThan">
      <formula>0.8</formula>
    </cfRule>
  </conditionalFormatting>
  <conditionalFormatting sqref="P84:P91">
    <cfRule type="cellIs" dxfId="8025" priority="610" operator="greaterThan">
      <formula>0</formula>
    </cfRule>
  </conditionalFormatting>
  <conditionalFormatting sqref="Q84:Q91">
    <cfRule type="cellIs" dxfId="8024" priority="609" operator="lessThan">
      <formula>0</formula>
    </cfRule>
  </conditionalFormatting>
  <conditionalFormatting sqref="R84:R91">
    <cfRule type="cellIs" dxfId="8023" priority="607" operator="lessThan">
      <formula>0.8</formula>
    </cfRule>
    <cfRule type="cellIs" dxfId="8022" priority="608" operator="greaterThan">
      <formula>1</formula>
    </cfRule>
  </conditionalFormatting>
  <conditionalFormatting sqref="R84:R91">
    <cfRule type="cellIs" dxfId="8021" priority="605" operator="greaterThan">
      <formula>1</formula>
    </cfRule>
    <cfRule type="cellIs" dxfId="8020" priority="606" operator="lessThan">
      <formula>0.8</formula>
    </cfRule>
  </conditionalFormatting>
  <conditionalFormatting sqref="P84:P91">
    <cfRule type="cellIs" dxfId="8019" priority="604" operator="greaterThan">
      <formula>0</formula>
    </cfRule>
  </conditionalFormatting>
  <conditionalFormatting sqref="Q84:Q91">
    <cfRule type="cellIs" dxfId="8018" priority="603" operator="lessThan">
      <formula>0</formula>
    </cfRule>
  </conditionalFormatting>
  <conditionalFormatting sqref="R84:R91">
    <cfRule type="cellIs" dxfId="8017" priority="601" operator="lessThan">
      <formula>0.8</formula>
    </cfRule>
    <cfRule type="cellIs" dxfId="8016" priority="602" operator="greaterThan">
      <formula>1</formula>
    </cfRule>
  </conditionalFormatting>
  <conditionalFormatting sqref="R84:R91">
    <cfRule type="cellIs" dxfId="8015" priority="599" operator="greaterThan">
      <formula>1</formula>
    </cfRule>
    <cfRule type="cellIs" dxfId="8014" priority="600" operator="lessThan">
      <formula>0.8</formula>
    </cfRule>
  </conditionalFormatting>
  <conditionalFormatting sqref="P84:P91">
    <cfRule type="cellIs" dxfId="8013" priority="598" operator="greaterThan">
      <formula>0</formula>
    </cfRule>
  </conditionalFormatting>
  <conditionalFormatting sqref="Q84:Q91">
    <cfRule type="cellIs" dxfId="8012" priority="597" operator="lessThan">
      <formula>0</formula>
    </cfRule>
  </conditionalFormatting>
  <conditionalFormatting sqref="R84:R91">
    <cfRule type="cellIs" dxfId="8011" priority="595" operator="lessThan">
      <formula>0.8</formula>
    </cfRule>
    <cfRule type="cellIs" dxfId="8010" priority="596" operator="greaterThan">
      <formula>1</formula>
    </cfRule>
  </conditionalFormatting>
  <conditionalFormatting sqref="R84:R91">
    <cfRule type="cellIs" dxfId="8009" priority="593" operator="greaterThan">
      <formula>1</formula>
    </cfRule>
    <cfRule type="cellIs" dxfId="8008" priority="594" operator="lessThan">
      <formula>0.8</formula>
    </cfRule>
  </conditionalFormatting>
  <conditionalFormatting sqref="P84:P91">
    <cfRule type="cellIs" dxfId="8007" priority="592" operator="greaterThan">
      <formula>0</formula>
    </cfRule>
  </conditionalFormatting>
  <conditionalFormatting sqref="Q84:Q91">
    <cfRule type="cellIs" dxfId="8006" priority="591" operator="lessThan">
      <formula>0</formula>
    </cfRule>
  </conditionalFormatting>
  <conditionalFormatting sqref="R84:R91">
    <cfRule type="cellIs" dxfId="8005" priority="589" operator="lessThan">
      <formula>0.8</formula>
    </cfRule>
    <cfRule type="cellIs" dxfId="8004" priority="590" operator="greaterThan">
      <formula>1</formula>
    </cfRule>
  </conditionalFormatting>
  <conditionalFormatting sqref="R84:R91">
    <cfRule type="cellIs" dxfId="8003" priority="587" operator="greaterThan">
      <formula>1</formula>
    </cfRule>
    <cfRule type="cellIs" dxfId="8002" priority="588" operator="lessThan">
      <formula>0.8</formula>
    </cfRule>
  </conditionalFormatting>
  <conditionalFormatting sqref="P84:P91">
    <cfRule type="cellIs" dxfId="8001" priority="586" operator="greaterThan">
      <formula>0</formula>
    </cfRule>
  </conditionalFormatting>
  <conditionalFormatting sqref="P84:P91">
    <cfRule type="cellIs" dxfId="8000" priority="580" operator="greaterThan">
      <formula>0</formula>
    </cfRule>
  </conditionalFormatting>
  <conditionalFormatting sqref="Q84:Q91">
    <cfRule type="cellIs" dxfId="7999" priority="585" operator="lessThan">
      <formula>0</formula>
    </cfRule>
  </conditionalFormatting>
  <conditionalFormatting sqref="R84:R91">
    <cfRule type="cellIs" dxfId="7998" priority="583" operator="lessThan">
      <formula>0.8</formula>
    </cfRule>
    <cfRule type="cellIs" dxfId="7997" priority="584" operator="greaterThan">
      <formula>1</formula>
    </cfRule>
  </conditionalFormatting>
  <conditionalFormatting sqref="R84:R91">
    <cfRule type="cellIs" dxfId="7996" priority="581" operator="greaterThan">
      <formula>1</formula>
    </cfRule>
    <cfRule type="cellIs" dxfId="7995" priority="582" operator="lessThan">
      <formula>0.8</formula>
    </cfRule>
  </conditionalFormatting>
  <conditionalFormatting sqref="P84:P91">
    <cfRule type="cellIs" dxfId="7994" priority="574" operator="greaterThan">
      <formula>0</formula>
    </cfRule>
  </conditionalFormatting>
  <conditionalFormatting sqref="Q84:Q91">
    <cfRule type="cellIs" dxfId="7993" priority="579" operator="lessThan">
      <formula>0</formula>
    </cfRule>
  </conditionalFormatting>
  <conditionalFormatting sqref="R84:R91">
    <cfRule type="cellIs" dxfId="7992" priority="577" operator="lessThan">
      <formula>0.8</formula>
    </cfRule>
    <cfRule type="cellIs" dxfId="7991" priority="578" operator="greaterThan">
      <formula>1</formula>
    </cfRule>
  </conditionalFormatting>
  <conditionalFormatting sqref="R84:R91">
    <cfRule type="cellIs" dxfId="7990" priority="575" operator="greaterThan">
      <formula>1</formula>
    </cfRule>
    <cfRule type="cellIs" dxfId="7989" priority="576" operator="lessThan">
      <formula>0.8</formula>
    </cfRule>
  </conditionalFormatting>
  <conditionalFormatting sqref="R84:R91">
    <cfRule type="cellIs" dxfId="7988" priority="571" operator="lessThan">
      <formula>0.8</formula>
    </cfRule>
    <cfRule type="cellIs" dxfId="7987" priority="572" operator="greaterThan">
      <formula>1</formula>
    </cfRule>
  </conditionalFormatting>
  <conditionalFormatting sqref="R84:R91">
    <cfRule type="cellIs" dxfId="7986" priority="569" operator="greaterThan">
      <formula>1</formula>
    </cfRule>
    <cfRule type="cellIs" dxfId="7985" priority="570" operator="lessThan">
      <formula>0.8</formula>
    </cfRule>
  </conditionalFormatting>
  <conditionalFormatting sqref="P84:P91">
    <cfRule type="cellIs" dxfId="7984" priority="568" operator="greaterThan">
      <formula>0</formula>
    </cfRule>
  </conditionalFormatting>
  <conditionalFormatting sqref="Q84:Q91">
    <cfRule type="cellIs" dxfId="7983" priority="573" operator="lessThan">
      <formula>0</formula>
    </cfRule>
  </conditionalFormatting>
  <conditionalFormatting sqref="Q84:Q91">
    <cfRule type="cellIs" dxfId="7982" priority="567" operator="lessThan">
      <formula>0</formula>
    </cfRule>
  </conditionalFormatting>
  <conditionalFormatting sqref="R84:R91">
    <cfRule type="cellIs" dxfId="7981" priority="565" operator="lessThan">
      <formula>0.8</formula>
    </cfRule>
    <cfRule type="cellIs" dxfId="7980" priority="566" operator="greaterThan">
      <formula>1</formula>
    </cfRule>
  </conditionalFormatting>
  <conditionalFormatting sqref="R84:R91">
    <cfRule type="cellIs" dxfId="7979" priority="563" operator="greaterThan">
      <formula>1</formula>
    </cfRule>
    <cfRule type="cellIs" dxfId="7978" priority="564" operator="lessThan">
      <formula>0.8</formula>
    </cfRule>
  </conditionalFormatting>
  <conditionalFormatting sqref="P84:P91">
    <cfRule type="cellIs" dxfId="7977" priority="562" operator="greaterThan">
      <formula>0</formula>
    </cfRule>
  </conditionalFormatting>
  <conditionalFormatting sqref="Q84:Q91">
    <cfRule type="cellIs" dxfId="7976" priority="561" operator="lessThan">
      <formula>0</formula>
    </cfRule>
  </conditionalFormatting>
  <conditionalFormatting sqref="R84:R91">
    <cfRule type="cellIs" dxfId="7975" priority="559" operator="lessThan">
      <formula>0.8</formula>
    </cfRule>
    <cfRule type="cellIs" dxfId="7974" priority="560" operator="greaterThan">
      <formula>1</formula>
    </cfRule>
  </conditionalFormatting>
  <conditionalFormatting sqref="R84:R91">
    <cfRule type="cellIs" dxfId="7973" priority="557" operator="greaterThan">
      <formula>1</formula>
    </cfRule>
    <cfRule type="cellIs" dxfId="7972" priority="558" operator="lessThan">
      <formula>0.8</formula>
    </cfRule>
  </conditionalFormatting>
  <conditionalFormatting sqref="P84:P91">
    <cfRule type="cellIs" dxfId="7971" priority="556" operator="greaterThan">
      <formula>0</formula>
    </cfRule>
  </conditionalFormatting>
  <conditionalFormatting sqref="Q84:Q91">
    <cfRule type="cellIs" dxfId="7970" priority="555" operator="lessThan">
      <formula>0</formula>
    </cfRule>
  </conditionalFormatting>
  <conditionalFormatting sqref="R84:R91">
    <cfRule type="cellIs" dxfId="7969" priority="553" operator="lessThan">
      <formula>0.8</formula>
    </cfRule>
    <cfRule type="cellIs" dxfId="7968" priority="554" operator="greaterThan">
      <formula>1</formula>
    </cfRule>
  </conditionalFormatting>
  <conditionalFormatting sqref="R84:R91">
    <cfRule type="cellIs" dxfId="7967" priority="551" operator="greaterThan">
      <formula>1</formula>
    </cfRule>
    <cfRule type="cellIs" dxfId="7966" priority="552" operator="lessThan">
      <formula>0.8</formula>
    </cfRule>
  </conditionalFormatting>
  <conditionalFormatting sqref="P84:P91">
    <cfRule type="cellIs" dxfId="7965" priority="550" operator="greaterThan">
      <formula>0</formula>
    </cfRule>
  </conditionalFormatting>
  <conditionalFormatting sqref="Q84:Q91">
    <cfRule type="cellIs" dxfId="7964" priority="549" operator="lessThan">
      <formula>0</formula>
    </cfRule>
  </conditionalFormatting>
  <conditionalFormatting sqref="R84:R91">
    <cfRule type="cellIs" dxfId="7963" priority="547" operator="lessThan">
      <formula>0.8</formula>
    </cfRule>
    <cfRule type="cellIs" dxfId="7962" priority="548" operator="greaterThan">
      <formula>1</formula>
    </cfRule>
  </conditionalFormatting>
  <conditionalFormatting sqref="R84:R91">
    <cfRule type="cellIs" dxfId="7961" priority="545" operator="greaterThan">
      <formula>1</formula>
    </cfRule>
    <cfRule type="cellIs" dxfId="7960" priority="546" operator="lessThan">
      <formula>0.8</formula>
    </cfRule>
  </conditionalFormatting>
  <conditionalFormatting sqref="P84:P91">
    <cfRule type="cellIs" dxfId="7959" priority="544" operator="greaterThan">
      <formula>0</formula>
    </cfRule>
  </conditionalFormatting>
  <conditionalFormatting sqref="P84:P91">
    <cfRule type="cellIs" dxfId="7958" priority="538" operator="greaterThan">
      <formula>0</formula>
    </cfRule>
  </conditionalFormatting>
  <conditionalFormatting sqref="Q84:Q91">
    <cfRule type="cellIs" dxfId="7957" priority="543" operator="lessThan">
      <formula>0</formula>
    </cfRule>
  </conditionalFormatting>
  <conditionalFormatting sqref="R84:R91">
    <cfRule type="cellIs" dxfId="7956" priority="541" operator="lessThan">
      <formula>0.8</formula>
    </cfRule>
    <cfRule type="cellIs" dxfId="7955" priority="542" operator="greaterThan">
      <formula>1</formula>
    </cfRule>
  </conditionalFormatting>
  <conditionalFormatting sqref="R84:R91">
    <cfRule type="cellIs" dxfId="7954" priority="539" operator="greaterThan">
      <formula>1</formula>
    </cfRule>
    <cfRule type="cellIs" dxfId="7953" priority="540" operator="lessThan">
      <formula>0.8</formula>
    </cfRule>
  </conditionalFormatting>
  <conditionalFormatting sqref="P84:P91">
    <cfRule type="cellIs" dxfId="7952" priority="532" operator="greaterThan">
      <formula>0</formula>
    </cfRule>
  </conditionalFormatting>
  <conditionalFormatting sqref="Q84:Q91">
    <cfRule type="cellIs" dxfId="7951" priority="537" operator="lessThan">
      <formula>0</formula>
    </cfRule>
  </conditionalFormatting>
  <conditionalFormatting sqref="R84:R91">
    <cfRule type="cellIs" dxfId="7950" priority="535" operator="lessThan">
      <formula>0.8</formula>
    </cfRule>
    <cfRule type="cellIs" dxfId="7949" priority="536" operator="greaterThan">
      <formula>1</formula>
    </cfRule>
  </conditionalFormatting>
  <conditionalFormatting sqref="R84:R91">
    <cfRule type="cellIs" dxfId="7948" priority="533" operator="greaterThan">
      <formula>1</formula>
    </cfRule>
    <cfRule type="cellIs" dxfId="7947" priority="534" operator="lessThan">
      <formula>0.8</formula>
    </cfRule>
  </conditionalFormatting>
  <conditionalFormatting sqref="R84:R91">
    <cfRule type="cellIs" dxfId="7946" priority="529" operator="lessThan">
      <formula>0.8</formula>
    </cfRule>
    <cfRule type="cellIs" dxfId="7945" priority="530" operator="greaterThan">
      <formula>1</formula>
    </cfRule>
  </conditionalFormatting>
  <conditionalFormatting sqref="R84:R91">
    <cfRule type="cellIs" dxfId="7944" priority="527" operator="greaterThan">
      <formula>1</formula>
    </cfRule>
    <cfRule type="cellIs" dxfId="7943" priority="528" operator="lessThan">
      <formula>0.8</formula>
    </cfRule>
  </conditionalFormatting>
  <conditionalFormatting sqref="P84:P91">
    <cfRule type="cellIs" dxfId="7942" priority="526" operator="greaterThan">
      <formula>0</formula>
    </cfRule>
  </conditionalFormatting>
  <conditionalFormatting sqref="Q84:Q91">
    <cfRule type="cellIs" dxfId="7941" priority="531" operator="lessThan">
      <formula>0</formula>
    </cfRule>
  </conditionalFormatting>
  <conditionalFormatting sqref="Q84:Q91">
    <cfRule type="cellIs" dxfId="7940" priority="525" operator="lessThan">
      <formula>0</formula>
    </cfRule>
  </conditionalFormatting>
  <conditionalFormatting sqref="R84:R91">
    <cfRule type="cellIs" dxfId="7939" priority="523" operator="lessThan">
      <formula>0.8</formula>
    </cfRule>
    <cfRule type="cellIs" dxfId="7938" priority="524" operator="greaterThan">
      <formula>1</formula>
    </cfRule>
  </conditionalFormatting>
  <conditionalFormatting sqref="R84:R91">
    <cfRule type="cellIs" dxfId="7937" priority="521" operator="greaterThan">
      <formula>1</formula>
    </cfRule>
    <cfRule type="cellIs" dxfId="7936" priority="522" operator="lessThan">
      <formula>0.8</formula>
    </cfRule>
  </conditionalFormatting>
  <conditionalFormatting sqref="P84:P91">
    <cfRule type="cellIs" dxfId="7935" priority="520" operator="greaterThan">
      <formula>0</formula>
    </cfRule>
  </conditionalFormatting>
  <conditionalFormatting sqref="P84:P91">
    <cfRule type="cellIs" dxfId="7934" priority="514" operator="greaterThan">
      <formula>0</formula>
    </cfRule>
  </conditionalFormatting>
  <conditionalFormatting sqref="Q84:Q91">
    <cfRule type="cellIs" dxfId="7933" priority="519" operator="lessThan">
      <formula>0</formula>
    </cfRule>
  </conditionalFormatting>
  <conditionalFormatting sqref="R84:R91">
    <cfRule type="cellIs" dxfId="7932" priority="517" operator="lessThan">
      <formula>0.8</formula>
    </cfRule>
    <cfRule type="cellIs" dxfId="7931" priority="518" operator="greaterThan">
      <formula>1</formula>
    </cfRule>
  </conditionalFormatting>
  <conditionalFormatting sqref="R84:R91">
    <cfRule type="cellIs" dxfId="7930" priority="515" operator="greaterThan">
      <formula>1</formula>
    </cfRule>
    <cfRule type="cellIs" dxfId="7929" priority="516" operator="lessThan">
      <formula>0.8</formula>
    </cfRule>
  </conditionalFormatting>
  <conditionalFormatting sqref="P84:P91">
    <cfRule type="cellIs" dxfId="7928" priority="508" operator="greaterThan">
      <formula>0</formula>
    </cfRule>
  </conditionalFormatting>
  <conditionalFormatting sqref="Q84:Q91">
    <cfRule type="cellIs" dxfId="7927" priority="513" operator="lessThan">
      <formula>0</formula>
    </cfRule>
  </conditionalFormatting>
  <conditionalFormatting sqref="R84:R91">
    <cfRule type="cellIs" dxfId="7926" priority="511" operator="lessThan">
      <formula>0.8</formula>
    </cfRule>
    <cfRule type="cellIs" dxfId="7925" priority="512" operator="greaterThan">
      <formula>1</formula>
    </cfRule>
  </conditionalFormatting>
  <conditionalFormatting sqref="R84:R91">
    <cfRule type="cellIs" dxfId="7924" priority="509" operator="greaterThan">
      <formula>1</formula>
    </cfRule>
    <cfRule type="cellIs" dxfId="7923" priority="510" operator="lessThan">
      <formula>0.8</formula>
    </cfRule>
  </conditionalFormatting>
  <conditionalFormatting sqref="R84:R91">
    <cfRule type="cellIs" dxfId="7922" priority="505" operator="lessThan">
      <formula>0.8</formula>
    </cfRule>
    <cfRule type="cellIs" dxfId="7921" priority="506" operator="greaterThan">
      <formula>1</formula>
    </cfRule>
  </conditionalFormatting>
  <conditionalFormatting sqref="R84:R91">
    <cfRule type="cellIs" dxfId="7920" priority="503" operator="greaterThan">
      <formula>1</formula>
    </cfRule>
    <cfRule type="cellIs" dxfId="7919" priority="504" operator="lessThan">
      <formula>0.8</formula>
    </cfRule>
  </conditionalFormatting>
  <conditionalFormatting sqref="P84:P91">
    <cfRule type="cellIs" dxfId="7918" priority="502" operator="greaterThan">
      <formula>0</formula>
    </cfRule>
  </conditionalFormatting>
  <conditionalFormatting sqref="Q84:Q91">
    <cfRule type="cellIs" dxfId="7917" priority="507" operator="lessThan">
      <formula>0</formula>
    </cfRule>
  </conditionalFormatting>
  <conditionalFormatting sqref="P84:P91">
    <cfRule type="cellIs" dxfId="7916" priority="496" operator="greaterThan">
      <formula>0</formula>
    </cfRule>
  </conditionalFormatting>
  <conditionalFormatting sqref="Q84:Q91">
    <cfRule type="cellIs" dxfId="7915" priority="501" operator="lessThan">
      <formula>0</formula>
    </cfRule>
  </conditionalFormatting>
  <conditionalFormatting sqref="R84:R91">
    <cfRule type="cellIs" dxfId="7914" priority="499" operator="lessThan">
      <formula>0.8</formula>
    </cfRule>
    <cfRule type="cellIs" dxfId="7913" priority="500" operator="greaterThan">
      <formula>1</formula>
    </cfRule>
  </conditionalFormatting>
  <conditionalFormatting sqref="R84:R91">
    <cfRule type="cellIs" dxfId="7912" priority="497" operator="greaterThan">
      <formula>1</formula>
    </cfRule>
    <cfRule type="cellIs" dxfId="7911" priority="498" operator="lessThan">
      <formula>0.8</formula>
    </cfRule>
  </conditionalFormatting>
  <conditionalFormatting sqref="R84:R91">
    <cfRule type="cellIs" dxfId="7910" priority="493" operator="lessThan">
      <formula>0.8</formula>
    </cfRule>
    <cfRule type="cellIs" dxfId="7909" priority="494" operator="greaterThan">
      <formula>1</formula>
    </cfRule>
  </conditionalFormatting>
  <conditionalFormatting sqref="R84:R91">
    <cfRule type="cellIs" dxfId="7908" priority="491" operator="greaterThan">
      <formula>1</formula>
    </cfRule>
    <cfRule type="cellIs" dxfId="7907" priority="492" operator="lessThan">
      <formula>0.8</formula>
    </cfRule>
  </conditionalFormatting>
  <conditionalFormatting sqref="P84:P91">
    <cfRule type="cellIs" dxfId="7906" priority="490" operator="greaterThan">
      <formula>0</formula>
    </cfRule>
  </conditionalFormatting>
  <conditionalFormatting sqref="Q84:Q91">
    <cfRule type="cellIs" dxfId="7905" priority="495" operator="lessThan">
      <formula>0</formula>
    </cfRule>
  </conditionalFormatting>
  <conditionalFormatting sqref="R84:R91">
    <cfRule type="cellIs" dxfId="7904" priority="487" operator="lessThan">
      <formula>0.8</formula>
    </cfRule>
    <cfRule type="cellIs" dxfId="7903" priority="488" operator="greaterThan">
      <formula>1</formula>
    </cfRule>
  </conditionalFormatting>
  <conditionalFormatting sqref="R84:R91">
    <cfRule type="cellIs" dxfId="7902" priority="485" operator="greaterThan">
      <formula>1</formula>
    </cfRule>
    <cfRule type="cellIs" dxfId="7901" priority="486" operator="lessThan">
      <formula>0.8</formula>
    </cfRule>
  </conditionalFormatting>
  <conditionalFormatting sqref="P84:P91">
    <cfRule type="cellIs" dxfId="7900" priority="484" operator="greaterThan">
      <formula>0</formula>
    </cfRule>
  </conditionalFormatting>
  <conditionalFormatting sqref="Q84:Q91">
    <cfRule type="cellIs" dxfId="7899" priority="489" operator="lessThan">
      <formula>0</formula>
    </cfRule>
  </conditionalFormatting>
  <conditionalFormatting sqref="Q84:Q91">
    <cfRule type="cellIs" dxfId="7898" priority="483" operator="lessThan">
      <formula>0</formula>
    </cfRule>
  </conditionalFormatting>
  <conditionalFormatting sqref="R84:R91">
    <cfRule type="cellIs" dxfId="7897" priority="481" operator="lessThan">
      <formula>0.8</formula>
    </cfRule>
    <cfRule type="cellIs" dxfId="7896" priority="482" operator="greaterThan">
      <formula>1</formula>
    </cfRule>
  </conditionalFormatting>
  <conditionalFormatting sqref="R84:R91">
    <cfRule type="cellIs" dxfId="7895" priority="479" operator="greaterThan">
      <formula>1</formula>
    </cfRule>
    <cfRule type="cellIs" dxfId="7894" priority="480" operator="lessThan">
      <formula>0.8</formula>
    </cfRule>
  </conditionalFormatting>
  <conditionalFormatting sqref="P84:P91">
    <cfRule type="cellIs" dxfId="7893" priority="478" operator="greaterThan">
      <formula>0</formula>
    </cfRule>
  </conditionalFormatting>
  <conditionalFormatting sqref="Q84:Q91">
    <cfRule type="cellIs" dxfId="7892" priority="472" operator="lessThan">
      <formula>0</formula>
    </cfRule>
  </conditionalFormatting>
  <conditionalFormatting sqref="R84:R91">
    <cfRule type="cellIs" dxfId="7891" priority="476" operator="lessThan">
      <formula>0.8</formula>
    </cfRule>
    <cfRule type="cellIs" dxfId="7890" priority="477" operator="greaterThan">
      <formula>1</formula>
    </cfRule>
  </conditionalFormatting>
  <conditionalFormatting sqref="R84:R91">
    <cfRule type="cellIs" dxfId="7889" priority="474" operator="greaterThan">
      <formula>1</formula>
    </cfRule>
    <cfRule type="cellIs" dxfId="7888" priority="475" operator="lessThan">
      <formula>0.8</formula>
    </cfRule>
  </conditionalFormatting>
  <conditionalFormatting sqref="P84:P91">
    <cfRule type="cellIs" dxfId="7887" priority="473" operator="greaterThan">
      <formula>0</formula>
    </cfRule>
  </conditionalFormatting>
  <conditionalFormatting sqref="Q84:Q91">
    <cfRule type="cellIs" dxfId="7886" priority="471" operator="lessThan">
      <formula>0</formula>
    </cfRule>
  </conditionalFormatting>
  <conditionalFormatting sqref="R84:R91">
    <cfRule type="cellIs" dxfId="7885" priority="469" operator="lessThan">
      <formula>0.8</formula>
    </cfRule>
    <cfRule type="cellIs" dxfId="7884" priority="470" operator="greaterThan">
      <formula>1</formula>
    </cfRule>
  </conditionalFormatting>
  <conditionalFormatting sqref="R84:R91">
    <cfRule type="cellIs" dxfId="7883" priority="467" operator="greaterThan">
      <formula>1</formula>
    </cfRule>
    <cfRule type="cellIs" dxfId="7882" priority="468" operator="lessThan">
      <formula>0.8</formula>
    </cfRule>
  </conditionalFormatting>
  <conditionalFormatting sqref="P84:P91">
    <cfRule type="cellIs" dxfId="7881" priority="466" operator="greaterThan">
      <formula>0</formula>
    </cfRule>
  </conditionalFormatting>
  <conditionalFormatting sqref="Q84:Q91">
    <cfRule type="cellIs" dxfId="7880" priority="465" operator="lessThan">
      <formula>0</formula>
    </cfRule>
  </conditionalFormatting>
  <conditionalFormatting sqref="R84:R91">
    <cfRule type="cellIs" dxfId="7879" priority="463" operator="lessThan">
      <formula>0.8</formula>
    </cfRule>
    <cfRule type="cellIs" dxfId="7878" priority="464" operator="greaterThan">
      <formula>1</formula>
    </cfRule>
  </conditionalFormatting>
  <conditionalFormatting sqref="R84:R91">
    <cfRule type="cellIs" dxfId="7877" priority="461" operator="greaterThan">
      <formula>1</formula>
    </cfRule>
    <cfRule type="cellIs" dxfId="7876" priority="462" operator="lessThan">
      <formula>0.8</formula>
    </cfRule>
  </conditionalFormatting>
  <conditionalFormatting sqref="P84:P91">
    <cfRule type="cellIs" dxfId="7875" priority="460" operator="greaterThan">
      <formula>0</formula>
    </cfRule>
  </conditionalFormatting>
  <conditionalFormatting sqref="Q84:Q91">
    <cfRule type="cellIs" dxfId="7874" priority="459" operator="lessThan">
      <formula>0</formula>
    </cfRule>
  </conditionalFormatting>
  <conditionalFormatting sqref="R84:R91">
    <cfRule type="cellIs" dxfId="7873" priority="457" operator="lessThan">
      <formula>0.8</formula>
    </cfRule>
    <cfRule type="cellIs" dxfId="7872" priority="458" operator="greaterThan">
      <formula>1</formula>
    </cfRule>
  </conditionalFormatting>
  <conditionalFormatting sqref="R84:R91">
    <cfRule type="cellIs" dxfId="7871" priority="455" operator="greaterThan">
      <formula>1</formula>
    </cfRule>
    <cfRule type="cellIs" dxfId="7870" priority="456" operator="lessThan">
      <formula>0.8</formula>
    </cfRule>
  </conditionalFormatting>
  <conditionalFormatting sqref="P84:P91">
    <cfRule type="cellIs" dxfId="7869" priority="454" operator="greaterThan">
      <formula>0</formula>
    </cfRule>
  </conditionalFormatting>
  <conditionalFormatting sqref="Q84:Q91">
    <cfRule type="cellIs" dxfId="7868" priority="453" operator="lessThan">
      <formula>0</formula>
    </cfRule>
  </conditionalFormatting>
  <conditionalFormatting sqref="R84:R91">
    <cfRule type="cellIs" dxfId="7867" priority="451" operator="lessThan">
      <formula>0.8</formula>
    </cfRule>
    <cfRule type="cellIs" dxfId="7866" priority="452" operator="greaterThan">
      <formula>1</formula>
    </cfRule>
  </conditionalFormatting>
  <conditionalFormatting sqref="R84:R91">
    <cfRule type="cellIs" dxfId="7865" priority="449" operator="greaterThan">
      <formula>1</formula>
    </cfRule>
    <cfRule type="cellIs" dxfId="7864" priority="450" operator="lessThan">
      <formula>0.8</formula>
    </cfRule>
  </conditionalFormatting>
  <conditionalFormatting sqref="P84:P91">
    <cfRule type="cellIs" dxfId="7863" priority="448" operator="greaterThan">
      <formula>0</formula>
    </cfRule>
  </conditionalFormatting>
  <conditionalFormatting sqref="Q84:Q91">
    <cfRule type="cellIs" dxfId="7862" priority="447" operator="lessThan">
      <formula>0</formula>
    </cfRule>
  </conditionalFormatting>
  <conditionalFormatting sqref="R84:R91">
    <cfRule type="cellIs" dxfId="7861" priority="445" operator="lessThan">
      <formula>0.8</formula>
    </cfRule>
    <cfRule type="cellIs" dxfId="7860" priority="446" operator="greaterThan">
      <formula>1</formula>
    </cfRule>
  </conditionalFormatting>
  <conditionalFormatting sqref="R84:R91">
    <cfRule type="cellIs" dxfId="7859" priority="443" operator="greaterThan">
      <formula>1</formula>
    </cfRule>
    <cfRule type="cellIs" dxfId="7858" priority="444" operator="lessThan">
      <formula>0.8</formula>
    </cfRule>
  </conditionalFormatting>
  <conditionalFormatting sqref="P84:P91">
    <cfRule type="cellIs" dxfId="7857" priority="442" operator="greaterThan">
      <formula>0</formula>
    </cfRule>
  </conditionalFormatting>
  <conditionalFormatting sqref="P84:P91">
    <cfRule type="cellIs" dxfId="7856" priority="436" operator="greaterThan">
      <formula>0</formula>
    </cfRule>
  </conditionalFormatting>
  <conditionalFormatting sqref="Q84:Q91">
    <cfRule type="cellIs" dxfId="7855" priority="441" operator="lessThan">
      <formula>0</formula>
    </cfRule>
  </conditionalFormatting>
  <conditionalFormatting sqref="R84:R91">
    <cfRule type="cellIs" dxfId="7854" priority="439" operator="lessThan">
      <formula>0.8</formula>
    </cfRule>
    <cfRule type="cellIs" dxfId="7853" priority="440" operator="greaterThan">
      <formula>1</formula>
    </cfRule>
  </conditionalFormatting>
  <conditionalFormatting sqref="R84:R91">
    <cfRule type="cellIs" dxfId="7852" priority="437" operator="greaterThan">
      <formula>1</formula>
    </cfRule>
    <cfRule type="cellIs" dxfId="7851" priority="438" operator="lessThan">
      <formula>0.8</formula>
    </cfRule>
  </conditionalFormatting>
  <conditionalFormatting sqref="P84:P91">
    <cfRule type="cellIs" dxfId="7850" priority="430" operator="greaterThan">
      <formula>0</formula>
    </cfRule>
  </conditionalFormatting>
  <conditionalFormatting sqref="Q84:Q91">
    <cfRule type="cellIs" dxfId="7849" priority="435" operator="lessThan">
      <formula>0</formula>
    </cfRule>
  </conditionalFormatting>
  <conditionalFormatting sqref="R84:R91">
    <cfRule type="cellIs" dxfId="7848" priority="433" operator="lessThan">
      <formula>0.8</formula>
    </cfRule>
    <cfRule type="cellIs" dxfId="7847" priority="434" operator="greaterThan">
      <formula>1</formula>
    </cfRule>
  </conditionalFormatting>
  <conditionalFormatting sqref="R84:R91">
    <cfRule type="cellIs" dxfId="7846" priority="431" operator="greaterThan">
      <formula>1</formula>
    </cfRule>
    <cfRule type="cellIs" dxfId="7845" priority="432" operator="lessThan">
      <formula>0.8</formula>
    </cfRule>
  </conditionalFormatting>
  <conditionalFormatting sqref="R84:R91">
    <cfRule type="cellIs" dxfId="7844" priority="427" operator="lessThan">
      <formula>0.8</formula>
    </cfRule>
    <cfRule type="cellIs" dxfId="7843" priority="428" operator="greaterThan">
      <formula>1</formula>
    </cfRule>
  </conditionalFormatting>
  <conditionalFormatting sqref="R84:R91">
    <cfRule type="cellIs" dxfId="7842" priority="425" operator="greaterThan">
      <formula>1</formula>
    </cfRule>
    <cfRule type="cellIs" dxfId="7841" priority="426" operator="lessThan">
      <formula>0.8</formula>
    </cfRule>
  </conditionalFormatting>
  <conditionalFormatting sqref="P84:P91">
    <cfRule type="cellIs" dxfId="7840" priority="424" operator="greaterThan">
      <formula>0</formula>
    </cfRule>
  </conditionalFormatting>
  <conditionalFormatting sqref="Q84:Q91">
    <cfRule type="cellIs" dxfId="7839" priority="429" operator="lessThan">
      <formula>0</formula>
    </cfRule>
  </conditionalFormatting>
  <conditionalFormatting sqref="Q84:Q91">
    <cfRule type="cellIs" dxfId="7838" priority="418" operator="lessThan">
      <formula>0</formula>
    </cfRule>
  </conditionalFormatting>
  <conditionalFormatting sqref="P84:P91">
    <cfRule type="cellIs" dxfId="7837" priority="419" operator="greaterThan">
      <formula>0</formula>
    </cfRule>
  </conditionalFormatting>
  <conditionalFormatting sqref="R84:R91">
    <cfRule type="cellIs" dxfId="7836" priority="422" operator="lessThan">
      <formula>0.8</formula>
    </cfRule>
    <cfRule type="cellIs" dxfId="7835" priority="423" operator="greaterThan">
      <formula>1</formula>
    </cfRule>
  </conditionalFormatting>
  <conditionalFormatting sqref="R84:R91">
    <cfRule type="cellIs" dxfId="7834" priority="420" operator="greaterThan">
      <formula>1</formula>
    </cfRule>
    <cfRule type="cellIs" dxfId="7833" priority="421" operator="lessThan">
      <formula>0.8</formula>
    </cfRule>
  </conditionalFormatting>
  <conditionalFormatting sqref="Q84:Q91">
    <cfRule type="cellIs" dxfId="7832" priority="412" operator="lessThan">
      <formula>0</formula>
    </cfRule>
  </conditionalFormatting>
  <conditionalFormatting sqref="R84:R91">
    <cfRule type="cellIs" dxfId="7831" priority="416" operator="lessThan">
      <formula>0.8</formula>
    </cfRule>
    <cfRule type="cellIs" dxfId="7830" priority="417" operator="greaterThan">
      <formula>1</formula>
    </cfRule>
  </conditionalFormatting>
  <conditionalFormatting sqref="R84:R91">
    <cfRule type="cellIs" dxfId="7829" priority="414" operator="greaterThan">
      <formula>1</formula>
    </cfRule>
    <cfRule type="cellIs" dxfId="7828" priority="415" operator="lessThan">
      <formula>0.8</formula>
    </cfRule>
  </conditionalFormatting>
  <conditionalFormatting sqref="P84:P91">
    <cfRule type="cellIs" dxfId="7827" priority="413" operator="greaterThan">
      <formula>0</formula>
    </cfRule>
  </conditionalFormatting>
  <conditionalFormatting sqref="Q84:Q91">
    <cfRule type="cellIs" dxfId="7826" priority="411" operator="lessThan">
      <formula>0</formula>
    </cfRule>
  </conditionalFormatting>
  <conditionalFormatting sqref="R84:R91">
    <cfRule type="cellIs" dxfId="7825" priority="409" operator="lessThan">
      <formula>0.8</formula>
    </cfRule>
    <cfRule type="cellIs" dxfId="7824" priority="410" operator="greaterThan">
      <formula>1</formula>
    </cfRule>
  </conditionalFormatting>
  <conditionalFormatting sqref="R84:R91">
    <cfRule type="cellIs" dxfId="7823" priority="407" operator="greaterThan">
      <formula>1</formula>
    </cfRule>
    <cfRule type="cellIs" dxfId="7822" priority="408" operator="lessThan">
      <formula>0.8</formula>
    </cfRule>
  </conditionalFormatting>
  <conditionalFormatting sqref="P84:P91">
    <cfRule type="cellIs" dxfId="7821" priority="406" operator="greaterThan">
      <formula>0</formula>
    </cfRule>
  </conditionalFormatting>
  <conditionalFormatting sqref="Q84:Q91">
    <cfRule type="cellIs" dxfId="7820" priority="405" operator="lessThan">
      <formula>0</formula>
    </cfRule>
  </conditionalFormatting>
  <conditionalFormatting sqref="R84:R91">
    <cfRule type="cellIs" dxfId="7819" priority="403" operator="lessThan">
      <formula>0.8</formula>
    </cfRule>
    <cfRule type="cellIs" dxfId="7818" priority="404" operator="greaterThan">
      <formula>1</formula>
    </cfRule>
  </conditionalFormatting>
  <conditionalFormatting sqref="R84:R91">
    <cfRule type="cellIs" dxfId="7817" priority="401" operator="greaterThan">
      <formula>1</formula>
    </cfRule>
    <cfRule type="cellIs" dxfId="7816" priority="402" operator="lessThan">
      <formula>0.8</formula>
    </cfRule>
  </conditionalFormatting>
  <conditionalFormatting sqref="P84:P91">
    <cfRule type="cellIs" dxfId="7815" priority="400" operator="greaterThan">
      <formula>0</formula>
    </cfRule>
  </conditionalFormatting>
  <conditionalFormatting sqref="Q84:Q91">
    <cfRule type="cellIs" dxfId="7814" priority="399" operator="lessThan">
      <formula>0</formula>
    </cfRule>
  </conditionalFormatting>
  <conditionalFormatting sqref="R84:R91">
    <cfRule type="cellIs" dxfId="7813" priority="397" operator="lessThan">
      <formula>0.8</formula>
    </cfRule>
    <cfRule type="cellIs" dxfId="7812" priority="398" operator="greaterThan">
      <formula>1</formula>
    </cfRule>
  </conditionalFormatting>
  <conditionalFormatting sqref="R84:R91">
    <cfRule type="cellIs" dxfId="7811" priority="395" operator="greaterThan">
      <formula>1</formula>
    </cfRule>
    <cfRule type="cellIs" dxfId="7810" priority="396" operator="lessThan">
      <formula>0.8</formula>
    </cfRule>
  </conditionalFormatting>
  <conditionalFormatting sqref="P84:P91">
    <cfRule type="cellIs" dxfId="7809" priority="394" operator="greaterThan">
      <formula>0</formula>
    </cfRule>
  </conditionalFormatting>
  <conditionalFormatting sqref="Q84:Q91">
    <cfRule type="cellIs" dxfId="7808" priority="393" operator="lessThan">
      <formula>0</formula>
    </cfRule>
  </conditionalFormatting>
  <conditionalFormatting sqref="R84:R91">
    <cfRule type="cellIs" dxfId="7807" priority="391" operator="lessThan">
      <formula>0.8</formula>
    </cfRule>
    <cfRule type="cellIs" dxfId="7806" priority="392" operator="greaterThan">
      <formula>1</formula>
    </cfRule>
  </conditionalFormatting>
  <conditionalFormatting sqref="R84:R91">
    <cfRule type="cellIs" dxfId="7805" priority="389" operator="greaterThan">
      <formula>1</formula>
    </cfRule>
    <cfRule type="cellIs" dxfId="7804" priority="390" operator="lessThan">
      <formula>0.8</formula>
    </cfRule>
  </conditionalFormatting>
  <conditionalFormatting sqref="P84:P91">
    <cfRule type="cellIs" dxfId="7803" priority="388" operator="greaterThan">
      <formula>0</formula>
    </cfRule>
  </conditionalFormatting>
  <conditionalFormatting sqref="Q84:Q91">
    <cfRule type="cellIs" dxfId="7802" priority="387" operator="lessThan">
      <formula>0</formula>
    </cfRule>
  </conditionalFormatting>
  <conditionalFormatting sqref="R84:R91">
    <cfRule type="cellIs" dxfId="7801" priority="385" operator="lessThan">
      <formula>0.8</formula>
    </cfRule>
    <cfRule type="cellIs" dxfId="7800" priority="386" operator="greaterThan">
      <formula>1</formula>
    </cfRule>
  </conditionalFormatting>
  <conditionalFormatting sqref="R84:R91">
    <cfRule type="cellIs" dxfId="7799" priority="383" operator="greaterThan">
      <formula>1</formula>
    </cfRule>
    <cfRule type="cellIs" dxfId="7798" priority="384" operator="lessThan">
      <formula>0.8</formula>
    </cfRule>
  </conditionalFormatting>
  <conditionalFormatting sqref="P84:P91">
    <cfRule type="cellIs" dxfId="7797" priority="382" operator="greaterThan">
      <formula>0</formula>
    </cfRule>
  </conditionalFormatting>
  <conditionalFormatting sqref="Q84:Q91">
    <cfRule type="cellIs" dxfId="7796" priority="381" operator="lessThan">
      <formula>0</formula>
    </cfRule>
  </conditionalFormatting>
  <conditionalFormatting sqref="R84:R91">
    <cfRule type="cellIs" dxfId="7795" priority="379" operator="lessThan">
      <formula>0.8</formula>
    </cfRule>
    <cfRule type="cellIs" dxfId="7794" priority="380" operator="greaterThan">
      <formula>1</formula>
    </cfRule>
  </conditionalFormatting>
  <conditionalFormatting sqref="R84:R91">
    <cfRule type="cellIs" dxfId="7793" priority="377" operator="greaterThan">
      <formula>1</formula>
    </cfRule>
    <cfRule type="cellIs" dxfId="7792" priority="378" operator="lessThan">
      <formula>0.8</formula>
    </cfRule>
  </conditionalFormatting>
  <conditionalFormatting sqref="P84:P91">
    <cfRule type="cellIs" dxfId="7791" priority="376" operator="greaterThan">
      <formula>0</formula>
    </cfRule>
  </conditionalFormatting>
  <conditionalFormatting sqref="Q84:Q91">
    <cfRule type="cellIs" dxfId="7790" priority="375" operator="lessThan">
      <formula>0</formula>
    </cfRule>
  </conditionalFormatting>
  <conditionalFormatting sqref="R84:R91">
    <cfRule type="cellIs" dxfId="7789" priority="373" operator="lessThan">
      <formula>0.8</formula>
    </cfRule>
    <cfRule type="cellIs" dxfId="7788" priority="374" operator="greaterThan">
      <formula>1</formula>
    </cfRule>
  </conditionalFormatting>
  <conditionalFormatting sqref="R84:R91">
    <cfRule type="cellIs" dxfId="7787" priority="371" operator="greaterThan">
      <formula>1</formula>
    </cfRule>
    <cfRule type="cellIs" dxfId="7786" priority="372" operator="lessThan">
      <formula>0.8</formula>
    </cfRule>
  </conditionalFormatting>
  <conditionalFormatting sqref="P84:P91">
    <cfRule type="cellIs" dxfId="7785" priority="370" operator="greaterThan">
      <formula>0</formula>
    </cfRule>
  </conditionalFormatting>
  <conditionalFormatting sqref="P84:P91">
    <cfRule type="cellIs" dxfId="7784" priority="364" operator="greaterThan">
      <formula>0</formula>
    </cfRule>
  </conditionalFormatting>
  <conditionalFormatting sqref="Q84:Q91">
    <cfRule type="cellIs" dxfId="7783" priority="369" operator="lessThan">
      <formula>0</formula>
    </cfRule>
  </conditionalFormatting>
  <conditionalFormatting sqref="R84:R91">
    <cfRule type="cellIs" dxfId="7782" priority="367" operator="lessThan">
      <formula>0.8</formula>
    </cfRule>
    <cfRule type="cellIs" dxfId="7781" priority="368" operator="greaterThan">
      <formula>1</formula>
    </cfRule>
  </conditionalFormatting>
  <conditionalFormatting sqref="R84:R91">
    <cfRule type="cellIs" dxfId="7780" priority="365" operator="greaterThan">
      <formula>1</formula>
    </cfRule>
    <cfRule type="cellIs" dxfId="7779" priority="366" operator="lessThan">
      <formula>0.8</formula>
    </cfRule>
  </conditionalFormatting>
  <conditionalFormatting sqref="P84:P91">
    <cfRule type="cellIs" dxfId="7778" priority="358" operator="greaterThan">
      <formula>0</formula>
    </cfRule>
  </conditionalFormatting>
  <conditionalFormatting sqref="Q84:Q91">
    <cfRule type="cellIs" dxfId="7777" priority="363" operator="lessThan">
      <formula>0</formula>
    </cfRule>
  </conditionalFormatting>
  <conditionalFormatting sqref="R84:R91">
    <cfRule type="cellIs" dxfId="7776" priority="361" operator="lessThan">
      <formula>0.8</formula>
    </cfRule>
    <cfRule type="cellIs" dxfId="7775" priority="362" operator="greaterThan">
      <formula>1</formula>
    </cfRule>
  </conditionalFormatting>
  <conditionalFormatting sqref="R84:R91">
    <cfRule type="cellIs" dxfId="7774" priority="359" operator="greaterThan">
      <formula>1</formula>
    </cfRule>
    <cfRule type="cellIs" dxfId="7773" priority="360" operator="lessThan">
      <formula>0.8</formula>
    </cfRule>
  </conditionalFormatting>
  <conditionalFormatting sqref="R84:R91">
    <cfRule type="cellIs" dxfId="7772" priority="355" operator="lessThan">
      <formula>0.8</formula>
    </cfRule>
    <cfRule type="cellIs" dxfId="7771" priority="356" operator="greaterThan">
      <formula>1</formula>
    </cfRule>
  </conditionalFormatting>
  <conditionalFormatting sqref="R84:R91">
    <cfRule type="cellIs" dxfId="7770" priority="353" operator="greaterThan">
      <formula>1</formula>
    </cfRule>
    <cfRule type="cellIs" dxfId="7769" priority="354" operator="lessThan">
      <formula>0.8</formula>
    </cfRule>
  </conditionalFormatting>
  <conditionalFormatting sqref="P84:P91">
    <cfRule type="cellIs" dxfId="7768" priority="352" operator="greaterThan">
      <formula>0</formula>
    </cfRule>
  </conditionalFormatting>
  <conditionalFormatting sqref="Q84:Q91">
    <cfRule type="cellIs" dxfId="7767" priority="357" operator="lessThan">
      <formula>0</formula>
    </cfRule>
  </conditionalFormatting>
  <conditionalFormatting sqref="Q84:Q91">
    <cfRule type="cellIs" dxfId="7766" priority="351" operator="lessThan">
      <formula>0</formula>
    </cfRule>
  </conditionalFormatting>
  <conditionalFormatting sqref="R84:R91">
    <cfRule type="cellIs" dxfId="7765" priority="349" operator="lessThan">
      <formula>0.8</formula>
    </cfRule>
    <cfRule type="cellIs" dxfId="7764" priority="350" operator="greaterThan">
      <formula>1</formula>
    </cfRule>
  </conditionalFormatting>
  <conditionalFormatting sqref="R84:R91">
    <cfRule type="cellIs" dxfId="7763" priority="347" operator="greaterThan">
      <formula>1</formula>
    </cfRule>
    <cfRule type="cellIs" dxfId="7762" priority="348" operator="lessThan">
      <formula>0.8</formula>
    </cfRule>
  </conditionalFormatting>
  <conditionalFormatting sqref="P84:P91">
    <cfRule type="cellIs" dxfId="7761" priority="346" operator="greaterThan">
      <formula>0</formula>
    </cfRule>
  </conditionalFormatting>
  <conditionalFormatting sqref="P84:P91">
    <cfRule type="cellIs" dxfId="7760" priority="340" operator="greaterThan">
      <formula>0</formula>
    </cfRule>
  </conditionalFormatting>
  <conditionalFormatting sqref="Q84:Q91">
    <cfRule type="cellIs" dxfId="7759" priority="345" operator="lessThan">
      <formula>0</formula>
    </cfRule>
  </conditionalFormatting>
  <conditionalFormatting sqref="R84:R91">
    <cfRule type="cellIs" dxfId="7758" priority="343" operator="lessThan">
      <formula>0.8</formula>
    </cfRule>
    <cfRule type="cellIs" dxfId="7757" priority="344" operator="greaterThan">
      <formula>1</formula>
    </cfRule>
  </conditionalFormatting>
  <conditionalFormatting sqref="R84:R91">
    <cfRule type="cellIs" dxfId="7756" priority="341" operator="greaterThan">
      <formula>1</formula>
    </cfRule>
    <cfRule type="cellIs" dxfId="7755" priority="342" operator="lessThan">
      <formula>0.8</formula>
    </cfRule>
  </conditionalFormatting>
  <conditionalFormatting sqref="P84:P91">
    <cfRule type="cellIs" dxfId="7754" priority="334" operator="greaterThan">
      <formula>0</formula>
    </cfRule>
  </conditionalFormatting>
  <conditionalFormatting sqref="Q84:Q91">
    <cfRule type="cellIs" dxfId="7753" priority="339" operator="lessThan">
      <formula>0</formula>
    </cfRule>
  </conditionalFormatting>
  <conditionalFormatting sqref="R84:R91">
    <cfRule type="cellIs" dxfId="7752" priority="337" operator="lessThan">
      <formula>0.8</formula>
    </cfRule>
    <cfRule type="cellIs" dxfId="7751" priority="338" operator="greaterThan">
      <formula>1</formula>
    </cfRule>
  </conditionalFormatting>
  <conditionalFormatting sqref="R84:R91">
    <cfRule type="cellIs" dxfId="7750" priority="335" operator="greaterThan">
      <formula>1</formula>
    </cfRule>
    <cfRule type="cellIs" dxfId="7749" priority="336" operator="lessThan">
      <formula>0.8</formula>
    </cfRule>
  </conditionalFormatting>
  <conditionalFormatting sqref="R84:R91">
    <cfRule type="cellIs" dxfId="7748" priority="331" operator="lessThan">
      <formula>0.8</formula>
    </cfRule>
    <cfRule type="cellIs" dxfId="7747" priority="332" operator="greaterThan">
      <formula>1</formula>
    </cfRule>
  </conditionalFormatting>
  <conditionalFormatting sqref="R84:R91">
    <cfRule type="cellIs" dxfId="7746" priority="329" operator="greaterThan">
      <formula>1</formula>
    </cfRule>
    <cfRule type="cellIs" dxfId="7745" priority="330" operator="lessThan">
      <formula>0.8</formula>
    </cfRule>
  </conditionalFormatting>
  <conditionalFormatting sqref="P84:P91">
    <cfRule type="cellIs" dxfId="7744" priority="328" operator="greaterThan">
      <formula>0</formula>
    </cfRule>
  </conditionalFormatting>
  <conditionalFormatting sqref="Q84:Q91">
    <cfRule type="cellIs" dxfId="7743" priority="333" operator="lessThan">
      <formula>0</formula>
    </cfRule>
  </conditionalFormatting>
  <conditionalFormatting sqref="P84:P91">
    <cfRule type="cellIs" dxfId="7742" priority="322" operator="greaterThan">
      <formula>0</formula>
    </cfRule>
  </conditionalFormatting>
  <conditionalFormatting sqref="Q84:Q91">
    <cfRule type="cellIs" dxfId="7741" priority="327" operator="lessThan">
      <formula>0</formula>
    </cfRule>
  </conditionalFormatting>
  <conditionalFormatting sqref="R84:R91">
    <cfRule type="cellIs" dxfId="7740" priority="325" operator="lessThan">
      <formula>0.8</formula>
    </cfRule>
    <cfRule type="cellIs" dxfId="7739" priority="326" operator="greaterThan">
      <formula>1</formula>
    </cfRule>
  </conditionalFormatting>
  <conditionalFormatting sqref="R84:R91">
    <cfRule type="cellIs" dxfId="7738" priority="323" operator="greaterThan">
      <formula>1</formula>
    </cfRule>
    <cfRule type="cellIs" dxfId="7737" priority="324" operator="lessThan">
      <formula>0.8</formula>
    </cfRule>
  </conditionalFormatting>
  <conditionalFormatting sqref="R84:R91">
    <cfRule type="cellIs" dxfId="7736" priority="319" operator="lessThan">
      <formula>0.8</formula>
    </cfRule>
    <cfRule type="cellIs" dxfId="7735" priority="320" operator="greaterThan">
      <formula>1</formula>
    </cfRule>
  </conditionalFormatting>
  <conditionalFormatting sqref="R84:R91">
    <cfRule type="cellIs" dxfId="7734" priority="317" operator="greaterThan">
      <formula>1</formula>
    </cfRule>
    <cfRule type="cellIs" dxfId="7733" priority="318" operator="lessThan">
      <formula>0.8</formula>
    </cfRule>
  </conditionalFormatting>
  <conditionalFormatting sqref="P84:P91">
    <cfRule type="cellIs" dxfId="7732" priority="316" operator="greaterThan">
      <formula>0</formula>
    </cfRule>
  </conditionalFormatting>
  <conditionalFormatting sqref="Q84:Q91">
    <cfRule type="cellIs" dxfId="7731" priority="321" operator="lessThan">
      <formula>0</formula>
    </cfRule>
  </conditionalFormatting>
  <conditionalFormatting sqref="R84:R91">
    <cfRule type="cellIs" dxfId="7730" priority="313" operator="lessThan">
      <formula>0.8</formula>
    </cfRule>
    <cfRule type="cellIs" dxfId="7729" priority="314" operator="greaterThan">
      <formula>1</formula>
    </cfRule>
  </conditionalFormatting>
  <conditionalFormatting sqref="R84:R91">
    <cfRule type="cellIs" dxfId="7728" priority="311" operator="greaterThan">
      <formula>1</formula>
    </cfRule>
    <cfRule type="cellIs" dxfId="7727" priority="312" operator="lessThan">
      <formula>0.8</formula>
    </cfRule>
  </conditionalFormatting>
  <conditionalFormatting sqref="P84:P91">
    <cfRule type="cellIs" dxfId="7726" priority="310" operator="greaterThan">
      <formula>0</formula>
    </cfRule>
  </conditionalFormatting>
  <conditionalFormatting sqref="Q84:Q91">
    <cfRule type="cellIs" dxfId="7725" priority="315" operator="lessThan">
      <formula>0</formula>
    </cfRule>
  </conditionalFormatting>
  <conditionalFormatting sqref="Q84:Q91">
    <cfRule type="cellIs" dxfId="7724" priority="309" operator="lessThan">
      <formula>0</formula>
    </cfRule>
  </conditionalFormatting>
  <conditionalFormatting sqref="R84:R91">
    <cfRule type="cellIs" dxfId="7723" priority="307" operator="lessThan">
      <formula>0.8</formula>
    </cfRule>
    <cfRule type="cellIs" dxfId="7722" priority="308" operator="greaterThan">
      <formula>1</formula>
    </cfRule>
  </conditionalFormatting>
  <conditionalFormatting sqref="R84:R91">
    <cfRule type="cellIs" dxfId="7721" priority="305" operator="greaterThan">
      <formula>1</formula>
    </cfRule>
    <cfRule type="cellIs" dxfId="7720" priority="306" operator="lessThan">
      <formula>0.8</formula>
    </cfRule>
  </conditionalFormatting>
  <conditionalFormatting sqref="P84:P91">
    <cfRule type="cellIs" dxfId="7719" priority="304" operator="greaterThan">
      <formula>0</formula>
    </cfRule>
  </conditionalFormatting>
  <conditionalFormatting sqref="Q84:Q91">
    <cfRule type="cellIs" dxfId="7718" priority="298" operator="lessThan">
      <formula>0</formula>
    </cfRule>
  </conditionalFormatting>
  <conditionalFormatting sqref="R84:R91">
    <cfRule type="cellIs" dxfId="7717" priority="302" operator="lessThan">
      <formula>0.8</formula>
    </cfRule>
    <cfRule type="cellIs" dxfId="7716" priority="303" operator="greaterThan">
      <formula>1</formula>
    </cfRule>
  </conditionalFormatting>
  <conditionalFormatting sqref="R84:R91">
    <cfRule type="cellIs" dxfId="7715" priority="300" operator="greaterThan">
      <formula>1</formula>
    </cfRule>
    <cfRule type="cellIs" dxfId="7714" priority="301" operator="lessThan">
      <formula>0.8</formula>
    </cfRule>
  </conditionalFormatting>
  <conditionalFormatting sqref="P84:P91">
    <cfRule type="cellIs" dxfId="7713" priority="299" operator="greaterThan">
      <formula>0</formula>
    </cfRule>
  </conditionalFormatting>
  <conditionalFormatting sqref="Q84:Q91">
    <cfRule type="cellIs" dxfId="7712" priority="297" operator="lessThan">
      <formula>0</formula>
    </cfRule>
  </conditionalFormatting>
  <conditionalFormatting sqref="R84:R91">
    <cfRule type="cellIs" dxfId="7711" priority="295" operator="lessThan">
      <formula>0.8</formula>
    </cfRule>
    <cfRule type="cellIs" dxfId="7710" priority="296" operator="greaterThan">
      <formula>1</formula>
    </cfRule>
  </conditionalFormatting>
  <conditionalFormatting sqref="R84:R91">
    <cfRule type="cellIs" dxfId="7709" priority="293" operator="greaterThan">
      <formula>1</formula>
    </cfRule>
    <cfRule type="cellIs" dxfId="7708" priority="294" operator="lessThan">
      <formula>0.8</formula>
    </cfRule>
  </conditionalFormatting>
  <conditionalFormatting sqref="P84:P91">
    <cfRule type="cellIs" dxfId="7707" priority="292" operator="greaterThan">
      <formula>0</formula>
    </cfRule>
  </conditionalFormatting>
  <conditionalFormatting sqref="Q84:Q91">
    <cfRule type="cellIs" dxfId="7706" priority="291" operator="lessThan">
      <formula>0</formula>
    </cfRule>
  </conditionalFormatting>
  <conditionalFormatting sqref="R84:R91">
    <cfRule type="cellIs" dxfId="7705" priority="289" operator="lessThan">
      <formula>0.8</formula>
    </cfRule>
    <cfRule type="cellIs" dxfId="7704" priority="290" operator="greaterThan">
      <formula>1</formula>
    </cfRule>
  </conditionalFormatting>
  <conditionalFormatting sqref="R84:R91">
    <cfRule type="cellIs" dxfId="7703" priority="287" operator="greaterThan">
      <formula>1</formula>
    </cfRule>
    <cfRule type="cellIs" dxfId="7702" priority="288" operator="lessThan">
      <formula>0.8</formula>
    </cfRule>
  </conditionalFormatting>
  <conditionalFormatting sqref="P84:P91">
    <cfRule type="cellIs" dxfId="7701" priority="286" operator="greaterThan">
      <formula>0</formula>
    </cfRule>
  </conditionalFormatting>
  <conditionalFormatting sqref="Q84:Q91">
    <cfRule type="cellIs" dxfId="7700" priority="285" operator="lessThan">
      <formula>0</formula>
    </cfRule>
  </conditionalFormatting>
  <conditionalFormatting sqref="R84:R91">
    <cfRule type="cellIs" dxfId="7699" priority="283" operator="lessThan">
      <formula>0.8</formula>
    </cfRule>
    <cfRule type="cellIs" dxfId="7698" priority="284" operator="greaterThan">
      <formula>1</formula>
    </cfRule>
  </conditionalFormatting>
  <conditionalFormatting sqref="R84:R91">
    <cfRule type="cellIs" dxfId="7697" priority="281" operator="greaterThan">
      <formula>1</formula>
    </cfRule>
    <cfRule type="cellIs" dxfId="7696" priority="282" operator="lessThan">
      <formula>0.8</formula>
    </cfRule>
  </conditionalFormatting>
  <conditionalFormatting sqref="P84:P91">
    <cfRule type="cellIs" dxfId="7695" priority="280" operator="greaterThan">
      <formula>0</formula>
    </cfRule>
  </conditionalFormatting>
  <conditionalFormatting sqref="Q84:Q91">
    <cfRule type="cellIs" dxfId="7694" priority="279" operator="lessThan">
      <formula>0</formula>
    </cfRule>
  </conditionalFormatting>
  <conditionalFormatting sqref="R84:R91">
    <cfRule type="cellIs" dxfId="7693" priority="277" operator="lessThan">
      <formula>0.8</formula>
    </cfRule>
    <cfRule type="cellIs" dxfId="7692" priority="278" operator="greaterThan">
      <formula>1</formula>
    </cfRule>
  </conditionalFormatting>
  <conditionalFormatting sqref="R84:R91">
    <cfRule type="cellIs" dxfId="7691" priority="275" operator="greaterThan">
      <formula>1</formula>
    </cfRule>
    <cfRule type="cellIs" dxfId="7690" priority="276" operator="lessThan">
      <formula>0.8</formula>
    </cfRule>
  </conditionalFormatting>
  <conditionalFormatting sqref="P84:P91">
    <cfRule type="cellIs" dxfId="7689" priority="274" operator="greaterThan">
      <formula>0</formula>
    </cfRule>
  </conditionalFormatting>
  <conditionalFormatting sqref="Q84:Q91">
    <cfRule type="cellIs" dxfId="7688" priority="273" operator="lessThan">
      <formula>0</formula>
    </cfRule>
  </conditionalFormatting>
  <conditionalFormatting sqref="R84:R91">
    <cfRule type="cellIs" dxfId="7687" priority="271" operator="lessThan">
      <formula>0.8</formula>
    </cfRule>
    <cfRule type="cellIs" dxfId="7686" priority="272" operator="greaterThan">
      <formula>1</formula>
    </cfRule>
  </conditionalFormatting>
  <conditionalFormatting sqref="R84:R91">
    <cfRule type="cellIs" dxfId="7685" priority="269" operator="greaterThan">
      <formula>1</formula>
    </cfRule>
    <cfRule type="cellIs" dxfId="7684" priority="270" operator="lessThan">
      <formula>0.8</formula>
    </cfRule>
  </conditionalFormatting>
  <conditionalFormatting sqref="P84:P91">
    <cfRule type="cellIs" dxfId="7683" priority="268" operator="greaterThan">
      <formula>0</formula>
    </cfRule>
  </conditionalFormatting>
  <conditionalFormatting sqref="P84:P91">
    <cfRule type="cellIs" dxfId="7682" priority="262" operator="greaterThan">
      <formula>0</formula>
    </cfRule>
  </conditionalFormatting>
  <conditionalFormatting sqref="Q84:Q91">
    <cfRule type="cellIs" dxfId="7681" priority="267" operator="lessThan">
      <formula>0</formula>
    </cfRule>
  </conditionalFormatting>
  <conditionalFormatting sqref="R84:R91">
    <cfRule type="cellIs" dxfId="7680" priority="265" operator="lessThan">
      <formula>0.8</formula>
    </cfRule>
    <cfRule type="cellIs" dxfId="7679" priority="266" operator="greaterThan">
      <formula>1</formula>
    </cfRule>
  </conditionalFormatting>
  <conditionalFormatting sqref="R84:R91">
    <cfRule type="cellIs" dxfId="7678" priority="263" operator="greaterThan">
      <formula>1</formula>
    </cfRule>
    <cfRule type="cellIs" dxfId="7677" priority="264" operator="lessThan">
      <formula>0.8</formula>
    </cfRule>
  </conditionalFormatting>
  <conditionalFormatting sqref="P84:P91">
    <cfRule type="cellIs" dxfId="7676" priority="256" operator="greaterThan">
      <formula>0</formula>
    </cfRule>
  </conditionalFormatting>
  <conditionalFormatting sqref="Q84:Q91">
    <cfRule type="cellIs" dxfId="7675" priority="261" operator="lessThan">
      <formula>0</formula>
    </cfRule>
  </conditionalFormatting>
  <conditionalFormatting sqref="R84:R91">
    <cfRule type="cellIs" dxfId="7674" priority="259" operator="lessThan">
      <formula>0.8</formula>
    </cfRule>
    <cfRule type="cellIs" dxfId="7673" priority="260" operator="greaterThan">
      <formula>1</formula>
    </cfRule>
  </conditionalFormatting>
  <conditionalFormatting sqref="R84:R91">
    <cfRule type="cellIs" dxfId="7672" priority="257" operator="greaterThan">
      <formula>1</formula>
    </cfRule>
    <cfRule type="cellIs" dxfId="7671" priority="258" operator="lessThan">
      <formula>0.8</formula>
    </cfRule>
  </conditionalFormatting>
  <conditionalFormatting sqref="R84:R91">
    <cfRule type="cellIs" dxfId="7670" priority="253" operator="lessThan">
      <formula>0.8</formula>
    </cfRule>
    <cfRule type="cellIs" dxfId="7669" priority="254" operator="greaterThan">
      <formula>1</formula>
    </cfRule>
  </conditionalFormatting>
  <conditionalFormatting sqref="R84:R91">
    <cfRule type="cellIs" dxfId="7668" priority="251" operator="greaterThan">
      <formula>1</formula>
    </cfRule>
    <cfRule type="cellIs" dxfId="7667" priority="252" operator="lessThan">
      <formula>0.8</formula>
    </cfRule>
  </conditionalFormatting>
  <conditionalFormatting sqref="P84:P91">
    <cfRule type="cellIs" dxfId="7666" priority="250" operator="greaterThan">
      <formula>0</formula>
    </cfRule>
  </conditionalFormatting>
  <conditionalFormatting sqref="Q84:Q91">
    <cfRule type="cellIs" dxfId="7665" priority="255" operator="lessThan">
      <formula>0</formula>
    </cfRule>
  </conditionalFormatting>
  <conditionalFormatting sqref="Q84:Q91">
    <cfRule type="cellIs" dxfId="7664" priority="249" operator="lessThan">
      <formula>0</formula>
    </cfRule>
  </conditionalFormatting>
  <conditionalFormatting sqref="R84:R91">
    <cfRule type="cellIs" dxfId="7663" priority="247" operator="lessThan">
      <formula>0.8</formula>
    </cfRule>
    <cfRule type="cellIs" dxfId="7662" priority="248" operator="greaterThan">
      <formula>1</formula>
    </cfRule>
  </conditionalFormatting>
  <conditionalFormatting sqref="R84:R91">
    <cfRule type="cellIs" dxfId="7661" priority="245" operator="greaterThan">
      <formula>1</formula>
    </cfRule>
    <cfRule type="cellIs" dxfId="7660" priority="246" operator="lessThan">
      <formula>0.8</formula>
    </cfRule>
  </conditionalFormatting>
  <conditionalFormatting sqref="P84:P91">
    <cfRule type="cellIs" dxfId="7659" priority="244" operator="greaterThan">
      <formula>0</formula>
    </cfRule>
  </conditionalFormatting>
  <conditionalFormatting sqref="Q84:Q91">
    <cfRule type="cellIs" dxfId="7658" priority="243" operator="lessThan">
      <formula>0</formula>
    </cfRule>
  </conditionalFormatting>
  <conditionalFormatting sqref="R84:R91">
    <cfRule type="cellIs" dxfId="7657" priority="241" operator="lessThan">
      <formula>0.8</formula>
    </cfRule>
    <cfRule type="cellIs" dxfId="7656" priority="242" operator="greaterThan">
      <formula>1</formula>
    </cfRule>
  </conditionalFormatting>
  <conditionalFormatting sqref="R84:R91">
    <cfRule type="cellIs" dxfId="7655" priority="239" operator="greaterThan">
      <formula>1</formula>
    </cfRule>
    <cfRule type="cellIs" dxfId="7654" priority="240" operator="lessThan">
      <formula>0.8</formula>
    </cfRule>
  </conditionalFormatting>
  <conditionalFormatting sqref="P84:P91">
    <cfRule type="cellIs" dxfId="7653" priority="238" operator="greaterThan">
      <formula>0</formula>
    </cfRule>
  </conditionalFormatting>
  <conditionalFormatting sqref="Q84:Q91">
    <cfRule type="cellIs" dxfId="7652" priority="237" operator="lessThan">
      <formula>0</formula>
    </cfRule>
  </conditionalFormatting>
  <conditionalFormatting sqref="R84:R91">
    <cfRule type="cellIs" dxfId="7651" priority="235" operator="lessThan">
      <formula>0.8</formula>
    </cfRule>
    <cfRule type="cellIs" dxfId="7650" priority="236" operator="greaterThan">
      <formula>1</formula>
    </cfRule>
  </conditionalFormatting>
  <conditionalFormatting sqref="R84:R91">
    <cfRule type="cellIs" dxfId="7649" priority="233" operator="greaterThan">
      <formula>1</formula>
    </cfRule>
    <cfRule type="cellIs" dxfId="7648" priority="234" operator="lessThan">
      <formula>0.8</formula>
    </cfRule>
  </conditionalFormatting>
  <conditionalFormatting sqref="P84:P91">
    <cfRule type="cellIs" dxfId="7647" priority="232" operator="greaterThan">
      <formula>0</formula>
    </cfRule>
  </conditionalFormatting>
  <conditionalFormatting sqref="Q84:Q91">
    <cfRule type="cellIs" dxfId="7646" priority="231" operator="lessThan">
      <formula>0</formula>
    </cfRule>
  </conditionalFormatting>
  <conditionalFormatting sqref="R84:R91">
    <cfRule type="cellIs" dxfId="7645" priority="229" operator="lessThan">
      <formula>0.8</formula>
    </cfRule>
    <cfRule type="cellIs" dxfId="7644" priority="230" operator="greaterThan">
      <formula>1</formula>
    </cfRule>
  </conditionalFormatting>
  <conditionalFormatting sqref="R84:R91">
    <cfRule type="cellIs" dxfId="7643" priority="227" operator="greaterThan">
      <formula>1</formula>
    </cfRule>
    <cfRule type="cellIs" dxfId="7642" priority="228" operator="lessThan">
      <formula>0.8</formula>
    </cfRule>
  </conditionalFormatting>
  <conditionalFormatting sqref="P84:P91">
    <cfRule type="cellIs" dxfId="7641" priority="226" operator="greaterThan">
      <formula>0</formula>
    </cfRule>
  </conditionalFormatting>
  <conditionalFormatting sqref="P84:P91">
    <cfRule type="cellIs" dxfId="7640" priority="220" operator="greaterThan">
      <formula>0</formula>
    </cfRule>
  </conditionalFormatting>
  <conditionalFormatting sqref="Q84:Q91">
    <cfRule type="cellIs" dxfId="7639" priority="225" operator="lessThan">
      <formula>0</formula>
    </cfRule>
  </conditionalFormatting>
  <conditionalFormatting sqref="R84:R91">
    <cfRule type="cellIs" dxfId="7638" priority="223" operator="lessThan">
      <formula>0.8</formula>
    </cfRule>
    <cfRule type="cellIs" dxfId="7637" priority="224" operator="greaterThan">
      <formula>1</formula>
    </cfRule>
  </conditionalFormatting>
  <conditionalFormatting sqref="R84:R91">
    <cfRule type="cellIs" dxfId="7636" priority="221" operator="greaterThan">
      <formula>1</formula>
    </cfRule>
    <cfRule type="cellIs" dxfId="7635" priority="222" operator="lessThan">
      <formula>0.8</formula>
    </cfRule>
  </conditionalFormatting>
  <conditionalFormatting sqref="P84:P91">
    <cfRule type="cellIs" dxfId="7634" priority="214" operator="greaterThan">
      <formula>0</formula>
    </cfRule>
  </conditionalFormatting>
  <conditionalFormatting sqref="Q84:Q91">
    <cfRule type="cellIs" dxfId="7633" priority="219" operator="lessThan">
      <formula>0</formula>
    </cfRule>
  </conditionalFormatting>
  <conditionalFormatting sqref="R84:R91">
    <cfRule type="cellIs" dxfId="7632" priority="217" operator="lessThan">
      <formula>0.8</formula>
    </cfRule>
    <cfRule type="cellIs" dxfId="7631" priority="218" operator="greaterThan">
      <formula>1</formula>
    </cfRule>
  </conditionalFormatting>
  <conditionalFormatting sqref="R84:R91">
    <cfRule type="cellIs" dxfId="7630" priority="215" operator="greaterThan">
      <formula>1</formula>
    </cfRule>
    <cfRule type="cellIs" dxfId="7629" priority="216" operator="lessThan">
      <formula>0.8</formula>
    </cfRule>
  </conditionalFormatting>
  <conditionalFormatting sqref="R84:R91">
    <cfRule type="cellIs" dxfId="7628" priority="211" operator="lessThan">
      <formula>0.8</formula>
    </cfRule>
    <cfRule type="cellIs" dxfId="7627" priority="212" operator="greaterThan">
      <formula>1</formula>
    </cfRule>
  </conditionalFormatting>
  <conditionalFormatting sqref="R84:R91">
    <cfRule type="cellIs" dxfId="7626" priority="209" operator="greaterThan">
      <formula>1</formula>
    </cfRule>
    <cfRule type="cellIs" dxfId="7625" priority="210" operator="lessThan">
      <formula>0.8</formula>
    </cfRule>
  </conditionalFormatting>
  <conditionalFormatting sqref="P84:P91">
    <cfRule type="cellIs" dxfId="7624" priority="208" operator="greaterThan">
      <formula>0</formula>
    </cfRule>
  </conditionalFormatting>
  <conditionalFormatting sqref="Q84:Q91">
    <cfRule type="cellIs" dxfId="7623" priority="213" operator="lessThan">
      <formula>0</formula>
    </cfRule>
  </conditionalFormatting>
  <conditionalFormatting sqref="Q84:Q91">
    <cfRule type="cellIs" dxfId="7622" priority="207" operator="lessThan">
      <formula>0</formula>
    </cfRule>
  </conditionalFormatting>
  <conditionalFormatting sqref="R84:R91">
    <cfRule type="cellIs" dxfId="7621" priority="205" operator="lessThan">
      <formula>0.8</formula>
    </cfRule>
    <cfRule type="cellIs" dxfId="7620" priority="206" operator="greaterThan">
      <formula>1</formula>
    </cfRule>
  </conditionalFormatting>
  <conditionalFormatting sqref="R84:R91">
    <cfRule type="cellIs" dxfId="7619" priority="203" operator="greaterThan">
      <formula>1</formula>
    </cfRule>
    <cfRule type="cellIs" dxfId="7618" priority="204" operator="lessThan">
      <formula>0.8</formula>
    </cfRule>
  </conditionalFormatting>
  <conditionalFormatting sqref="P84:P91">
    <cfRule type="cellIs" dxfId="7617" priority="202" operator="greaterThan">
      <formula>0</formula>
    </cfRule>
  </conditionalFormatting>
  <conditionalFormatting sqref="P84:P91">
    <cfRule type="cellIs" dxfId="7616" priority="196" operator="greaterThan">
      <formula>0</formula>
    </cfRule>
  </conditionalFormatting>
  <conditionalFormatting sqref="Q84:Q91">
    <cfRule type="cellIs" dxfId="7615" priority="201" operator="lessThan">
      <formula>0</formula>
    </cfRule>
  </conditionalFormatting>
  <conditionalFormatting sqref="R84:R91">
    <cfRule type="cellIs" dxfId="7614" priority="199" operator="lessThan">
      <formula>0.8</formula>
    </cfRule>
    <cfRule type="cellIs" dxfId="7613" priority="200" operator="greaterThan">
      <formula>1</formula>
    </cfRule>
  </conditionalFormatting>
  <conditionalFormatting sqref="R84:R91">
    <cfRule type="cellIs" dxfId="7612" priority="197" operator="greaterThan">
      <formula>1</formula>
    </cfRule>
    <cfRule type="cellIs" dxfId="7611" priority="198" operator="lessThan">
      <formula>0.8</formula>
    </cfRule>
  </conditionalFormatting>
  <conditionalFormatting sqref="P84:P91">
    <cfRule type="cellIs" dxfId="7610" priority="190" operator="greaterThan">
      <formula>0</formula>
    </cfRule>
  </conditionalFormatting>
  <conditionalFormatting sqref="Q84:Q91">
    <cfRule type="cellIs" dxfId="7609" priority="195" operator="lessThan">
      <formula>0</formula>
    </cfRule>
  </conditionalFormatting>
  <conditionalFormatting sqref="R84:R91">
    <cfRule type="cellIs" dxfId="7608" priority="193" operator="lessThan">
      <formula>0.8</formula>
    </cfRule>
    <cfRule type="cellIs" dxfId="7607" priority="194" operator="greaterThan">
      <formula>1</formula>
    </cfRule>
  </conditionalFormatting>
  <conditionalFormatting sqref="R84:R91">
    <cfRule type="cellIs" dxfId="7606" priority="191" operator="greaterThan">
      <formula>1</formula>
    </cfRule>
    <cfRule type="cellIs" dxfId="7605" priority="192" operator="lessThan">
      <formula>0.8</formula>
    </cfRule>
  </conditionalFormatting>
  <conditionalFormatting sqref="R84:R91">
    <cfRule type="cellIs" dxfId="7604" priority="187" operator="lessThan">
      <formula>0.8</formula>
    </cfRule>
    <cfRule type="cellIs" dxfId="7603" priority="188" operator="greaterThan">
      <formula>1</formula>
    </cfRule>
  </conditionalFormatting>
  <conditionalFormatting sqref="R84:R91">
    <cfRule type="cellIs" dxfId="7602" priority="185" operator="greaterThan">
      <formula>1</formula>
    </cfRule>
    <cfRule type="cellIs" dxfId="7601" priority="186" operator="lessThan">
      <formula>0.8</formula>
    </cfRule>
  </conditionalFormatting>
  <conditionalFormatting sqref="P84:P91">
    <cfRule type="cellIs" dxfId="7600" priority="184" operator="greaterThan">
      <formula>0</formula>
    </cfRule>
  </conditionalFormatting>
  <conditionalFormatting sqref="Q84:Q91">
    <cfRule type="cellIs" dxfId="7599" priority="189" operator="lessThan">
      <formula>0</formula>
    </cfRule>
  </conditionalFormatting>
  <conditionalFormatting sqref="P84:P91">
    <cfRule type="cellIs" dxfId="7598" priority="178" operator="greaterThan">
      <formula>0</formula>
    </cfRule>
  </conditionalFormatting>
  <conditionalFormatting sqref="Q84:Q91">
    <cfRule type="cellIs" dxfId="7597" priority="183" operator="lessThan">
      <formula>0</formula>
    </cfRule>
  </conditionalFormatting>
  <conditionalFormatting sqref="R84:R91">
    <cfRule type="cellIs" dxfId="7596" priority="181" operator="lessThan">
      <formula>0.8</formula>
    </cfRule>
    <cfRule type="cellIs" dxfId="7595" priority="182" operator="greaterThan">
      <formula>1</formula>
    </cfRule>
  </conditionalFormatting>
  <conditionalFormatting sqref="R84:R91">
    <cfRule type="cellIs" dxfId="7594" priority="179" operator="greaterThan">
      <formula>1</formula>
    </cfRule>
    <cfRule type="cellIs" dxfId="7593" priority="180" operator="lessThan">
      <formula>0.8</formula>
    </cfRule>
  </conditionalFormatting>
  <conditionalFormatting sqref="R84:R91">
    <cfRule type="cellIs" dxfId="7592" priority="175" operator="lessThan">
      <formula>0.8</formula>
    </cfRule>
    <cfRule type="cellIs" dxfId="7591" priority="176" operator="greaterThan">
      <formula>1</formula>
    </cfRule>
  </conditionalFormatting>
  <conditionalFormatting sqref="R84:R91">
    <cfRule type="cellIs" dxfId="7590" priority="173" operator="greaterThan">
      <formula>1</formula>
    </cfRule>
    <cfRule type="cellIs" dxfId="7589" priority="174" operator="lessThan">
      <formula>0.8</formula>
    </cfRule>
  </conditionalFormatting>
  <conditionalFormatting sqref="P84:P91">
    <cfRule type="cellIs" dxfId="7588" priority="172" operator="greaterThan">
      <formula>0</formula>
    </cfRule>
  </conditionalFormatting>
  <conditionalFormatting sqref="Q84:Q91">
    <cfRule type="cellIs" dxfId="7587" priority="177" operator="lessThan">
      <formula>0</formula>
    </cfRule>
  </conditionalFormatting>
  <conditionalFormatting sqref="R84:R91">
    <cfRule type="cellIs" dxfId="7586" priority="169" operator="lessThan">
      <formula>0.8</formula>
    </cfRule>
    <cfRule type="cellIs" dxfId="7585" priority="170" operator="greaterThan">
      <formula>1</formula>
    </cfRule>
  </conditionalFormatting>
  <conditionalFormatting sqref="R84:R91">
    <cfRule type="cellIs" dxfId="7584" priority="167" operator="greaterThan">
      <formula>1</formula>
    </cfRule>
    <cfRule type="cellIs" dxfId="7583" priority="168" operator="lessThan">
      <formula>0.8</formula>
    </cfRule>
  </conditionalFormatting>
  <conditionalFormatting sqref="P84:P91">
    <cfRule type="cellIs" dxfId="7582" priority="166" operator="greaterThan">
      <formula>0</formula>
    </cfRule>
  </conditionalFormatting>
  <conditionalFormatting sqref="Q84:Q91">
    <cfRule type="cellIs" dxfId="7581" priority="171" operator="lessThan">
      <formula>0</formula>
    </cfRule>
  </conditionalFormatting>
  <conditionalFormatting sqref="Q84:Q91">
    <cfRule type="cellIs" dxfId="7580" priority="165" operator="lessThan">
      <formula>0</formula>
    </cfRule>
  </conditionalFormatting>
  <conditionalFormatting sqref="R84:R91">
    <cfRule type="cellIs" dxfId="7579" priority="163" operator="lessThan">
      <formula>0.8</formula>
    </cfRule>
    <cfRule type="cellIs" dxfId="7578" priority="164" operator="greaterThan">
      <formula>1</formula>
    </cfRule>
  </conditionalFormatting>
  <conditionalFormatting sqref="R84:R91">
    <cfRule type="cellIs" dxfId="7577" priority="161" operator="greaterThan">
      <formula>1</formula>
    </cfRule>
    <cfRule type="cellIs" dxfId="7576" priority="162" operator="lessThan">
      <formula>0.8</formula>
    </cfRule>
  </conditionalFormatting>
  <conditionalFormatting sqref="P84:P91">
    <cfRule type="cellIs" dxfId="7575" priority="160" operator="greaterThan">
      <formula>0</formula>
    </cfRule>
  </conditionalFormatting>
  <conditionalFormatting sqref="Q84:Q91">
    <cfRule type="cellIs" dxfId="7574" priority="154" operator="lessThan">
      <formula>0</formula>
    </cfRule>
  </conditionalFormatting>
  <conditionalFormatting sqref="R84:R91">
    <cfRule type="cellIs" dxfId="7573" priority="158" operator="lessThan">
      <formula>0.8</formula>
    </cfRule>
    <cfRule type="cellIs" dxfId="7572" priority="159" operator="greaterThan">
      <formula>1</formula>
    </cfRule>
  </conditionalFormatting>
  <conditionalFormatting sqref="R84:R91">
    <cfRule type="cellIs" dxfId="7571" priority="156" operator="greaterThan">
      <formula>1</formula>
    </cfRule>
    <cfRule type="cellIs" dxfId="7570" priority="157" operator="lessThan">
      <formula>0.8</formula>
    </cfRule>
  </conditionalFormatting>
  <conditionalFormatting sqref="P84:P91">
    <cfRule type="cellIs" dxfId="7569" priority="155" operator="greaterThan">
      <formula>0</formula>
    </cfRule>
  </conditionalFormatting>
  <conditionalFormatting sqref="Q84:Q91">
    <cfRule type="cellIs" dxfId="7568" priority="153" operator="lessThan">
      <formula>0</formula>
    </cfRule>
  </conditionalFormatting>
  <conditionalFormatting sqref="R84:R91">
    <cfRule type="cellIs" dxfId="7567" priority="151" operator="lessThan">
      <formula>0.8</formula>
    </cfRule>
    <cfRule type="cellIs" dxfId="7566" priority="152" operator="greaterThan">
      <formula>1</formula>
    </cfRule>
  </conditionalFormatting>
  <conditionalFormatting sqref="R84:R91">
    <cfRule type="cellIs" dxfId="7565" priority="149" operator="greaterThan">
      <formula>1</formula>
    </cfRule>
    <cfRule type="cellIs" dxfId="7564" priority="150" operator="lessThan">
      <formula>0.8</formula>
    </cfRule>
  </conditionalFormatting>
  <conditionalFormatting sqref="P84:P91">
    <cfRule type="cellIs" dxfId="7563" priority="148" operator="greaterThan">
      <formula>0</formula>
    </cfRule>
  </conditionalFormatting>
  <conditionalFormatting sqref="Q84:Q91">
    <cfRule type="cellIs" dxfId="7562" priority="147" operator="lessThan">
      <formula>0</formula>
    </cfRule>
  </conditionalFormatting>
  <conditionalFormatting sqref="R84:R91">
    <cfRule type="cellIs" dxfId="7561" priority="145" operator="lessThan">
      <formula>0.8</formula>
    </cfRule>
    <cfRule type="cellIs" dxfId="7560" priority="146" operator="greaterThan">
      <formula>1</formula>
    </cfRule>
  </conditionalFormatting>
  <conditionalFormatting sqref="R84:R91">
    <cfRule type="cellIs" dxfId="7559" priority="143" operator="greaterThan">
      <formula>1</formula>
    </cfRule>
    <cfRule type="cellIs" dxfId="7558" priority="144" operator="lessThan">
      <formula>0.8</formula>
    </cfRule>
  </conditionalFormatting>
  <conditionalFormatting sqref="P84:P91">
    <cfRule type="cellIs" dxfId="7557" priority="142" operator="greaterThan">
      <formula>0</formula>
    </cfRule>
  </conditionalFormatting>
  <conditionalFormatting sqref="Q84:Q91">
    <cfRule type="cellIs" dxfId="7556" priority="141" operator="lessThan">
      <formula>0</formula>
    </cfRule>
  </conditionalFormatting>
  <conditionalFormatting sqref="R84:R91">
    <cfRule type="cellIs" dxfId="7555" priority="139" operator="lessThan">
      <formula>0.8</formula>
    </cfRule>
    <cfRule type="cellIs" dxfId="7554" priority="140" operator="greaterThan">
      <formula>1</formula>
    </cfRule>
  </conditionalFormatting>
  <conditionalFormatting sqref="R84:R91">
    <cfRule type="cellIs" dxfId="7553" priority="137" operator="greaterThan">
      <formula>1</formula>
    </cfRule>
    <cfRule type="cellIs" dxfId="7552" priority="138" operator="lessThan">
      <formula>0.8</formula>
    </cfRule>
  </conditionalFormatting>
  <conditionalFormatting sqref="P84:P91">
    <cfRule type="cellIs" dxfId="7551" priority="136" operator="greaterThan">
      <formula>0</formula>
    </cfRule>
  </conditionalFormatting>
  <conditionalFormatting sqref="Q84:Q91">
    <cfRule type="cellIs" dxfId="7550" priority="135" operator="lessThan">
      <formula>0</formula>
    </cfRule>
  </conditionalFormatting>
  <conditionalFormatting sqref="R84:R91">
    <cfRule type="cellIs" dxfId="7549" priority="133" operator="lessThan">
      <formula>0.8</formula>
    </cfRule>
    <cfRule type="cellIs" dxfId="7548" priority="134" operator="greaterThan">
      <formula>1</formula>
    </cfRule>
  </conditionalFormatting>
  <conditionalFormatting sqref="R84:R91">
    <cfRule type="cellIs" dxfId="7547" priority="131" operator="greaterThan">
      <formula>1</formula>
    </cfRule>
    <cfRule type="cellIs" dxfId="7546" priority="132" operator="lessThan">
      <formula>0.8</formula>
    </cfRule>
  </conditionalFormatting>
  <conditionalFormatting sqref="P84:P91">
    <cfRule type="cellIs" dxfId="7545" priority="130" operator="greaterThan">
      <formula>0</formula>
    </cfRule>
  </conditionalFormatting>
  <conditionalFormatting sqref="Q84:Q91">
    <cfRule type="cellIs" dxfId="7544" priority="129" operator="lessThan">
      <formula>0</formula>
    </cfRule>
  </conditionalFormatting>
  <conditionalFormatting sqref="R84:R91">
    <cfRule type="cellIs" dxfId="7543" priority="127" operator="lessThan">
      <formula>0.8</formula>
    </cfRule>
    <cfRule type="cellIs" dxfId="7542" priority="128" operator="greaterThan">
      <formula>1</formula>
    </cfRule>
  </conditionalFormatting>
  <conditionalFormatting sqref="R84:R91">
    <cfRule type="cellIs" dxfId="7541" priority="125" operator="greaterThan">
      <formula>1</formula>
    </cfRule>
    <cfRule type="cellIs" dxfId="7540" priority="126" operator="lessThan">
      <formula>0.8</formula>
    </cfRule>
  </conditionalFormatting>
  <conditionalFormatting sqref="P84:P91">
    <cfRule type="cellIs" dxfId="7539" priority="124" operator="greaterThan">
      <formula>0</formula>
    </cfRule>
  </conditionalFormatting>
  <conditionalFormatting sqref="P84:P91">
    <cfRule type="cellIs" dxfId="7538" priority="118" operator="greaterThan">
      <formula>0</formula>
    </cfRule>
  </conditionalFormatting>
  <conditionalFormatting sqref="Q84:Q91">
    <cfRule type="cellIs" dxfId="7537" priority="123" operator="lessThan">
      <formula>0</formula>
    </cfRule>
  </conditionalFormatting>
  <conditionalFormatting sqref="R84:R91">
    <cfRule type="cellIs" dxfId="7536" priority="121" operator="lessThan">
      <formula>0.8</formula>
    </cfRule>
    <cfRule type="cellIs" dxfId="7535" priority="122" operator="greaterThan">
      <formula>1</formula>
    </cfRule>
  </conditionalFormatting>
  <conditionalFormatting sqref="R84:R91">
    <cfRule type="cellIs" dxfId="7534" priority="119" operator="greaterThan">
      <formula>1</formula>
    </cfRule>
    <cfRule type="cellIs" dxfId="7533" priority="120" operator="lessThan">
      <formula>0.8</formula>
    </cfRule>
  </conditionalFormatting>
  <conditionalFormatting sqref="P84:P91">
    <cfRule type="cellIs" dxfId="7532" priority="112" operator="greaterThan">
      <formula>0</formula>
    </cfRule>
  </conditionalFormatting>
  <conditionalFormatting sqref="Q84:Q91">
    <cfRule type="cellIs" dxfId="7531" priority="117" operator="lessThan">
      <formula>0</formula>
    </cfRule>
  </conditionalFormatting>
  <conditionalFormatting sqref="R84:R91">
    <cfRule type="cellIs" dxfId="7530" priority="115" operator="lessThan">
      <formula>0.8</formula>
    </cfRule>
    <cfRule type="cellIs" dxfId="7529" priority="116" operator="greaterThan">
      <formula>1</formula>
    </cfRule>
  </conditionalFormatting>
  <conditionalFormatting sqref="R84:R91">
    <cfRule type="cellIs" dxfId="7528" priority="113" operator="greaterThan">
      <formula>1</formula>
    </cfRule>
    <cfRule type="cellIs" dxfId="7527" priority="114" operator="lessThan">
      <formula>0.8</formula>
    </cfRule>
  </conditionalFormatting>
  <conditionalFormatting sqref="R84:R91">
    <cfRule type="cellIs" dxfId="7526" priority="109" operator="lessThan">
      <formula>0.8</formula>
    </cfRule>
    <cfRule type="cellIs" dxfId="7525" priority="110" operator="greaterThan">
      <formula>1</formula>
    </cfRule>
  </conditionalFormatting>
  <conditionalFormatting sqref="R84:R91">
    <cfRule type="cellIs" dxfId="7524" priority="107" operator="greaterThan">
      <formula>1</formula>
    </cfRule>
    <cfRule type="cellIs" dxfId="7523" priority="108" operator="lessThan">
      <formula>0.8</formula>
    </cfRule>
  </conditionalFormatting>
  <conditionalFormatting sqref="P84:P91">
    <cfRule type="cellIs" dxfId="7522" priority="106" operator="greaterThan">
      <formula>0</formula>
    </cfRule>
  </conditionalFormatting>
  <conditionalFormatting sqref="Q84:Q91">
    <cfRule type="cellIs" dxfId="7521" priority="111" operator="lessThan">
      <formula>0</formula>
    </cfRule>
  </conditionalFormatting>
  <conditionalFormatting sqref="Q84:Q91">
    <cfRule type="cellIs" dxfId="7520" priority="100" operator="lessThan">
      <formula>0</formula>
    </cfRule>
  </conditionalFormatting>
  <conditionalFormatting sqref="P84:P91">
    <cfRule type="cellIs" dxfId="7519" priority="101" operator="greaterThan">
      <formula>0</formula>
    </cfRule>
  </conditionalFormatting>
  <conditionalFormatting sqref="R84:R91">
    <cfRule type="cellIs" dxfId="7518" priority="104" operator="lessThan">
      <formula>0.8</formula>
    </cfRule>
    <cfRule type="cellIs" dxfId="7517" priority="105" operator="greaterThan">
      <formula>1</formula>
    </cfRule>
  </conditionalFormatting>
  <conditionalFormatting sqref="R84:R91">
    <cfRule type="cellIs" dxfId="7516" priority="102" operator="greaterThan">
      <formula>1</formula>
    </cfRule>
    <cfRule type="cellIs" dxfId="7515" priority="103" operator="lessThan">
      <formula>0.8</formula>
    </cfRule>
  </conditionalFormatting>
  <conditionalFormatting sqref="Q84:Q91">
    <cfRule type="cellIs" dxfId="7514" priority="94" operator="lessThan">
      <formula>0</formula>
    </cfRule>
  </conditionalFormatting>
  <conditionalFormatting sqref="R84:R91">
    <cfRule type="cellIs" dxfId="7513" priority="98" operator="lessThan">
      <formula>0.8</formula>
    </cfRule>
    <cfRule type="cellIs" dxfId="7512" priority="99" operator="greaterThan">
      <formula>1</formula>
    </cfRule>
  </conditionalFormatting>
  <conditionalFormatting sqref="R84:R91">
    <cfRule type="cellIs" dxfId="7511" priority="96" operator="greaterThan">
      <formula>1</formula>
    </cfRule>
    <cfRule type="cellIs" dxfId="7510" priority="97" operator="lessThan">
      <formula>0.8</formula>
    </cfRule>
  </conditionalFormatting>
  <conditionalFormatting sqref="P84:P91">
    <cfRule type="cellIs" dxfId="7509" priority="95" operator="greaterThan">
      <formula>0</formula>
    </cfRule>
  </conditionalFormatting>
  <conditionalFormatting sqref="Q84:Q91">
    <cfRule type="cellIs" dxfId="7508" priority="93" operator="lessThan">
      <formula>0</formula>
    </cfRule>
  </conditionalFormatting>
  <conditionalFormatting sqref="R84:R91">
    <cfRule type="cellIs" dxfId="7507" priority="91" operator="lessThan">
      <formula>0.8</formula>
    </cfRule>
    <cfRule type="cellIs" dxfId="7506" priority="92" operator="greaterThan">
      <formula>1</formula>
    </cfRule>
  </conditionalFormatting>
  <conditionalFormatting sqref="R84:R91">
    <cfRule type="cellIs" dxfId="7505" priority="89" operator="greaterThan">
      <formula>1</formula>
    </cfRule>
    <cfRule type="cellIs" dxfId="7504" priority="90" operator="lessThan">
      <formula>0.8</formula>
    </cfRule>
  </conditionalFormatting>
  <conditionalFormatting sqref="P84:P91">
    <cfRule type="cellIs" dxfId="7503" priority="88" operator="greaterThan">
      <formula>0</formula>
    </cfRule>
  </conditionalFormatting>
  <conditionalFormatting sqref="Q84:Q91">
    <cfRule type="cellIs" dxfId="7502" priority="87" operator="lessThan">
      <formula>0</formula>
    </cfRule>
  </conditionalFormatting>
  <conditionalFormatting sqref="R84:R91">
    <cfRule type="cellIs" dxfId="7501" priority="85" operator="lessThan">
      <formula>0.8</formula>
    </cfRule>
    <cfRule type="cellIs" dxfId="7500" priority="86" operator="greaterThan">
      <formula>1</formula>
    </cfRule>
  </conditionalFormatting>
  <conditionalFormatting sqref="R84:R91">
    <cfRule type="cellIs" dxfId="7499" priority="83" operator="greaterThan">
      <formula>1</formula>
    </cfRule>
    <cfRule type="cellIs" dxfId="7498" priority="84" operator="lessThan">
      <formula>0.8</formula>
    </cfRule>
  </conditionalFormatting>
  <conditionalFormatting sqref="P84:P91">
    <cfRule type="cellIs" dxfId="7497" priority="82" operator="greaterThan">
      <formula>0</formula>
    </cfRule>
  </conditionalFormatting>
  <conditionalFormatting sqref="Q84:Q91">
    <cfRule type="cellIs" dxfId="7496" priority="81" operator="lessThan">
      <formula>0</formula>
    </cfRule>
  </conditionalFormatting>
  <conditionalFormatting sqref="R84:R91">
    <cfRule type="cellIs" dxfId="7495" priority="79" operator="lessThan">
      <formula>0.8</formula>
    </cfRule>
    <cfRule type="cellIs" dxfId="7494" priority="80" operator="greaterThan">
      <formula>1</formula>
    </cfRule>
  </conditionalFormatting>
  <conditionalFormatting sqref="R84:R91">
    <cfRule type="cellIs" dxfId="7493" priority="77" operator="greaterThan">
      <formula>1</formula>
    </cfRule>
    <cfRule type="cellIs" dxfId="7492" priority="78" operator="lessThan">
      <formula>0.8</formula>
    </cfRule>
  </conditionalFormatting>
  <conditionalFormatting sqref="P84:P91">
    <cfRule type="cellIs" dxfId="7491" priority="76" operator="greaterThan">
      <formula>0</formula>
    </cfRule>
  </conditionalFormatting>
  <conditionalFormatting sqref="Q162:Q166">
    <cfRule type="cellIs" dxfId="7490" priority="75" operator="lessThan">
      <formula>0</formula>
    </cfRule>
  </conditionalFormatting>
  <conditionalFormatting sqref="R162:R166">
    <cfRule type="cellIs" dxfId="7489" priority="73" operator="lessThan">
      <formula>0.8</formula>
    </cfRule>
    <cfRule type="cellIs" dxfId="7488" priority="74" operator="greaterThan">
      <formula>1</formula>
    </cfRule>
  </conditionalFormatting>
  <conditionalFormatting sqref="R162:R166">
    <cfRule type="cellIs" dxfId="7487" priority="71" operator="greaterThan">
      <formula>1</formula>
    </cfRule>
    <cfRule type="cellIs" dxfId="7486" priority="72" operator="lessThan">
      <formula>0.8</formula>
    </cfRule>
  </conditionalFormatting>
  <conditionalFormatting sqref="P162:P166">
    <cfRule type="cellIs" dxfId="7485" priority="70" operator="greaterThan">
      <formula>0</formula>
    </cfRule>
  </conditionalFormatting>
  <conditionalFormatting sqref="P167:P168">
    <cfRule type="cellIs" dxfId="7484" priority="64" operator="greaterThan">
      <formula>0</formula>
    </cfRule>
  </conditionalFormatting>
  <conditionalFormatting sqref="R167:R168">
    <cfRule type="cellIs" dxfId="7483" priority="67" operator="lessThan">
      <formula>0.8</formula>
    </cfRule>
    <cfRule type="cellIs" dxfId="7482" priority="68" operator="greaterThan">
      <formula>1</formula>
    </cfRule>
  </conditionalFormatting>
  <conditionalFormatting sqref="R167:R168">
    <cfRule type="cellIs" dxfId="7481" priority="65" operator="greaterThan">
      <formula>1</formula>
    </cfRule>
    <cfRule type="cellIs" dxfId="7480" priority="66" operator="lessThan">
      <formula>0.8</formula>
    </cfRule>
  </conditionalFormatting>
  <conditionalFormatting sqref="Q167:Q168">
    <cfRule type="cellIs" dxfId="7479" priority="69" operator="lessThan">
      <formula>0</formula>
    </cfRule>
  </conditionalFormatting>
  <conditionalFormatting sqref="Q161">
    <cfRule type="cellIs" dxfId="7478" priority="63" operator="lessThan">
      <formula>0</formula>
    </cfRule>
  </conditionalFormatting>
  <conditionalFormatting sqref="R161">
    <cfRule type="cellIs" dxfId="7477" priority="61" operator="lessThan">
      <formula>0.8</formula>
    </cfRule>
    <cfRule type="cellIs" dxfId="7476" priority="62" operator="greaterThan">
      <formula>1</formula>
    </cfRule>
  </conditionalFormatting>
  <conditionalFormatting sqref="R161">
    <cfRule type="cellIs" dxfId="7475" priority="59" operator="greaterThan">
      <formula>1</formula>
    </cfRule>
    <cfRule type="cellIs" dxfId="7474" priority="60" operator="lessThan">
      <formula>0.8</formula>
    </cfRule>
  </conditionalFormatting>
  <conditionalFormatting sqref="P161">
    <cfRule type="cellIs" dxfId="7473" priority="58" operator="greaterThan">
      <formula>0</formula>
    </cfRule>
  </conditionalFormatting>
  <conditionalFormatting sqref="Q162:Q166">
    <cfRule type="cellIs" dxfId="7472" priority="57" operator="lessThan">
      <formula>0</formula>
    </cfRule>
  </conditionalFormatting>
  <conditionalFormatting sqref="R162:R166">
    <cfRule type="cellIs" dxfId="7471" priority="55" operator="lessThan">
      <formula>0.8</formula>
    </cfRule>
    <cfRule type="cellIs" dxfId="7470" priority="56" operator="greaterThan">
      <formula>1</formula>
    </cfRule>
  </conditionalFormatting>
  <conditionalFormatting sqref="R162:R166">
    <cfRule type="cellIs" dxfId="7469" priority="53" operator="greaterThan">
      <formula>1</formula>
    </cfRule>
    <cfRule type="cellIs" dxfId="7468" priority="54" operator="lessThan">
      <formula>0.8</formula>
    </cfRule>
  </conditionalFormatting>
  <conditionalFormatting sqref="P162:P166">
    <cfRule type="cellIs" dxfId="7467" priority="52" operator="greaterThan">
      <formula>0</formula>
    </cfRule>
  </conditionalFormatting>
  <conditionalFormatting sqref="Q162:Q166">
    <cfRule type="cellIs" dxfId="7466" priority="51" operator="lessThan">
      <formula>0</formula>
    </cfRule>
  </conditionalFormatting>
  <conditionalFormatting sqref="R162:R166">
    <cfRule type="cellIs" dxfId="7465" priority="49" operator="lessThan">
      <formula>0.8</formula>
    </cfRule>
    <cfRule type="cellIs" dxfId="7464" priority="50" operator="greaterThan">
      <formula>1</formula>
    </cfRule>
  </conditionalFormatting>
  <conditionalFormatting sqref="R162:R166">
    <cfRule type="cellIs" dxfId="7463" priority="47" operator="greaterThan">
      <formula>1</formula>
    </cfRule>
    <cfRule type="cellIs" dxfId="7462" priority="48" operator="lessThan">
      <formula>0.8</formula>
    </cfRule>
  </conditionalFormatting>
  <conditionalFormatting sqref="P162:P166">
    <cfRule type="cellIs" dxfId="7461" priority="46" operator="greaterThan">
      <formula>0</formula>
    </cfRule>
  </conditionalFormatting>
  <conditionalFormatting sqref="Q167:Q168">
    <cfRule type="cellIs" dxfId="7460" priority="45" operator="lessThan">
      <formula>0</formula>
    </cfRule>
  </conditionalFormatting>
  <conditionalFormatting sqref="R167:R168">
    <cfRule type="cellIs" dxfId="7459" priority="43" operator="lessThan">
      <formula>0.8</formula>
    </cfRule>
    <cfRule type="cellIs" dxfId="7458" priority="44" operator="greaterThan">
      <formula>1</formula>
    </cfRule>
  </conditionalFormatting>
  <conditionalFormatting sqref="R167:R168">
    <cfRule type="cellIs" dxfId="7457" priority="41" operator="greaterThan">
      <formula>1</formula>
    </cfRule>
    <cfRule type="cellIs" dxfId="7456" priority="42" operator="lessThan">
      <formula>0.8</formula>
    </cfRule>
  </conditionalFormatting>
  <conditionalFormatting sqref="P167:P168">
    <cfRule type="cellIs" dxfId="7455" priority="40" operator="greaterThan">
      <formula>0</formula>
    </cfRule>
  </conditionalFormatting>
  <conditionalFormatting sqref="Q161">
    <cfRule type="cellIs" dxfId="7454" priority="39" operator="lessThan">
      <formula>0</formula>
    </cfRule>
  </conditionalFormatting>
  <conditionalFormatting sqref="R161">
    <cfRule type="cellIs" dxfId="7453" priority="37" operator="lessThan">
      <formula>0.8</formula>
    </cfRule>
    <cfRule type="cellIs" dxfId="7452" priority="38" operator="greaterThan">
      <formula>1</formula>
    </cfRule>
  </conditionalFormatting>
  <conditionalFormatting sqref="R161">
    <cfRule type="cellIs" dxfId="7451" priority="35" operator="greaterThan">
      <formula>1</formula>
    </cfRule>
    <cfRule type="cellIs" dxfId="7450" priority="36" operator="lessThan">
      <formula>0.8</formula>
    </cfRule>
  </conditionalFormatting>
  <conditionalFormatting sqref="P161">
    <cfRule type="cellIs" dxfId="7449" priority="34" operator="greaterThan">
      <formula>0</formula>
    </cfRule>
  </conditionalFormatting>
  <conditionalFormatting sqref="Q162:Q166">
    <cfRule type="cellIs" dxfId="7448" priority="33" operator="lessThan">
      <formula>0</formula>
    </cfRule>
  </conditionalFormatting>
  <conditionalFormatting sqref="R162:R166">
    <cfRule type="cellIs" dxfId="7447" priority="31" operator="lessThan">
      <formula>0.8</formula>
    </cfRule>
    <cfRule type="cellIs" dxfId="7446" priority="32" operator="greaterThan">
      <formula>1</formula>
    </cfRule>
  </conditionalFormatting>
  <conditionalFormatting sqref="R162:R166">
    <cfRule type="cellIs" dxfId="7445" priority="29" operator="greaterThan">
      <formula>1</formula>
    </cfRule>
    <cfRule type="cellIs" dxfId="7444" priority="30" operator="lessThan">
      <formula>0.8</formula>
    </cfRule>
  </conditionalFormatting>
  <conditionalFormatting sqref="P162:P166">
    <cfRule type="cellIs" dxfId="7443" priority="28" operator="greaterThan">
      <formula>0</formula>
    </cfRule>
  </conditionalFormatting>
  <conditionalFormatting sqref="Q161">
    <cfRule type="cellIs" dxfId="7442" priority="27" operator="lessThan">
      <formula>0</formula>
    </cfRule>
  </conditionalFormatting>
  <conditionalFormatting sqref="R161">
    <cfRule type="cellIs" dxfId="7441" priority="25" operator="lessThan">
      <formula>0.8</formula>
    </cfRule>
    <cfRule type="cellIs" dxfId="7440" priority="26" operator="greaterThan">
      <formula>1</formula>
    </cfRule>
  </conditionalFormatting>
  <conditionalFormatting sqref="R161">
    <cfRule type="cellIs" dxfId="7439" priority="23" operator="greaterThan">
      <formula>1</formula>
    </cfRule>
    <cfRule type="cellIs" dxfId="7438" priority="24" operator="lessThan">
      <formula>0.8</formula>
    </cfRule>
  </conditionalFormatting>
  <conditionalFormatting sqref="P161">
    <cfRule type="cellIs" dxfId="7437" priority="22" operator="greaterThan">
      <formula>0</formula>
    </cfRule>
  </conditionalFormatting>
  <conditionalFormatting sqref="Q162:Q166">
    <cfRule type="cellIs" dxfId="7436" priority="21" operator="lessThan">
      <formula>0</formula>
    </cfRule>
  </conditionalFormatting>
  <conditionalFormatting sqref="R162:R166">
    <cfRule type="cellIs" dxfId="7435" priority="19" operator="lessThan">
      <formula>0.8</formula>
    </cfRule>
    <cfRule type="cellIs" dxfId="7434" priority="20" operator="greaterThan">
      <formula>1</formula>
    </cfRule>
  </conditionalFormatting>
  <conditionalFormatting sqref="R162:R166">
    <cfRule type="cellIs" dxfId="7433" priority="17" operator="greaterThan">
      <formula>1</formula>
    </cfRule>
    <cfRule type="cellIs" dxfId="7432" priority="18" operator="lessThan">
      <formula>0.8</formula>
    </cfRule>
  </conditionalFormatting>
  <conditionalFormatting sqref="P162:P166">
    <cfRule type="cellIs" dxfId="7431" priority="16" operator="greaterThan">
      <formula>0</formula>
    </cfRule>
  </conditionalFormatting>
  <conditionalFormatting sqref="Q161">
    <cfRule type="cellIs" dxfId="7430" priority="15" operator="lessThan">
      <formula>0</formula>
    </cfRule>
  </conditionalFormatting>
  <conditionalFormatting sqref="R161">
    <cfRule type="cellIs" dxfId="7429" priority="13" operator="lessThan">
      <formula>0.8</formula>
    </cfRule>
    <cfRule type="cellIs" dxfId="7428" priority="14" operator="greaterThan">
      <formula>1</formula>
    </cfRule>
  </conditionalFormatting>
  <conditionalFormatting sqref="R161">
    <cfRule type="cellIs" dxfId="7427" priority="11" operator="greaterThan">
      <formula>1</formula>
    </cfRule>
    <cfRule type="cellIs" dxfId="7426" priority="12" operator="lessThan">
      <formula>0.8</formula>
    </cfRule>
  </conditionalFormatting>
  <conditionalFormatting sqref="P161">
    <cfRule type="cellIs" dxfId="7425" priority="10" operator="greaterThan">
      <formula>0</formula>
    </cfRule>
  </conditionalFormatting>
  <conditionalFormatting sqref="P167:P168">
    <cfRule type="cellIs" dxfId="7424" priority="4" operator="greaterThan">
      <formula>0</formula>
    </cfRule>
  </conditionalFormatting>
  <conditionalFormatting sqref="R167:R168">
    <cfRule type="cellIs" dxfId="7423" priority="7" operator="lessThan">
      <formula>0.8</formula>
    </cfRule>
    <cfRule type="cellIs" dxfId="7422" priority="8" operator="greaterThan">
      <formula>1</formula>
    </cfRule>
  </conditionalFormatting>
  <conditionalFormatting sqref="R167:R168">
    <cfRule type="cellIs" dxfId="7421" priority="5" operator="greaterThan">
      <formula>1</formula>
    </cfRule>
    <cfRule type="cellIs" dxfId="7420" priority="6" operator="lessThan">
      <formula>0.8</formula>
    </cfRule>
  </conditionalFormatting>
  <conditionalFormatting sqref="Q167:Q168">
    <cfRule type="cellIs" dxfId="7419" priority="9" operator="lessThan">
      <formula>0</formula>
    </cfRule>
  </conditionalFormatting>
  <conditionalFormatting sqref="AF30">
    <cfRule type="cellIs" dxfId="7418" priority="3" operator="lessThan">
      <formula>0</formula>
    </cfRule>
  </conditionalFormatting>
  <conditionalFormatting sqref="AG30">
    <cfRule type="cellIs" dxfId="7417" priority="1" operator="greaterThan">
      <formula>1</formula>
    </cfRule>
    <cfRule type="cellIs" dxfId="7416" priority="2" operator="lessThan">
      <formula>0.8</formula>
    </cfRule>
  </conditionalFormatting>
  <dataValidations count="4">
    <dataValidation type="list" allowBlank="1" showInputMessage="1" showErrorMessage="1" sqref="AB151:AC159 AB113:AC120">
      <formula1>$AJ$177:$AJ$189</formula1>
    </dataValidation>
    <dataValidation type="list" allowBlank="1" showInputMessage="1" showErrorMessage="1" sqref="AB121:AC149 AC12 AB5:AC10 AB160:AC173 AB12:AB112 AC17:AC112">
      <formula1>$AJ$174:$AJ$186</formula1>
    </dataValidation>
    <dataValidation type="list" allowBlank="1" showInputMessage="1" showErrorMessage="1" sqref="AB150:AC150">
      <formula1>$AJ$165:$AJ$177</formula1>
    </dataValidation>
    <dataValidation type="list" allowBlank="1" showInputMessage="1" showErrorMessage="1" sqref="AB11:AC11">
      <formula1>$AJ$174:$AJ$185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topLeftCell="A10" zoomScale="40" zoomScaleNormal="40" workbookViewId="0">
      <selection activeCell="Q36" sqref="Q36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31" customWidth="1"/>
    <col min="4" max="17" width="14.1796875" style="2" customWidth="1"/>
    <col min="18" max="21" width="9.6328125" style="2" customWidth="1"/>
    <col min="22" max="22" width="11.1796875" style="2" customWidth="1"/>
    <col min="23" max="23" width="11.453125" style="2" customWidth="1"/>
    <col min="24" max="16384" width="8.08984375" style="2"/>
  </cols>
  <sheetData>
    <row r="1" spans="2:17" ht="27.75" customHeight="1">
      <c r="B1" s="556" t="s">
        <v>68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  <c r="N1" s="1"/>
      <c r="O1" s="1"/>
    </row>
    <row r="2" spans="2:17" ht="27.75" customHeight="1"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8"/>
      <c r="N2" s="1"/>
      <c r="O2" s="1"/>
    </row>
    <row r="3" spans="2:17" ht="46.5" customHeight="1">
      <c r="B3" s="548" t="s">
        <v>0</v>
      </c>
      <c r="C3" s="549"/>
      <c r="D3" s="559" t="s">
        <v>80</v>
      </c>
      <c r="E3" s="560"/>
      <c r="F3" s="548" t="s">
        <v>1</v>
      </c>
      <c r="G3" s="549"/>
      <c r="H3" s="561">
        <v>215471.8</v>
      </c>
      <c r="I3" s="562"/>
      <c r="J3" s="548" t="s">
        <v>2</v>
      </c>
      <c r="K3" s="549"/>
      <c r="L3" s="563">
        <v>7000332.5471111378</v>
      </c>
      <c r="M3" s="564"/>
      <c r="N3" s="3"/>
    </row>
    <row r="4" spans="2:17" ht="24" customHeight="1">
      <c r="B4" s="548" t="s">
        <v>69</v>
      </c>
      <c r="C4" s="549"/>
      <c r="D4" s="540" t="s">
        <v>70</v>
      </c>
      <c r="E4" s="541"/>
      <c r="F4" s="554" t="s">
        <v>71</v>
      </c>
      <c r="G4" s="555"/>
      <c r="H4" s="554" t="s">
        <v>72</v>
      </c>
      <c r="I4" s="555"/>
      <c r="J4" s="554" t="s">
        <v>73</v>
      </c>
      <c r="K4" s="555"/>
      <c r="L4" s="554" t="s">
        <v>74</v>
      </c>
      <c r="M4" s="555"/>
      <c r="N4" s="487" t="s">
        <v>54</v>
      </c>
      <c r="O4" s="488"/>
      <c r="P4" s="488" t="s">
        <v>55</v>
      </c>
      <c r="Q4" s="488"/>
    </row>
    <row r="5" spans="2:17" ht="24" customHeight="1">
      <c r="B5" s="534" t="s">
        <v>75</v>
      </c>
      <c r="C5" s="535"/>
      <c r="D5" s="540" t="s">
        <v>76</v>
      </c>
      <c r="E5" s="541"/>
      <c r="F5" s="540" t="s">
        <v>3</v>
      </c>
      <c r="G5" s="541"/>
      <c r="H5" s="542" t="s">
        <v>4</v>
      </c>
      <c r="I5" s="543"/>
      <c r="J5" s="544" t="s">
        <v>5</v>
      </c>
      <c r="K5" s="545"/>
      <c r="L5" s="546" t="s">
        <v>6</v>
      </c>
      <c r="M5" s="547"/>
      <c r="N5" s="4" t="s">
        <v>56</v>
      </c>
      <c r="O5" s="5" t="s">
        <v>57</v>
      </c>
      <c r="P5" s="4" t="s">
        <v>56</v>
      </c>
      <c r="Q5" s="5" t="s">
        <v>58</v>
      </c>
    </row>
    <row r="6" spans="2:17" ht="39.65" customHeight="1">
      <c r="B6" s="536"/>
      <c r="C6" s="537"/>
      <c r="D6" s="548" t="s">
        <v>7</v>
      </c>
      <c r="E6" s="549"/>
      <c r="F6" s="550">
        <f>AVERAGE(D13:O13,P13:Q13,D30:F30,H30,J30:L30)</f>
        <v>367.43068058088056</v>
      </c>
      <c r="G6" s="551"/>
      <c r="H6" s="552">
        <f>AVERAGE(D13:P13,Q13)</f>
        <v>139.0031637284637</v>
      </c>
      <c r="I6" s="553"/>
      <c r="J6" s="552">
        <f>AVERAGE(D30:F30,H30)</f>
        <v>786.25</v>
      </c>
      <c r="K6" s="553"/>
      <c r="L6" s="526">
        <f>AVERAGE(J30:L30)</f>
        <v>875</v>
      </c>
      <c r="M6" s="527"/>
      <c r="N6" s="489">
        <v>0</v>
      </c>
      <c r="O6" s="490">
        <v>0</v>
      </c>
      <c r="P6" s="491">
        <v>1</v>
      </c>
      <c r="Q6" s="490">
        <v>2</v>
      </c>
    </row>
    <row r="7" spans="2:17" s="6" customFormat="1" ht="39.65" customHeight="1">
      <c r="B7" s="536"/>
      <c r="C7" s="537"/>
      <c r="D7" s="518" t="s">
        <v>8</v>
      </c>
      <c r="E7" s="519"/>
      <c r="F7" s="528">
        <f>AVERAGE(D14:O14,P14:Q14,D31:F31,J31:L31,H31)</f>
        <v>330.87517707868972</v>
      </c>
      <c r="G7" s="529"/>
      <c r="H7" s="530">
        <f>AVERAGE(D14:P14,Q14)</f>
        <v>122.53079107173782</v>
      </c>
      <c r="I7" s="531"/>
      <c r="J7" s="530">
        <f>AVERAGE(D31:F31,H31)</f>
        <v>713.66036050084551</v>
      </c>
      <c r="K7" s="531"/>
      <c r="L7" s="532">
        <f>AVERAGE(J31:L31)</f>
        <v>792.76873388159083</v>
      </c>
      <c r="M7" s="533"/>
      <c r="N7" s="489"/>
      <c r="O7" s="490"/>
      <c r="P7" s="491"/>
      <c r="Q7" s="490"/>
    </row>
    <row r="8" spans="2:17" s="6" customFormat="1" ht="39.65" customHeight="1">
      <c r="B8" s="538"/>
      <c r="C8" s="539"/>
      <c r="D8" s="518" t="s">
        <v>9</v>
      </c>
      <c r="E8" s="519"/>
      <c r="F8" s="520">
        <f>AVERAGE(D15:O15,P15:Q15,D32:F32,H32,J32:K32,L32)</f>
        <v>0.88421117351758283</v>
      </c>
      <c r="G8" s="521"/>
      <c r="H8" s="520">
        <f>AVERAGE(D15:O15,P15:Q15)</f>
        <v>0.87328274333277789</v>
      </c>
      <c r="I8" s="521"/>
      <c r="J8" s="520">
        <f>AVERAGE(D32:F32,H32)</f>
        <v>0.90556347222189193</v>
      </c>
      <c r="K8" s="521"/>
      <c r="L8" s="520">
        <f>AVERAGE(J32:L32)</f>
        <v>0.90674078277426018</v>
      </c>
      <c r="M8" s="521"/>
      <c r="N8" s="489"/>
      <c r="O8" s="490"/>
      <c r="P8" s="491"/>
      <c r="Q8" s="490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2" t="s">
        <v>10</v>
      </c>
      <c r="C10" s="522"/>
      <c r="D10" s="523" t="s">
        <v>11</v>
      </c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5"/>
    </row>
    <row r="11" spans="2:17" ht="17.25" customHeight="1">
      <c r="B11" s="510" t="s">
        <v>12</v>
      </c>
      <c r="C11" s="51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2"/>
      <c r="C12" s="513"/>
      <c r="D12" s="12" t="s">
        <v>13</v>
      </c>
      <c r="E12" s="12" t="s">
        <v>14</v>
      </c>
      <c r="F12" s="12" t="s">
        <v>15</v>
      </c>
      <c r="G12" s="12" t="s">
        <v>16</v>
      </c>
      <c r="H12" s="12" t="s">
        <v>17</v>
      </c>
      <c r="I12" s="12" t="s">
        <v>18</v>
      </c>
      <c r="J12" s="12" t="s">
        <v>19</v>
      </c>
      <c r="K12" s="12" t="s">
        <v>20</v>
      </c>
      <c r="L12" s="12" t="s">
        <v>21</v>
      </c>
      <c r="M12" s="12" t="s">
        <v>22</v>
      </c>
      <c r="N12" s="12" t="s">
        <v>23</v>
      </c>
      <c r="O12" s="12" t="s">
        <v>24</v>
      </c>
      <c r="P12" s="12" t="s">
        <v>25</v>
      </c>
      <c r="Q12" s="13" t="s">
        <v>26</v>
      </c>
    </row>
    <row r="13" spans="2:17" ht="39.9" customHeight="1">
      <c r="B13" s="492" t="s">
        <v>27</v>
      </c>
      <c r="C13" s="14" t="s">
        <v>28</v>
      </c>
      <c r="D13" s="15">
        <v>142.01857585139317</v>
      </c>
      <c r="E13" s="15">
        <v>93.532679738562095</v>
      </c>
      <c r="F13" s="15">
        <v>123.65494739178951</v>
      </c>
      <c r="G13" s="15">
        <v>369.04761904761898</v>
      </c>
      <c r="H13" s="15">
        <v>250</v>
      </c>
      <c r="I13" s="15">
        <v>83.901758071649709</v>
      </c>
      <c r="J13" s="15">
        <v>75.327380952380949</v>
      </c>
      <c r="K13" s="15">
        <v>84.76272789817682</v>
      </c>
      <c r="L13" s="15">
        <v>82.825421396628826</v>
      </c>
      <c r="M13" s="15">
        <v>83.377389552312152</v>
      </c>
      <c r="N13" s="15">
        <v>89.509446486928098</v>
      </c>
      <c r="O13" s="15">
        <v>83.137254901960773</v>
      </c>
      <c r="P13" s="15">
        <v>234.9490909090909</v>
      </c>
      <c r="Q13" s="16">
        <v>150</v>
      </c>
    </row>
    <row r="14" spans="2:17" ht="39.9" customHeight="1">
      <c r="B14" s="493"/>
      <c r="C14" s="14" t="s">
        <v>29</v>
      </c>
      <c r="D14" s="15">
        <v>118.3030393087939</v>
      </c>
      <c r="E14" s="15">
        <v>79.444028844512701</v>
      </c>
      <c r="F14" s="15">
        <v>111.32052534034405</v>
      </c>
      <c r="G14" s="15">
        <v>310.84145993402439</v>
      </c>
      <c r="H14" s="15">
        <v>240.04660292304902</v>
      </c>
      <c r="I14" s="15">
        <v>72.55668137199757</v>
      </c>
      <c r="J14" s="15">
        <v>59.547734764672853</v>
      </c>
      <c r="K14" s="15">
        <v>73.545832829410003</v>
      </c>
      <c r="L14" s="15">
        <v>70.257202690752962</v>
      </c>
      <c r="M14" s="15">
        <v>68.854981555575009</v>
      </c>
      <c r="N14" s="15">
        <v>74.454347729823397</v>
      </c>
      <c r="O14" s="15">
        <v>80.369912670950683</v>
      </c>
      <c r="P14" s="15">
        <v>218.7576787475345</v>
      </c>
      <c r="Q14" s="16">
        <v>137.13104629288847</v>
      </c>
    </row>
    <row r="15" spans="2:17" ht="39.9" customHeight="1">
      <c r="B15" s="494"/>
      <c r="C15" s="10" t="s">
        <v>30</v>
      </c>
      <c r="D15" s="17">
        <f t="shared" ref="D15:P15" si="0">D14/D13</f>
        <v>0.83301102408311034</v>
      </c>
      <c r="E15" s="17">
        <f t="shared" si="0"/>
        <v>0.84937188869784019</v>
      </c>
      <c r="F15" s="17">
        <f t="shared" si="0"/>
        <v>0.9002512854389485</v>
      </c>
      <c r="G15" s="17">
        <f t="shared" si="0"/>
        <v>0.84228008498251783</v>
      </c>
      <c r="H15" s="17">
        <f t="shared" si="0"/>
        <v>0.9601864116921961</v>
      </c>
      <c r="I15" s="17">
        <f t="shared" si="0"/>
        <v>0.86478141864484215</v>
      </c>
      <c r="J15" s="17">
        <f t="shared" si="0"/>
        <v>0.79051911817187193</v>
      </c>
      <c r="K15" s="17">
        <f t="shared" si="0"/>
        <v>0.86766712979977034</v>
      </c>
      <c r="L15" s="17">
        <f t="shared" si="0"/>
        <v>0.84825650755593474</v>
      </c>
      <c r="M15" s="17">
        <f t="shared" si="0"/>
        <v>0.82582318690098133</v>
      </c>
      <c r="N15" s="17">
        <f t="shared" si="0"/>
        <v>0.83180435866840785</v>
      </c>
      <c r="O15" s="17">
        <f t="shared" si="0"/>
        <v>0.96671357222134091</v>
      </c>
      <c r="P15" s="17">
        <f t="shared" si="0"/>
        <v>0.93108544451520625</v>
      </c>
      <c r="Q15" s="18">
        <f>Q14/Q13</f>
        <v>0.9142069752859231</v>
      </c>
    </row>
    <row r="16" spans="2:17" ht="22.75" customHeight="1">
      <c r="B16" s="495" t="s">
        <v>31</v>
      </c>
      <c r="C16" s="10" t="s">
        <v>32</v>
      </c>
      <c r="D16" s="36">
        <v>0.29166666666666669</v>
      </c>
      <c r="E16" s="36">
        <v>0.16666666666666666</v>
      </c>
      <c r="F16" s="36">
        <v>0.16666666666666666</v>
      </c>
      <c r="G16" s="36">
        <v>0.16666666666666666</v>
      </c>
      <c r="H16" s="36">
        <v>0.16666666666666666</v>
      </c>
      <c r="I16" s="36">
        <v>0.29166666666666669</v>
      </c>
      <c r="J16" s="36">
        <v>0.375</v>
      </c>
      <c r="K16" s="36">
        <v>0.375</v>
      </c>
      <c r="L16" s="36">
        <v>0.5</v>
      </c>
      <c r="M16" s="36">
        <v>0.5</v>
      </c>
      <c r="N16" s="36">
        <v>0.5</v>
      </c>
      <c r="O16" s="36">
        <v>0.70833333333333337</v>
      </c>
      <c r="P16" s="36">
        <v>0.16666666666666666</v>
      </c>
      <c r="Q16" s="37">
        <v>0.17361111111111113</v>
      </c>
    </row>
    <row r="17" spans="2:17" ht="22.75" customHeight="1">
      <c r="B17" s="496"/>
      <c r="C17" s="10" t="s">
        <v>33</v>
      </c>
      <c r="D17" s="36">
        <v>0.5840277777777777</v>
      </c>
      <c r="E17" s="36">
        <v>0.56597222222222221</v>
      </c>
      <c r="F17" s="36">
        <v>0.54791666666666661</v>
      </c>
      <c r="G17" s="36">
        <v>0.62291666666666645</v>
      </c>
      <c r="H17" s="36">
        <v>0.64305555555555549</v>
      </c>
      <c r="I17" s="36">
        <v>0.76111111111111118</v>
      </c>
      <c r="J17" s="36">
        <v>0.81875000000000009</v>
      </c>
      <c r="K17" s="36">
        <v>0.7993055555555556</v>
      </c>
      <c r="L17" s="36">
        <v>0.80833333333333335</v>
      </c>
      <c r="M17" s="36">
        <v>0.88541666666666663</v>
      </c>
      <c r="N17" s="36">
        <v>0.9458333333333333</v>
      </c>
      <c r="O17" s="36">
        <v>0.87638888888888899</v>
      </c>
      <c r="P17" s="36">
        <v>0.65972222222222221</v>
      </c>
      <c r="Q17" s="37">
        <v>0.48958333333333331</v>
      </c>
    </row>
    <row r="18" spans="2:17" ht="22.75" customHeight="1">
      <c r="B18" s="514" t="s">
        <v>66</v>
      </c>
      <c r="C18" s="515"/>
      <c r="D18" s="58" t="s">
        <v>59</v>
      </c>
      <c r="E18" s="58" t="s">
        <v>59</v>
      </c>
      <c r="F18" s="58" t="s">
        <v>59</v>
      </c>
      <c r="G18" s="58" t="s">
        <v>59</v>
      </c>
      <c r="H18" s="58" t="s">
        <v>59</v>
      </c>
      <c r="I18" s="58" t="s">
        <v>59</v>
      </c>
      <c r="J18" s="58" t="s">
        <v>59</v>
      </c>
      <c r="K18" s="58" t="s">
        <v>59</v>
      </c>
      <c r="L18" s="58" t="s">
        <v>59</v>
      </c>
      <c r="M18" s="58" t="s">
        <v>59</v>
      </c>
      <c r="N18" s="58" t="s">
        <v>59</v>
      </c>
      <c r="O18" s="58" t="s">
        <v>59</v>
      </c>
      <c r="P18" s="58" t="s">
        <v>59</v>
      </c>
      <c r="Q18" s="59"/>
    </row>
    <row r="19" spans="2:17" ht="22.75" customHeight="1">
      <c r="B19" s="516"/>
      <c r="C19" s="517"/>
      <c r="D19" s="58" t="s">
        <v>59</v>
      </c>
      <c r="E19" s="58" t="s">
        <v>59</v>
      </c>
      <c r="F19" s="58" t="s">
        <v>59</v>
      </c>
      <c r="G19" s="58" t="s">
        <v>59</v>
      </c>
      <c r="H19" s="58" t="s">
        <v>59</v>
      </c>
      <c r="I19" s="58" t="s">
        <v>59</v>
      </c>
      <c r="J19" s="58" t="s">
        <v>59</v>
      </c>
      <c r="K19" s="58" t="s">
        <v>59</v>
      </c>
      <c r="L19" s="58" t="s">
        <v>59</v>
      </c>
      <c r="M19" s="58" t="s">
        <v>59</v>
      </c>
      <c r="N19" s="58" t="s">
        <v>59</v>
      </c>
      <c r="O19" s="58" t="s">
        <v>59</v>
      </c>
      <c r="P19" s="58" t="s">
        <v>59</v>
      </c>
      <c r="Q19" s="59"/>
    </row>
    <row r="20" spans="2:17" ht="22.75" customHeight="1">
      <c r="B20" s="514" t="s">
        <v>67</v>
      </c>
      <c r="C20" s="515"/>
      <c r="D20" s="58" t="s">
        <v>59</v>
      </c>
      <c r="E20" s="58" t="s">
        <v>59</v>
      </c>
      <c r="F20" s="58" t="s">
        <v>59</v>
      </c>
      <c r="G20" s="58" t="s">
        <v>59</v>
      </c>
      <c r="H20" s="58">
        <v>1</v>
      </c>
      <c r="I20" s="58" t="s">
        <v>59</v>
      </c>
      <c r="J20" s="58" t="s">
        <v>59</v>
      </c>
      <c r="K20" s="58" t="s">
        <v>59</v>
      </c>
      <c r="L20" s="58" t="s">
        <v>59</v>
      </c>
      <c r="M20" s="58" t="s">
        <v>59</v>
      </c>
      <c r="N20" s="58" t="s">
        <v>59</v>
      </c>
      <c r="O20" s="58" t="s">
        <v>59</v>
      </c>
      <c r="P20" s="58" t="s">
        <v>59</v>
      </c>
      <c r="Q20" s="59"/>
    </row>
    <row r="21" spans="2:17" ht="22.75" customHeight="1">
      <c r="B21" s="516"/>
      <c r="C21" s="517"/>
      <c r="D21" s="58" t="s">
        <v>59</v>
      </c>
      <c r="E21" s="58" t="s">
        <v>59</v>
      </c>
      <c r="F21" s="58" t="s">
        <v>59</v>
      </c>
      <c r="G21" s="58">
        <v>2</v>
      </c>
      <c r="H21" s="58" t="s">
        <v>59</v>
      </c>
      <c r="I21" s="58" t="s">
        <v>59</v>
      </c>
      <c r="J21" s="58" t="s">
        <v>59</v>
      </c>
      <c r="K21" s="58" t="s">
        <v>59</v>
      </c>
      <c r="L21" s="58" t="s">
        <v>59</v>
      </c>
      <c r="M21" s="58" t="s">
        <v>59</v>
      </c>
      <c r="N21" s="58" t="s">
        <v>59</v>
      </c>
      <c r="O21" s="58" t="s">
        <v>59</v>
      </c>
      <c r="P21" s="58" t="s">
        <v>59</v>
      </c>
      <c r="Q21" s="59"/>
    </row>
    <row r="22" spans="2:17" ht="22.75" customHeight="1">
      <c r="B22" s="497" t="s">
        <v>34</v>
      </c>
      <c r="C22" s="498"/>
      <c r="D22" s="60">
        <v>18.857142857142858</v>
      </c>
      <c r="E22" s="60">
        <v>18</v>
      </c>
      <c r="F22" s="60">
        <v>15.333333333333334</v>
      </c>
      <c r="G22" s="60">
        <v>5.8571428571428568</v>
      </c>
      <c r="H22" s="60">
        <v>6</v>
      </c>
      <c r="I22" s="60">
        <v>17.25</v>
      </c>
      <c r="J22" s="60">
        <v>18.625</v>
      </c>
      <c r="K22" s="60">
        <v>17.333333333333332</v>
      </c>
      <c r="L22" s="60">
        <v>17.399999999999999</v>
      </c>
      <c r="M22" s="60">
        <v>17.857142857142858</v>
      </c>
      <c r="N22" s="60">
        <v>16.875</v>
      </c>
      <c r="O22" s="60">
        <v>17</v>
      </c>
      <c r="P22" s="60">
        <v>10.199999999999999</v>
      </c>
      <c r="Q22" s="61">
        <v>10.888888888888889</v>
      </c>
    </row>
    <row r="23" spans="2:17" ht="22.75" customHeight="1">
      <c r="B23" s="497" t="s">
        <v>35</v>
      </c>
      <c r="C23" s="498"/>
      <c r="D23" s="32" t="s">
        <v>36</v>
      </c>
      <c r="E23" s="32" t="s">
        <v>36</v>
      </c>
      <c r="F23" s="32" t="s">
        <v>36</v>
      </c>
      <c r="G23" s="32" t="s">
        <v>37</v>
      </c>
      <c r="H23" s="32" t="s">
        <v>38</v>
      </c>
      <c r="I23" s="32" t="s">
        <v>39</v>
      </c>
      <c r="J23" s="32" t="s">
        <v>39</v>
      </c>
      <c r="K23" s="32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40</v>
      </c>
      <c r="Q23" s="40" t="s">
        <v>40</v>
      </c>
    </row>
    <row r="24" spans="2:17" ht="22.75" customHeight="1">
      <c r="B24" s="497" t="s">
        <v>41</v>
      </c>
      <c r="C24" s="49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0"/>
    </row>
    <row r="25" spans="2:17" ht="22.75" customHeight="1" thickBot="1">
      <c r="B25" s="499" t="s">
        <v>42</v>
      </c>
      <c r="C25" s="500"/>
      <c r="D25" s="43"/>
      <c r="E25" s="44" t="s">
        <v>43</v>
      </c>
      <c r="F25" s="44"/>
      <c r="G25" s="44" t="s">
        <v>44</v>
      </c>
      <c r="H25" s="44"/>
      <c r="I25" s="44"/>
      <c r="J25" s="44"/>
      <c r="K25" s="44" t="s">
        <v>45</v>
      </c>
      <c r="L25" s="44"/>
      <c r="M25" s="44"/>
      <c r="N25" s="44"/>
      <c r="O25" s="44"/>
      <c r="P25" s="44" t="s">
        <v>46</v>
      </c>
      <c r="Q25" s="45"/>
    </row>
    <row r="26" spans="2:17" ht="16" thickBot="1">
      <c r="B26" s="501"/>
      <c r="C26" s="501"/>
    </row>
    <row r="27" spans="2:17" ht="30" customHeight="1" thickBot="1">
      <c r="B27" s="502" t="s">
        <v>10</v>
      </c>
      <c r="C27" s="503"/>
      <c r="D27" s="504" t="s">
        <v>47</v>
      </c>
      <c r="E27" s="505"/>
      <c r="F27" s="505"/>
      <c r="G27" s="505"/>
      <c r="H27" s="506"/>
      <c r="I27" s="507" t="s">
        <v>48</v>
      </c>
      <c r="J27" s="508"/>
      <c r="K27" s="508"/>
      <c r="L27" s="508"/>
      <c r="M27" s="509"/>
    </row>
    <row r="28" spans="2:17" ht="17.25" customHeight="1">
      <c r="B28" s="510" t="s">
        <v>12</v>
      </c>
      <c r="C28" s="511"/>
      <c r="D28" s="19">
        <v>1</v>
      </c>
      <c r="E28" s="19">
        <v>2</v>
      </c>
      <c r="F28" s="19">
        <v>3</v>
      </c>
      <c r="G28" s="19">
        <v>4</v>
      </c>
      <c r="H28" s="20">
        <v>5</v>
      </c>
      <c r="I28" s="21">
        <v>1</v>
      </c>
      <c r="J28" s="19">
        <v>2</v>
      </c>
      <c r="K28" s="19">
        <v>3</v>
      </c>
      <c r="L28" s="19">
        <v>4</v>
      </c>
      <c r="M28" s="22">
        <v>5</v>
      </c>
    </row>
    <row r="29" spans="2:17" ht="37.5" customHeight="1">
      <c r="B29" s="512"/>
      <c r="C29" s="513"/>
      <c r="D29" s="14" t="s">
        <v>49</v>
      </c>
      <c r="E29" s="14" t="s">
        <v>50</v>
      </c>
      <c r="F29" s="14" t="s">
        <v>51</v>
      </c>
      <c r="G29" s="14" t="s">
        <v>60</v>
      </c>
      <c r="H29" s="23" t="s">
        <v>61</v>
      </c>
      <c r="I29" s="24" t="s">
        <v>62</v>
      </c>
      <c r="J29" s="14" t="s">
        <v>50</v>
      </c>
      <c r="K29" s="14" t="s">
        <v>51</v>
      </c>
      <c r="L29" s="14" t="s">
        <v>60</v>
      </c>
      <c r="M29" s="25" t="s">
        <v>61</v>
      </c>
    </row>
    <row r="30" spans="2:17" ht="39.9" customHeight="1">
      <c r="B30" s="492" t="s">
        <v>27</v>
      </c>
      <c r="C30" s="23" t="s">
        <v>28</v>
      </c>
      <c r="D30" s="34">
        <v>320</v>
      </c>
      <c r="E30" s="34">
        <v>1100</v>
      </c>
      <c r="F30" s="34">
        <v>825</v>
      </c>
      <c r="G30" s="34">
        <v>900</v>
      </c>
      <c r="H30" s="47">
        <v>900</v>
      </c>
      <c r="I30" s="33">
        <v>680</v>
      </c>
      <c r="J30" s="34">
        <v>825</v>
      </c>
      <c r="K30" s="34">
        <v>900</v>
      </c>
      <c r="L30" s="34">
        <v>900</v>
      </c>
      <c r="M30" s="35">
        <v>900</v>
      </c>
    </row>
    <row r="31" spans="2:17" ht="39.9" customHeight="1">
      <c r="B31" s="493"/>
      <c r="C31" s="23" t="s">
        <v>29</v>
      </c>
      <c r="D31" s="15">
        <v>284.26623376623388</v>
      </c>
      <c r="E31" s="15">
        <v>956.17843137254931</v>
      </c>
      <c r="F31" s="15">
        <v>704.05646498052863</v>
      </c>
      <c r="G31" s="15">
        <v>0</v>
      </c>
      <c r="H31" s="48">
        <v>910.14031188407034</v>
      </c>
      <c r="I31" s="49">
        <v>0</v>
      </c>
      <c r="J31" s="15">
        <v>768.83303030303023</v>
      </c>
      <c r="K31" s="15">
        <v>794.47727272727286</v>
      </c>
      <c r="L31" s="15">
        <v>814.99589861446918</v>
      </c>
      <c r="M31" s="16">
        <v>0</v>
      </c>
    </row>
    <row r="32" spans="2:17" ht="39.9" customHeight="1">
      <c r="B32" s="494"/>
      <c r="C32" s="26" t="s">
        <v>30</v>
      </c>
      <c r="D32" s="17">
        <f t="shared" ref="D32:M32" si="1">D31/D30</f>
        <v>0.88833198051948092</v>
      </c>
      <c r="E32" s="17">
        <f t="shared" si="1"/>
        <v>0.86925311942959027</v>
      </c>
      <c r="F32" s="17">
        <f t="shared" si="1"/>
        <v>0.85340177573397413</v>
      </c>
      <c r="G32" s="17">
        <f t="shared" si="1"/>
        <v>0</v>
      </c>
      <c r="H32" s="50">
        <f t="shared" si="1"/>
        <v>1.0112670132045225</v>
      </c>
      <c r="I32" s="51">
        <f t="shared" si="1"/>
        <v>0</v>
      </c>
      <c r="J32" s="17">
        <f t="shared" si="1"/>
        <v>0.93191882460973363</v>
      </c>
      <c r="K32" s="17">
        <f t="shared" si="1"/>
        <v>0.88275252525252546</v>
      </c>
      <c r="L32" s="17">
        <f t="shared" si="1"/>
        <v>0.90555099846052134</v>
      </c>
      <c r="M32" s="18">
        <f t="shared" si="1"/>
        <v>0</v>
      </c>
    </row>
    <row r="33" spans="2:13" ht="25.75" customHeight="1">
      <c r="B33" s="495" t="s">
        <v>31</v>
      </c>
      <c r="C33" s="26" t="s">
        <v>32</v>
      </c>
      <c r="D33" s="36">
        <v>0.18055555555555555</v>
      </c>
      <c r="E33" s="36">
        <v>0.17361111111111113</v>
      </c>
      <c r="F33" s="36">
        <v>0.18055555555555555</v>
      </c>
      <c r="G33" s="36">
        <v>0</v>
      </c>
      <c r="H33" s="42">
        <v>0.17361111111111113</v>
      </c>
      <c r="I33" s="38">
        <v>0</v>
      </c>
      <c r="J33" s="36">
        <v>0.72222222222222221</v>
      </c>
      <c r="K33" s="36">
        <v>0.72222222222222221</v>
      </c>
      <c r="L33" s="36">
        <v>0.72222222222222221</v>
      </c>
      <c r="M33" s="37">
        <v>0</v>
      </c>
    </row>
    <row r="34" spans="2:13" ht="25.75" customHeight="1">
      <c r="B34" s="496"/>
      <c r="C34" s="26" t="s">
        <v>33</v>
      </c>
      <c r="D34" s="36">
        <v>0.22916666666666666</v>
      </c>
      <c r="E34" s="36">
        <v>0.40347222222222223</v>
      </c>
      <c r="F34" s="36">
        <v>0.37708333333333338</v>
      </c>
      <c r="G34" s="36">
        <v>0</v>
      </c>
      <c r="H34" s="42">
        <v>0.41805555555555557</v>
      </c>
      <c r="I34" s="38">
        <v>0.41805555555555557</v>
      </c>
      <c r="J34" s="36">
        <v>0.98611111111111116</v>
      </c>
      <c r="K34" s="36">
        <v>0.90625</v>
      </c>
      <c r="L34" s="36">
        <v>46027.0625</v>
      </c>
      <c r="M34" s="37">
        <v>0</v>
      </c>
    </row>
    <row r="35" spans="2:13" ht="25.75" customHeight="1">
      <c r="B35" s="497" t="s">
        <v>34</v>
      </c>
      <c r="C35" s="498"/>
      <c r="D35" s="52">
        <v>5.5</v>
      </c>
      <c r="E35" s="52">
        <v>3</v>
      </c>
      <c r="F35" s="52">
        <v>4</v>
      </c>
      <c r="G35" s="52">
        <v>0</v>
      </c>
      <c r="H35" s="53">
        <v>3.6666666666666665</v>
      </c>
      <c r="I35" s="54">
        <v>0</v>
      </c>
      <c r="J35" s="52">
        <v>3.6</v>
      </c>
      <c r="K35" s="52">
        <v>3.25</v>
      </c>
      <c r="L35" s="52">
        <v>3.6</v>
      </c>
      <c r="M35" s="55">
        <v>0</v>
      </c>
    </row>
    <row r="36" spans="2:13" ht="25.75" customHeight="1">
      <c r="B36" s="497" t="s">
        <v>35</v>
      </c>
      <c r="C36" s="498"/>
      <c r="D36" s="27" t="s">
        <v>49</v>
      </c>
      <c r="E36" s="27" t="s">
        <v>53</v>
      </c>
      <c r="F36" s="27" t="s">
        <v>53</v>
      </c>
      <c r="G36" s="27" t="s">
        <v>52</v>
      </c>
      <c r="H36" s="28" t="s">
        <v>52</v>
      </c>
      <c r="I36" s="29" t="s">
        <v>63</v>
      </c>
      <c r="J36" s="27" t="s">
        <v>53</v>
      </c>
      <c r="K36" s="27" t="s">
        <v>53</v>
      </c>
      <c r="L36" s="27" t="s">
        <v>52</v>
      </c>
      <c r="M36" s="30" t="s">
        <v>52</v>
      </c>
    </row>
    <row r="37" spans="2:13" ht="25.75" customHeight="1">
      <c r="B37" s="497" t="s">
        <v>41</v>
      </c>
      <c r="C37" s="498"/>
      <c r="D37" s="39"/>
      <c r="E37" s="39"/>
      <c r="F37" s="39"/>
      <c r="G37" s="39"/>
      <c r="H37" s="56"/>
      <c r="I37" s="41"/>
      <c r="J37" s="39"/>
      <c r="K37" s="39"/>
      <c r="L37" s="39"/>
      <c r="M37" s="40"/>
    </row>
    <row r="38" spans="2:13" ht="25.75" customHeight="1" thickBot="1">
      <c r="B38" s="499" t="s">
        <v>42</v>
      </c>
      <c r="C38" s="500"/>
      <c r="D38" s="43"/>
      <c r="E38" s="43"/>
      <c r="F38" s="44"/>
      <c r="G38" s="43"/>
      <c r="H38" s="57"/>
      <c r="I38" s="46"/>
      <c r="J38" s="43"/>
      <c r="K38" s="43"/>
      <c r="L38" s="43"/>
      <c r="M38" s="4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1" type="noConversion"/>
  <conditionalFormatting sqref="D32 F32:J32 L32">
    <cfRule type="cellIs" dxfId="7415" priority="6" operator="lessThan">
      <formula>0.8</formula>
    </cfRule>
  </conditionalFormatting>
  <conditionalFormatting sqref="M32">
    <cfRule type="cellIs" dxfId="7414" priority="5" operator="lessThan">
      <formula>0.8</formula>
    </cfRule>
  </conditionalFormatting>
  <conditionalFormatting sqref="K32">
    <cfRule type="cellIs" dxfId="7413" priority="4" operator="lessThan">
      <formula>0.8</formula>
    </cfRule>
  </conditionalFormatting>
  <conditionalFormatting sqref="E32">
    <cfRule type="cellIs" dxfId="7412" priority="3" operator="lessThan">
      <formula>0.8</formula>
    </cfRule>
  </conditionalFormatting>
  <conditionalFormatting sqref="D15:P15">
    <cfRule type="cellIs" dxfId="7411" priority="2" operator="lessThan">
      <formula>0.8</formula>
    </cfRule>
  </conditionalFormatting>
  <conditionalFormatting sqref="Q15">
    <cfRule type="cellIs" dxfId="7410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6" zoomScale="85" zoomScaleNormal="85" workbookViewId="0">
      <selection activeCell="A5" sqref="A5:A16"/>
    </sheetView>
  </sheetViews>
  <sheetFormatPr defaultColWidth="7.90625" defaultRowHeight="15.5"/>
  <cols>
    <col min="1" max="1" width="13.6328125" style="362" customWidth="1"/>
    <col min="2" max="2" width="12.81640625" style="362" customWidth="1"/>
    <col min="3" max="3" width="12.81640625" style="362" hidden="1" customWidth="1"/>
    <col min="4" max="5" width="18.36328125" style="362" customWidth="1"/>
    <col min="6" max="6" width="9.81640625" style="473" customWidth="1"/>
    <col min="7" max="7" width="21.08984375" style="362" bestFit="1" customWidth="1"/>
    <col min="8" max="8" width="15.6328125" style="362" customWidth="1"/>
    <col min="9" max="9" width="12.1796875" style="362" bestFit="1" customWidth="1"/>
    <col min="10" max="15" width="9.81640625" style="362" customWidth="1"/>
    <col min="16" max="16" width="9.81640625" style="474" customWidth="1"/>
    <col min="17" max="18" width="9.81640625" style="362" customWidth="1"/>
    <col min="19" max="16384" width="7.90625" style="362"/>
  </cols>
  <sheetData>
    <row r="1" spans="1:18" ht="26.25" customHeight="1">
      <c r="A1" s="354" t="s">
        <v>287</v>
      </c>
      <c r="B1" s="355"/>
      <c r="C1" s="355"/>
      <c r="D1" s="356" t="s">
        <v>82</v>
      </c>
      <c r="E1" s="357">
        <f>SUM(G5:G124)</f>
        <v>76471</v>
      </c>
      <c r="F1" s="358" t="s">
        <v>2</v>
      </c>
      <c r="G1" s="359">
        <f>SUM(H5:H124)</f>
        <v>1450936.5941344502</v>
      </c>
      <c r="H1" s="360" t="s">
        <v>288</v>
      </c>
      <c r="I1" s="361">
        <f>+J16+J64+J24+J38+J51+J81+J100+J91+J57+J124+J111</f>
        <v>33.838888888888889</v>
      </c>
      <c r="J1" s="613" t="s">
        <v>289</v>
      </c>
      <c r="K1" s="614"/>
      <c r="L1" s="615"/>
      <c r="M1" s="613" t="s">
        <v>86</v>
      </c>
      <c r="N1" s="614"/>
      <c r="O1" s="614"/>
      <c r="P1" s="614"/>
      <c r="Q1" s="614"/>
      <c r="R1" s="615"/>
    </row>
    <row r="2" spans="1:18" ht="26.25" customHeight="1" thickBot="1">
      <c r="A2" s="619" t="s">
        <v>325</v>
      </c>
      <c r="B2" s="620"/>
      <c r="C2" s="363"/>
      <c r="D2" s="364" t="s">
        <v>87</v>
      </c>
      <c r="E2" s="365">
        <f>AVERAGE(L16,L24,L38,L51,L100,L111,L91)</f>
        <v>637.39162507116112</v>
      </c>
      <c r="F2" s="366" t="s">
        <v>88</v>
      </c>
      <c r="G2" s="367">
        <f>G1/E1</f>
        <v>18.973684064997844</v>
      </c>
      <c r="H2" s="368" t="s">
        <v>290</v>
      </c>
      <c r="I2" s="369">
        <f>COUNT(I5:I124)</f>
        <v>0</v>
      </c>
      <c r="J2" s="616"/>
      <c r="K2" s="617"/>
      <c r="L2" s="618"/>
      <c r="M2" s="616"/>
      <c r="N2" s="617"/>
      <c r="O2" s="617"/>
      <c r="P2" s="617"/>
      <c r="Q2" s="617"/>
      <c r="R2" s="618"/>
    </row>
    <row r="3" spans="1:18" ht="23.25" customHeight="1">
      <c r="A3" s="621" t="s">
        <v>90</v>
      </c>
      <c r="B3" s="623" t="s">
        <v>291</v>
      </c>
      <c r="C3" s="370"/>
      <c r="D3" s="623" t="s">
        <v>92</v>
      </c>
      <c r="E3" s="623"/>
      <c r="F3" s="624" t="s">
        <v>93</v>
      </c>
      <c r="G3" s="625" t="s">
        <v>292</v>
      </c>
      <c r="H3" s="626" t="s">
        <v>293</v>
      </c>
      <c r="I3" s="627" t="s">
        <v>96</v>
      </c>
      <c r="J3" s="596" t="s">
        <v>100</v>
      </c>
      <c r="K3" s="606" t="s">
        <v>99</v>
      </c>
      <c r="L3" s="608" t="s">
        <v>87</v>
      </c>
      <c r="M3" s="610" t="s">
        <v>101</v>
      </c>
      <c r="N3" s="610"/>
      <c r="O3" s="596" t="s">
        <v>254</v>
      </c>
      <c r="P3" s="611" t="s">
        <v>103</v>
      </c>
      <c r="Q3" s="596" t="s">
        <v>104</v>
      </c>
      <c r="R3" s="596"/>
    </row>
    <row r="4" spans="1:18" ht="15.75" customHeight="1">
      <c r="A4" s="622"/>
      <c r="B4" s="623"/>
      <c r="C4" s="370"/>
      <c r="D4" s="623"/>
      <c r="E4" s="623"/>
      <c r="F4" s="624"/>
      <c r="G4" s="625"/>
      <c r="H4" s="626"/>
      <c r="I4" s="628"/>
      <c r="J4" s="605"/>
      <c r="K4" s="607"/>
      <c r="L4" s="609"/>
      <c r="M4" s="371" t="s">
        <v>105</v>
      </c>
      <c r="N4" s="371" t="s">
        <v>106</v>
      </c>
      <c r="O4" s="605"/>
      <c r="P4" s="612"/>
      <c r="Q4" s="372" t="s">
        <v>107</v>
      </c>
      <c r="R4" s="372" t="s">
        <v>294</v>
      </c>
    </row>
    <row r="5" spans="1:18">
      <c r="A5" s="597" t="s">
        <v>295</v>
      </c>
      <c r="B5" s="373" t="s">
        <v>250</v>
      </c>
      <c r="C5" s="374"/>
      <c r="D5" s="375" t="s">
        <v>296</v>
      </c>
      <c r="E5" s="376"/>
      <c r="F5" s="377">
        <v>29.965493443754308</v>
      </c>
      <c r="G5" s="370">
        <v>2204</v>
      </c>
      <c r="H5" s="378">
        <f>F5*G5</f>
        <v>66043.9475500345</v>
      </c>
      <c r="I5" s="379"/>
      <c r="J5" s="380">
        <v>13</v>
      </c>
      <c r="K5" s="381">
        <f t="shared" ref="K5:K12" si="0">G5/P5*60</f>
        <v>1259.4285714285716</v>
      </c>
      <c r="L5" s="382">
        <f t="shared" ref="L5:L12" si="1">K5/J5</f>
        <v>96.87912087912089</v>
      </c>
      <c r="M5" s="383">
        <v>0.17361111111111113</v>
      </c>
      <c r="N5" s="383">
        <v>0.24652777777777779</v>
      </c>
      <c r="O5" s="372">
        <v>10</v>
      </c>
      <c r="P5" s="384">
        <f t="shared" ref="P5:P80" si="2">(N5-M5)*24*60</f>
        <v>104.99999999999999</v>
      </c>
      <c r="Q5" s="385"/>
      <c r="R5" s="385"/>
    </row>
    <row r="6" spans="1:18">
      <c r="A6" s="597"/>
      <c r="B6" s="373">
        <v>0</v>
      </c>
      <c r="C6" s="374"/>
      <c r="D6" s="375" t="s">
        <v>297</v>
      </c>
      <c r="E6" s="376"/>
      <c r="F6" s="377" t="s">
        <v>253</v>
      </c>
      <c r="G6" s="370">
        <v>1266</v>
      </c>
      <c r="H6" s="378">
        <f t="shared" ref="H6:H113" si="3">F6*G6</f>
        <v>0</v>
      </c>
      <c r="I6" s="379"/>
      <c r="J6" s="380">
        <v>9</v>
      </c>
      <c r="K6" s="381">
        <f t="shared" si="0"/>
        <v>1519.2000000000005</v>
      </c>
      <c r="L6" s="382">
        <f t="shared" si="1"/>
        <v>168.80000000000007</v>
      </c>
      <c r="M6" s="383">
        <v>0.25</v>
      </c>
      <c r="N6" s="383">
        <v>0.28472222222222221</v>
      </c>
      <c r="O6" s="372">
        <v>5</v>
      </c>
      <c r="P6" s="384">
        <f t="shared" si="2"/>
        <v>49.999999999999986</v>
      </c>
      <c r="Q6" s="372"/>
      <c r="R6" s="372"/>
    </row>
    <row r="7" spans="1:18">
      <c r="A7" s="597"/>
      <c r="B7" s="373">
        <v>0</v>
      </c>
      <c r="C7" s="374"/>
      <c r="D7" s="375" t="s">
        <v>298</v>
      </c>
      <c r="E7" s="376"/>
      <c r="F7" s="377" t="s">
        <v>253</v>
      </c>
      <c r="G7" s="370">
        <v>1293</v>
      </c>
      <c r="H7" s="378">
        <f t="shared" si="3"/>
        <v>0</v>
      </c>
      <c r="I7" s="379"/>
      <c r="J7" s="380">
        <v>9</v>
      </c>
      <c r="K7" s="381">
        <f t="shared" si="0"/>
        <v>1410.5454545454556</v>
      </c>
      <c r="L7" s="382">
        <f t="shared" si="1"/>
        <v>156.72727272727286</v>
      </c>
      <c r="M7" s="383">
        <v>0.28819444444444448</v>
      </c>
      <c r="N7" s="383">
        <v>0.3263888888888889</v>
      </c>
      <c r="O7" s="372">
        <v>5</v>
      </c>
      <c r="P7" s="384">
        <f t="shared" si="2"/>
        <v>54.999999999999964</v>
      </c>
      <c r="Q7" s="385"/>
      <c r="R7" s="385"/>
    </row>
    <row r="8" spans="1:18">
      <c r="A8" s="597"/>
      <c r="B8" s="373" t="s">
        <v>250</v>
      </c>
      <c r="C8" s="374"/>
      <c r="D8" s="375" t="s">
        <v>299</v>
      </c>
      <c r="E8" s="376"/>
      <c r="F8" s="377">
        <v>19.7</v>
      </c>
      <c r="G8" s="370">
        <v>305</v>
      </c>
      <c r="H8" s="378">
        <f t="shared" si="3"/>
        <v>6008.5</v>
      </c>
      <c r="I8" s="379"/>
      <c r="J8" s="380">
        <v>10</v>
      </c>
      <c r="K8" s="381">
        <f t="shared" si="0"/>
        <v>1220.0000000000043</v>
      </c>
      <c r="L8" s="382">
        <f t="shared" si="1"/>
        <v>122.00000000000043</v>
      </c>
      <c r="M8" s="383">
        <v>0.3298611111111111</v>
      </c>
      <c r="N8" s="383">
        <v>0.34027777777777773</v>
      </c>
      <c r="O8" s="372">
        <v>5</v>
      </c>
      <c r="P8" s="384">
        <f t="shared" si="2"/>
        <v>14.999999999999947</v>
      </c>
      <c r="Q8" s="385">
        <v>0.34027777777777773</v>
      </c>
      <c r="R8" s="385">
        <v>0.38194444444444442</v>
      </c>
    </row>
    <row r="9" spans="1:18">
      <c r="A9" s="597"/>
      <c r="B9" s="373" t="s">
        <v>249</v>
      </c>
      <c r="C9" s="374"/>
      <c r="D9" s="375" t="s">
        <v>300</v>
      </c>
      <c r="E9" s="376"/>
      <c r="F9" s="377">
        <v>25.64</v>
      </c>
      <c r="G9" s="386">
        <v>530</v>
      </c>
      <c r="H9" s="378">
        <f t="shared" si="3"/>
        <v>13589.2</v>
      </c>
      <c r="I9" s="379"/>
      <c r="J9" s="380">
        <v>10</v>
      </c>
      <c r="K9" s="381">
        <f t="shared" si="0"/>
        <v>1589.9999999999993</v>
      </c>
      <c r="L9" s="382">
        <f t="shared" si="1"/>
        <v>158.99999999999994</v>
      </c>
      <c r="M9" s="383">
        <v>0.38194444444444442</v>
      </c>
      <c r="N9" s="383">
        <v>0.39583333333333331</v>
      </c>
      <c r="O9" s="372">
        <v>5</v>
      </c>
      <c r="P9" s="384">
        <f t="shared" si="2"/>
        <v>20.000000000000007</v>
      </c>
      <c r="Q9" s="385"/>
      <c r="R9" s="385"/>
    </row>
    <row r="10" spans="1:18">
      <c r="A10" s="597"/>
      <c r="B10" s="373" t="s">
        <v>249</v>
      </c>
      <c r="C10" s="374"/>
      <c r="D10" s="375" t="s">
        <v>301</v>
      </c>
      <c r="E10" s="376"/>
      <c r="F10" s="377">
        <v>30.95</v>
      </c>
      <c r="G10" s="386">
        <v>1208</v>
      </c>
      <c r="H10" s="378">
        <f t="shared" si="3"/>
        <v>37387.599999999999</v>
      </c>
      <c r="I10" s="379"/>
      <c r="J10" s="380">
        <v>15</v>
      </c>
      <c r="K10" s="381">
        <f t="shared" si="0"/>
        <v>1207.9999999999993</v>
      </c>
      <c r="L10" s="382">
        <f t="shared" si="1"/>
        <v>80.533333333333289</v>
      </c>
      <c r="M10" s="383">
        <v>0.39930555555555558</v>
      </c>
      <c r="N10" s="383">
        <v>0.44097222222222227</v>
      </c>
      <c r="O10" s="372">
        <v>5</v>
      </c>
      <c r="P10" s="384">
        <f t="shared" si="2"/>
        <v>60.000000000000028</v>
      </c>
      <c r="Q10" s="385"/>
      <c r="R10" s="385"/>
    </row>
    <row r="11" spans="1:18">
      <c r="A11" s="597"/>
      <c r="B11" s="373" t="s">
        <v>249</v>
      </c>
      <c r="C11" s="374"/>
      <c r="D11" s="375" t="s">
        <v>302</v>
      </c>
      <c r="E11" s="376"/>
      <c r="F11" s="377">
        <v>29.52</v>
      </c>
      <c r="G11" s="386">
        <v>1266</v>
      </c>
      <c r="H11" s="378">
        <f t="shared" si="3"/>
        <v>37372.32</v>
      </c>
      <c r="I11" s="379"/>
      <c r="J11" s="380">
        <v>12</v>
      </c>
      <c r="K11" s="381">
        <f t="shared" si="0"/>
        <v>1688</v>
      </c>
      <c r="L11" s="382">
        <f t="shared" si="1"/>
        <v>140.66666666666666</v>
      </c>
      <c r="M11" s="383">
        <v>0.44444444444444442</v>
      </c>
      <c r="N11" s="383">
        <v>0.47569444444444442</v>
      </c>
      <c r="O11" s="372">
        <v>5</v>
      </c>
      <c r="P11" s="384">
        <f t="shared" si="2"/>
        <v>45</v>
      </c>
      <c r="Q11" s="385"/>
      <c r="R11" s="385"/>
    </row>
    <row r="12" spans="1:18">
      <c r="A12" s="598"/>
      <c r="B12" s="373" t="s">
        <v>249</v>
      </c>
      <c r="C12" s="374"/>
      <c r="D12" s="375" t="s">
        <v>255</v>
      </c>
      <c r="E12" s="376"/>
      <c r="F12" s="377">
        <v>29.856999999999999</v>
      </c>
      <c r="G12" s="386">
        <v>1293</v>
      </c>
      <c r="H12" s="378">
        <f t="shared" si="3"/>
        <v>38605.101000000002</v>
      </c>
      <c r="I12" s="379"/>
      <c r="J12" s="380">
        <v>12</v>
      </c>
      <c r="K12" s="381">
        <f t="shared" si="0"/>
        <v>1551.5999999999981</v>
      </c>
      <c r="L12" s="382">
        <f t="shared" si="1"/>
        <v>129.29999999999984</v>
      </c>
      <c r="M12" s="383">
        <v>0.47916666666666669</v>
      </c>
      <c r="N12" s="383">
        <v>0.51388888888888895</v>
      </c>
      <c r="O12" s="372">
        <v>5</v>
      </c>
      <c r="P12" s="384">
        <f t="shared" si="2"/>
        <v>50.000000000000064</v>
      </c>
      <c r="Q12" s="385"/>
      <c r="R12" s="385"/>
    </row>
    <row r="13" spans="1:18">
      <c r="A13" s="598"/>
      <c r="B13" s="373" t="s">
        <v>250</v>
      </c>
      <c r="C13" s="401"/>
      <c r="D13" s="591" t="s">
        <v>256</v>
      </c>
      <c r="E13" s="592"/>
      <c r="F13" s="377">
        <v>28.57</v>
      </c>
      <c r="G13" s="388">
        <v>1834</v>
      </c>
      <c r="H13" s="378">
        <f t="shared" si="3"/>
        <v>52397.38</v>
      </c>
      <c r="I13" s="379"/>
      <c r="J13" s="380">
        <v>8</v>
      </c>
      <c r="K13" s="381">
        <f>G13/P13*60</f>
        <v>1571.9999999999993</v>
      </c>
      <c r="L13" s="382">
        <f>K13/J13</f>
        <v>196.49999999999991</v>
      </c>
      <c r="M13" s="383">
        <v>0.24305555555555555</v>
      </c>
      <c r="N13" s="383">
        <v>0.29166666666666669</v>
      </c>
      <c r="O13" s="372">
        <v>20</v>
      </c>
      <c r="P13" s="384">
        <f t="shared" si="2"/>
        <v>70.000000000000028</v>
      </c>
      <c r="Q13" s="372"/>
      <c r="R13" s="372"/>
    </row>
    <row r="14" spans="1:18">
      <c r="A14" s="598"/>
      <c r="B14" s="373">
        <v>0</v>
      </c>
      <c r="C14" s="387"/>
      <c r="D14" s="375"/>
      <c r="E14" s="376"/>
      <c r="F14" s="377" t="s">
        <v>253</v>
      </c>
      <c r="G14" s="386"/>
      <c r="H14" s="378">
        <f t="shared" si="3"/>
        <v>0</v>
      </c>
      <c r="I14" s="379"/>
      <c r="J14" s="380"/>
      <c r="K14" s="381"/>
      <c r="L14" s="382"/>
      <c r="M14" s="383"/>
      <c r="N14" s="383"/>
      <c r="O14" s="372"/>
      <c r="P14" s="384">
        <f t="shared" si="2"/>
        <v>0</v>
      </c>
      <c r="Q14" s="372"/>
      <c r="R14" s="372"/>
    </row>
    <row r="15" spans="1:18">
      <c r="A15" s="598"/>
      <c r="B15" s="373">
        <v>0</v>
      </c>
      <c r="C15" s="389"/>
      <c r="D15" s="390"/>
      <c r="E15" s="390"/>
      <c r="F15" s="377" t="s">
        <v>253</v>
      </c>
      <c r="G15" s="386"/>
      <c r="H15" s="378">
        <f t="shared" si="3"/>
        <v>0</v>
      </c>
      <c r="I15" s="379"/>
      <c r="J15" s="380"/>
      <c r="K15" s="381"/>
      <c r="L15" s="382"/>
      <c r="M15" s="383"/>
      <c r="N15" s="383"/>
      <c r="O15" s="372"/>
      <c r="P15" s="384">
        <f t="shared" si="2"/>
        <v>0</v>
      </c>
      <c r="Q15" s="372"/>
      <c r="R15" s="372"/>
    </row>
    <row r="16" spans="1:18" ht="15.75" customHeight="1">
      <c r="A16" s="599"/>
      <c r="B16" s="373">
        <v>0</v>
      </c>
      <c r="C16" s="391" t="s">
        <v>257</v>
      </c>
      <c r="D16" s="583" t="s">
        <v>114</v>
      </c>
      <c r="E16" s="583"/>
      <c r="F16" s="392"/>
      <c r="G16" s="393"/>
      <c r="H16" s="394"/>
      <c r="I16" s="395"/>
      <c r="J16" s="396">
        <f>AVERAGE(J5:J15)</f>
        <v>10.888888888888889</v>
      </c>
      <c r="K16" s="396">
        <f>AVERAGE(K5:K15)</f>
        <v>1446.5304473304477</v>
      </c>
      <c r="L16" s="397">
        <f>AVERAGE(L5:L15)</f>
        <v>138.93404373404377</v>
      </c>
      <c r="M16" s="383"/>
      <c r="N16" s="383"/>
      <c r="O16" s="381"/>
      <c r="P16" s="381"/>
      <c r="Q16" s="382"/>
      <c r="R16" s="382"/>
    </row>
    <row r="17" spans="1:18" ht="15.75" customHeight="1">
      <c r="A17" s="600" t="s">
        <v>258</v>
      </c>
      <c r="B17" s="373" t="s">
        <v>250</v>
      </c>
      <c r="C17" s="398"/>
      <c r="D17" s="603" t="s">
        <v>259</v>
      </c>
      <c r="E17" s="604"/>
      <c r="F17" s="377">
        <v>14.03</v>
      </c>
      <c r="G17" s="370">
        <v>554</v>
      </c>
      <c r="H17" s="399">
        <f t="shared" ref="H17:H23" si="4">F17*G17</f>
        <v>7772.62</v>
      </c>
      <c r="I17" s="400"/>
      <c r="J17" s="380">
        <v>6</v>
      </c>
      <c r="K17" s="381">
        <f>G17/P17*60</f>
        <v>1510.909090909091</v>
      </c>
      <c r="L17" s="382">
        <f>K17/J17</f>
        <v>251.81818181818184</v>
      </c>
      <c r="M17" s="383">
        <v>0.18055555555555555</v>
      </c>
      <c r="N17" s="383">
        <v>0.19583333333333333</v>
      </c>
      <c r="O17" s="372">
        <v>20</v>
      </c>
      <c r="P17" s="384">
        <f>(N17-M17)*24*60</f>
        <v>22</v>
      </c>
      <c r="Q17" s="372"/>
      <c r="R17" s="372"/>
    </row>
    <row r="18" spans="1:18" ht="15.75" customHeight="1">
      <c r="A18" s="600"/>
      <c r="B18" s="373" t="s">
        <v>250</v>
      </c>
      <c r="C18" s="401"/>
      <c r="D18" s="591" t="s">
        <v>260</v>
      </c>
      <c r="E18" s="592"/>
      <c r="F18" s="377">
        <v>14.49</v>
      </c>
      <c r="G18" s="388">
        <v>739</v>
      </c>
      <c r="H18" s="378">
        <f t="shared" si="4"/>
        <v>10708.11</v>
      </c>
      <c r="I18" s="379"/>
      <c r="J18" s="380">
        <v>5</v>
      </c>
      <c r="K18" s="381">
        <f>G18/P18*60</f>
        <v>1583.5714285714298</v>
      </c>
      <c r="L18" s="382">
        <f>K18/J18</f>
        <v>316.71428571428595</v>
      </c>
      <c r="M18" s="383">
        <v>0.20972222222222223</v>
      </c>
      <c r="N18" s="383">
        <v>0.22916666666666666</v>
      </c>
      <c r="O18" s="372">
        <v>20</v>
      </c>
      <c r="P18" s="384">
        <f t="shared" ref="P18:P23" si="5">(N18-M18)*24*60</f>
        <v>27.999999999999979</v>
      </c>
      <c r="Q18" s="385"/>
      <c r="R18" s="385"/>
    </row>
    <row r="19" spans="1:18" ht="15.75" customHeight="1">
      <c r="A19" s="600"/>
      <c r="B19" s="373"/>
      <c r="C19" s="401"/>
      <c r="D19" s="591"/>
      <c r="E19" s="592"/>
      <c r="F19" s="377"/>
      <c r="G19" s="388"/>
      <c r="H19" s="378"/>
      <c r="I19" s="379"/>
      <c r="J19" s="380"/>
      <c r="K19" s="381"/>
      <c r="L19" s="382"/>
      <c r="M19" s="383"/>
      <c r="N19" s="383"/>
      <c r="O19" s="372"/>
      <c r="P19" s="384"/>
      <c r="Q19" s="385"/>
      <c r="R19" s="385"/>
    </row>
    <row r="20" spans="1:18" ht="15.75" customHeight="1">
      <c r="A20" s="601"/>
      <c r="B20" s="373"/>
      <c r="C20" s="402"/>
      <c r="D20" s="403"/>
      <c r="E20" s="404"/>
      <c r="F20" s="377"/>
      <c r="G20" s="388"/>
      <c r="H20" s="378"/>
      <c r="I20" s="379"/>
      <c r="J20" s="380"/>
      <c r="K20" s="381"/>
      <c r="L20" s="382"/>
      <c r="M20" s="383"/>
      <c r="N20" s="383"/>
      <c r="O20" s="372"/>
      <c r="P20" s="384"/>
      <c r="Q20" s="372"/>
      <c r="R20" s="372"/>
    </row>
    <row r="21" spans="1:18" ht="15.75" customHeight="1">
      <c r="A21" s="601"/>
      <c r="B21" s="373"/>
      <c r="C21" s="402"/>
      <c r="D21" s="403"/>
      <c r="E21" s="404"/>
      <c r="F21" s="377"/>
      <c r="G21" s="388"/>
      <c r="H21" s="378"/>
      <c r="I21" s="379"/>
      <c r="J21" s="380"/>
      <c r="K21" s="381"/>
      <c r="L21" s="382"/>
      <c r="M21" s="383"/>
      <c r="N21" s="383"/>
      <c r="O21" s="372"/>
      <c r="P21" s="384"/>
      <c r="Q21" s="372"/>
      <c r="R21" s="372"/>
    </row>
    <row r="22" spans="1:18" ht="15.75" customHeight="1">
      <c r="A22" s="601"/>
      <c r="B22" s="373">
        <v>0</v>
      </c>
      <c r="C22" s="402"/>
      <c r="D22" s="403"/>
      <c r="E22" s="404"/>
      <c r="F22" s="377" t="s">
        <v>253</v>
      </c>
      <c r="G22" s="388"/>
      <c r="H22" s="378">
        <f t="shared" si="4"/>
        <v>0</v>
      </c>
      <c r="I22" s="379"/>
      <c r="J22" s="380"/>
      <c r="K22" s="381"/>
      <c r="L22" s="382"/>
      <c r="M22" s="383"/>
      <c r="N22" s="383"/>
      <c r="O22" s="372"/>
      <c r="P22" s="384">
        <f t="shared" si="5"/>
        <v>0</v>
      </c>
      <c r="Q22" s="372"/>
      <c r="R22" s="372"/>
    </row>
    <row r="23" spans="1:18" ht="15.75" customHeight="1">
      <c r="A23" s="601"/>
      <c r="B23" s="373">
        <v>0</v>
      </c>
      <c r="C23" s="402"/>
      <c r="D23" s="403"/>
      <c r="E23" s="404"/>
      <c r="F23" s="377" t="s">
        <v>253</v>
      </c>
      <c r="G23" s="388"/>
      <c r="H23" s="378">
        <f t="shared" si="4"/>
        <v>0</v>
      </c>
      <c r="I23" s="379"/>
      <c r="J23" s="380"/>
      <c r="K23" s="381"/>
      <c r="L23" s="382"/>
      <c r="M23" s="383"/>
      <c r="N23" s="383"/>
      <c r="O23" s="372"/>
      <c r="P23" s="384">
        <f t="shared" si="5"/>
        <v>0</v>
      </c>
      <c r="Q23" s="372"/>
      <c r="R23" s="372"/>
    </row>
    <row r="24" spans="1:18" ht="17.399999999999999" customHeight="1">
      <c r="A24" s="602"/>
      <c r="B24" s="373">
        <v>0</v>
      </c>
      <c r="C24" s="12" t="s">
        <v>261</v>
      </c>
      <c r="D24" s="583" t="s">
        <v>114</v>
      </c>
      <c r="E24" s="583"/>
      <c r="F24" s="392"/>
      <c r="G24" s="405"/>
      <c r="H24" s="394"/>
      <c r="I24" s="395"/>
      <c r="J24" s="396">
        <f>AVERAGE(J17:J23)</f>
        <v>5.5</v>
      </c>
      <c r="K24" s="396">
        <f>AVERAGE(K17:K23)</f>
        <v>1547.2402597402604</v>
      </c>
      <c r="L24" s="397">
        <f>AVERAGE(L17:L23)</f>
        <v>284.26623376623388</v>
      </c>
      <c r="M24" s="383"/>
      <c r="N24" s="383"/>
      <c r="O24" s="372"/>
      <c r="P24" s="372"/>
      <c r="Q24" s="372"/>
      <c r="R24" s="372"/>
    </row>
    <row r="25" spans="1:18">
      <c r="A25" s="585" t="s">
        <v>262</v>
      </c>
      <c r="B25" s="373" t="s">
        <v>250</v>
      </c>
      <c r="C25" s="406"/>
      <c r="D25" s="407" t="s">
        <v>303</v>
      </c>
      <c r="E25" s="408"/>
      <c r="F25" s="377">
        <v>18.18</v>
      </c>
      <c r="G25" s="370">
        <v>832</v>
      </c>
      <c r="H25" s="378">
        <f t="shared" ref="H25:H37" si="6">F25*G25</f>
        <v>15125.76</v>
      </c>
      <c r="I25" s="379"/>
      <c r="J25" s="380">
        <v>3</v>
      </c>
      <c r="K25" s="381">
        <f t="shared" ref="K25:K29" si="7">G25/P25*60</f>
        <v>2936.4705882352978</v>
      </c>
      <c r="L25" s="382">
        <f t="shared" ref="L25:L29" si="8">K25/J25</f>
        <v>978.82352941176589</v>
      </c>
      <c r="M25" s="383">
        <v>0.17361111111111113</v>
      </c>
      <c r="N25" s="383">
        <v>0.18541666666666667</v>
      </c>
      <c r="O25" s="372">
        <v>10</v>
      </c>
      <c r="P25" s="384">
        <f t="shared" ref="P25:P37" si="9">(N25-M25)*24*60</f>
        <v>16.999999999999979</v>
      </c>
      <c r="Q25" s="385"/>
      <c r="R25" s="385"/>
    </row>
    <row r="26" spans="1:18">
      <c r="A26" s="585"/>
      <c r="B26" s="373" t="s">
        <v>250</v>
      </c>
      <c r="C26" s="409"/>
      <c r="D26" s="410" t="s">
        <v>304</v>
      </c>
      <c r="E26" s="411"/>
      <c r="F26" s="377">
        <v>18.18</v>
      </c>
      <c r="G26" s="370">
        <v>1443</v>
      </c>
      <c r="H26" s="378">
        <f t="shared" si="6"/>
        <v>26233.739999999998</v>
      </c>
      <c r="I26" s="379"/>
      <c r="J26" s="380">
        <v>3</v>
      </c>
      <c r="K26" s="381">
        <f t="shared" si="7"/>
        <v>2885.9999999999986</v>
      </c>
      <c r="L26" s="382">
        <f t="shared" si="8"/>
        <v>961.99999999999955</v>
      </c>
      <c r="M26" s="383">
        <v>0.19930555555555554</v>
      </c>
      <c r="N26" s="383">
        <v>0.22013888888888888</v>
      </c>
      <c r="O26" s="372">
        <v>20</v>
      </c>
      <c r="P26" s="384">
        <f t="shared" si="9"/>
        <v>30.000000000000014</v>
      </c>
      <c r="Q26" s="385"/>
      <c r="R26" s="385"/>
    </row>
    <row r="27" spans="1:18">
      <c r="A27" s="585"/>
      <c r="B27" s="373" t="s">
        <v>250</v>
      </c>
      <c r="C27" s="409"/>
      <c r="D27" s="410" t="s">
        <v>305</v>
      </c>
      <c r="E27" s="411"/>
      <c r="F27" s="377">
        <v>17.890909090909091</v>
      </c>
      <c r="G27" s="370">
        <v>1645</v>
      </c>
      <c r="H27" s="378">
        <f t="shared" si="6"/>
        <v>29430.545454545456</v>
      </c>
      <c r="I27" s="379"/>
      <c r="J27" s="380">
        <v>3</v>
      </c>
      <c r="K27" s="381">
        <f t="shared" si="7"/>
        <v>2820.0000000000005</v>
      </c>
      <c r="L27" s="382">
        <f t="shared" si="8"/>
        <v>940.00000000000011</v>
      </c>
      <c r="M27" s="383">
        <v>0.23402777777777781</v>
      </c>
      <c r="N27" s="383">
        <v>0.25833333333333336</v>
      </c>
      <c r="O27" s="372">
        <v>20</v>
      </c>
      <c r="P27" s="384">
        <f t="shared" si="9"/>
        <v>34.999999999999993</v>
      </c>
      <c r="Q27" s="385">
        <v>0.25833333333333336</v>
      </c>
      <c r="R27" s="385">
        <v>0.3</v>
      </c>
    </row>
    <row r="28" spans="1:18">
      <c r="A28" s="585"/>
      <c r="B28" s="373" t="s">
        <v>250</v>
      </c>
      <c r="C28" s="412"/>
      <c r="D28" s="410" t="s">
        <v>306</v>
      </c>
      <c r="E28" s="413"/>
      <c r="F28" s="377">
        <v>21.45</v>
      </c>
      <c r="G28" s="370">
        <v>1147</v>
      </c>
      <c r="H28" s="378">
        <f t="shared" si="6"/>
        <v>24603.149999999998</v>
      </c>
      <c r="I28" s="379"/>
      <c r="J28" s="380">
        <v>3</v>
      </c>
      <c r="K28" s="381">
        <f t="shared" si="7"/>
        <v>2867.5000000000009</v>
      </c>
      <c r="L28" s="382">
        <f t="shared" si="8"/>
        <v>955.8333333333336</v>
      </c>
      <c r="M28" s="383">
        <v>0.31388888888888888</v>
      </c>
      <c r="N28" s="383">
        <v>0.33055555555555555</v>
      </c>
      <c r="O28" s="372">
        <v>20</v>
      </c>
      <c r="P28" s="384">
        <f t="shared" si="9"/>
        <v>23.999999999999993</v>
      </c>
      <c r="Q28" s="385"/>
      <c r="R28" s="385"/>
    </row>
    <row r="29" spans="1:18">
      <c r="A29" s="585"/>
      <c r="B29" s="373" t="s">
        <v>249</v>
      </c>
      <c r="C29" s="414"/>
      <c r="D29" s="410" t="s">
        <v>263</v>
      </c>
      <c r="E29" s="413"/>
      <c r="F29" s="377">
        <v>18.53</v>
      </c>
      <c r="G29" s="370">
        <v>4013</v>
      </c>
      <c r="H29" s="378">
        <f t="shared" si="6"/>
        <v>74360.89</v>
      </c>
      <c r="I29" s="379"/>
      <c r="J29" s="380">
        <v>3</v>
      </c>
      <c r="K29" s="381">
        <f t="shared" si="7"/>
        <v>2832.7058823529433</v>
      </c>
      <c r="L29" s="382">
        <f t="shared" si="8"/>
        <v>944.23529411764775</v>
      </c>
      <c r="M29" s="383">
        <v>0.3444444444444445</v>
      </c>
      <c r="N29" s="383">
        <v>0.40347222222222223</v>
      </c>
      <c r="O29" s="372">
        <v>20</v>
      </c>
      <c r="P29" s="384">
        <f t="shared" si="9"/>
        <v>84.999999999999943</v>
      </c>
      <c r="Q29" s="385"/>
      <c r="R29" s="385"/>
    </row>
    <row r="30" spans="1:18">
      <c r="A30" s="585"/>
      <c r="B30" s="373" t="s">
        <v>249</v>
      </c>
      <c r="C30" s="414"/>
      <c r="D30" s="410" t="s">
        <v>326</v>
      </c>
      <c r="E30" s="413"/>
      <c r="F30" s="377">
        <v>17.260000000000002</v>
      </c>
      <c r="G30" s="370"/>
      <c r="H30" s="378">
        <f t="shared" si="6"/>
        <v>0</v>
      </c>
      <c r="I30" s="379"/>
      <c r="J30" s="380"/>
      <c r="K30" s="381"/>
      <c r="L30" s="382"/>
      <c r="M30" s="383"/>
      <c r="N30" s="383"/>
      <c r="O30" s="372"/>
      <c r="P30" s="384">
        <f t="shared" si="9"/>
        <v>0</v>
      </c>
      <c r="Q30" s="385"/>
      <c r="R30" s="385"/>
    </row>
    <row r="31" spans="1:18" ht="15.75" customHeight="1">
      <c r="A31" s="585"/>
      <c r="B31" s="373">
        <v>0</v>
      </c>
      <c r="C31" s="415"/>
      <c r="D31" s="407"/>
      <c r="E31" s="413"/>
      <c r="F31" s="377" t="s">
        <v>253</v>
      </c>
      <c r="G31" s="370"/>
      <c r="H31" s="378">
        <f t="shared" si="6"/>
        <v>0</v>
      </c>
      <c r="I31" s="379"/>
      <c r="J31" s="380"/>
      <c r="K31" s="381"/>
      <c r="L31" s="382"/>
      <c r="M31" s="383"/>
      <c r="N31" s="383"/>
      <c r="O31" s="372"/>
      <c r="P31" s="384">
        <f t="shared" si="9"/>
        <v>0</v>
      </c>
      <c r="Q31" s="385"/>
      <c r="R31" s="385"/>
    </row>
    <row r="32" spans="1:18">
      <c r="A32" s="585"/>
      <c r="B32" s="373">
        <v>0</v>
      </c>
      <c r="C32" s="401"/>
      <c r="D32" s="410"/>
      <c r="E32" s="404"/>
      <c r="F32" s="377" t="s">
        <v>253</v>
      </c>
      <c r="G32" s="370"/>
      <c r="H32" s="378">
        <f t="shared" si="6"/>
        <v>0</v>
      </c>
      <c r="I32" s="379"/>
      <c r="J32" s="380"/>
      <c r="K32" s="381"/>
      <c r="L32" s="382"/>
      <c r="M32" s="383"/>
      <c r="N32" s="383"/>
      <c r="O32" s="372"/>
      <c r="P32" s="384">
        <f t="shared" si="9"/>
        <v>0</v>
      </c>
      <c r="Q32" s="385"/>
      <c r="R32" s="385"/>
    </row>
    <row r="33" spans="1:18">
      <c r="A33" s="585"/>
      <c r="B33" s="373">
        <v>0</v>
      </c>
      <c r="C33" s="414"/>
      <c r="D33" s="410"/>
      <c r="E33" s="413"/>
      <c r="F33" s="377" t="s">
        <v>253</v>
      </c>
      <c r="G33" s="370"/>
      <c r="H33" s="378">
        <f t="shared" si="6"/>
        <v>0</v>
      </c>
      <c r="I33" s="379"/>
      <c r="J33" s="380"/>
      <c r="K33" s="381"/>
      <c r="L33" s="382"/>
      <c r="M33" s="383"/>
      <c r="N33" s="383"/>
      <c r="O33" s="372"/>
      <c r="P33" s="384">
        <f t="shared" si="9"/>
        <v>0</v>
      </c>
      <c r="Q33" s="385"/>
      <c r="R33" s="385"/>
    </row>
    <row r="34" spans="1:18">
      <c r="A34" s="585"/>
      <c r="B34" s="373">
        <v>0</v>
      </c>
      <c r="C34" s="416"/>
      <c r="D34" s="410"/>
      <c r="E34" s="413"/>
      <c r="F34" s="377" t="s">
        <v>253</v>
      </c>
      <c r="G34" s="417"/>
      <c r="H34" s="378">
        <f t="shared" si="6"/>
        <v>0</v>
      </c>
      <c r="I34" s="379"/>
      <c r="J34" s="380"/>
      <c r="K34" s="381"/>
      <c r="L34" s="382"/>
      <c r="M34" s="383"/>
      <c r="N34" s="383"/>
      <c r="O34" s="372"/>
      <c r="P34" s="384">
        <f t="shared" si="9"/>
        <v>0</v>
      </c>
      <c r="Q34" s="385"/>
      <c r="R34" s="385"/>
    </row>
    <row r="35" spans="1:18">
      <c r="A35" s="585"/>
      <c r="B35" s="373">
        <v>0</v>
      </c>
      <c r="C35" s="418"/>
      <c r="D35" s="410"/>
      <c r="E35" s="413"/>
      <c r="F35" s="377" t="s">
        <v>253</v>
      </c>
      <c r="G35" s="417"/>
      <c r="H35" s="378">
        <f t="shared" si="6"/>
        <v>0</v>
      </c>
      <c r="I35" s="379"/>
      <c r="J35" s="380"/>
      <c r="K35" s="381"/>
      <c r="L35" s="382"/>
      <c r="M35" s="383"/>
      <c r="N35" s="383"/>
      <c r="O35" s="372"/>
      <c r="P35" s="384">
        <f t="shared" si="9"/>
        <v>0</v>
      </c>
      <c r="Q35" s="385"/>
      <c r="R35" s="385"/>
    </row>
    <row r="36" spans="1:18">
      <c r="A36" s="585"/>
      <c r="B36" s="373">
        <v>0</v>
      </c>
      <c r="C36" s="418"/>
      <c r="D36" s="419"/>
      <c r="E36" s="419"/>
      <c r="F36" s="377" t="s">
        <v>253</v>
      </c>
      <c r="G36" s="417"/>
      <c r="H36" s="378">
        <f t="shared" si="6"/>
        <v>0</v>
      </c>
      <c r="I36" s="379"/>
      <c r="J36" s="380"/>
      <c r="K36" s="381"/>
      <c r="L36" s="382"/>
      <c r="M36" s="383"/>
      <c r="N36" s="383"/>
      <c r="O36" s="372"/>
      <c r="P36" s="384">
        <f t="shared" si="9"/>
        <v>0</v>
      </c>
      <c r="Q36" s="385"/>
      <c r="R36" s="385"/>
    </row>
    <row r="37" spans="1:18">
      <c r="A37" s="585"/>
      <c r="B37" s="373">
        <v>0</v>
      </c>
      <c r="C37" s="418"/>
      <c r="D37" s="411"/>
      <c r="E37" s="411"/>
      <c r="F37" s="377" t="s">
        <v>253</v>
      </c>
      <c r="G37" s="417"/>
      <c r="H37" s="378">
        <f t="shared" si="6"/>
        <v>0</v>
      </c>
      <c r="I37" s="379"/>
      <c r="J37" s="380"/>
      <c r="K37" s="381"/>
      <c r="L37" s="382"/>
      <c r="M37" s="383"/>
      <c r="N37" s="383"/>
      <c r="O37" s="372"/>
      <c r="P37" s="384">
        <f t="shared" si="9"/>
        <v>0</v>
      </c>
      <c r="Q37" s="385"/>
      <c r="R37" s="385"/>
    </row>
    <row r="38" spans="1:18" ht="17.399999999999999" customHeight="1">
      <c r="A38" s="586"/>
      <c r="B38" s="373">
        <v>0</v>
      </c>
      <c r="C38" s="12" t="s">
        <v>50</v>
      </c>
      <c r="D38" s="578" t="s">
        <v>264</v>
      </c>
      <c r="E38" s="578"/>
      <c r="F38" s="392"/>
      <c r="G38" s="420"/>
      <c r="H38" s="394"/>
      <c r="I38" s="395"/>
      <c r="J38" s="396">
        <f>AVERAGE(J25:J37)</f>
        <v>3</v>
      </c>
      <c r="K38" s="396">
        <f>AVERAGE(K25:K37)</f>
        <v>2868.5352941176484</v>
      </c>
      <c r="L38" s="397">
        <f>AVERAGE(L25:L37)</f>
        <v>956.17843137254931</v>
      </c>
      <c r="M38" s="383"/>
      <c r="N38" s="383"/>
      <c r="O38" s="381"/>
      <c r="P38" s="381"/>
      <c r="Q38" s="382"/>
      <c r="R38" s="382"/>
    </row>
    <row r="39" spans="1:18" ht="16.25" customHeight="1">
      <c r="A39" s="587" t="s">
        <v>265</v>
      </c>
      <c r="B39" s="373" t="s">
        <v>250</v>
      </c>
      <c r="C39" s="401"/>
      <c r="D39" s="425" t="s">
        <v>266</v>
      </c>
      <c r="E39" s="404"/>
      <c r="F39" s="377">
        <v>22.281818181818181</v>
      </c>
      <c r="G39" s="370">
        <v>615</v>
      </c>
      <c r="H39" s="378">
        <f t="shared" ref="H39:H42" si="10">F39*G39</f>
        <v>13703.318181818182</v>
      </c>
      <c r="I39" s="379"/>
      <c r="J39" s="380">
        <v>4</v>
      </c>
      <c r="K39" s="381">
        <f>G39/P39*60</f>
        <v>2838.4615384615399</v>
      </c>
      <c r="L39" s="382">
        <f>K39/J39</f>
        <v>709.61538461538498</v>
      </c>
      <c r="M39" s="383">
        <v>0.18055555555555555</v>
      </c>
      <c r="N39" s="383">
        <v>0.18958333333333333</v>
      </c>
      <c r="O39" s="372">
        <v>20</v>
      </c>
      <c r="P39" s="423">
        <f t="shared" ref="P39:P42" si="11">(N39-M39)*24*60</f>
        <v>12.999999999999993</v>
      </c>
      <c r="Q39" s="385"/>
      <c r="R39" s="385"/>
    </row>
    <row r="40" spans="1:18">
      <c r="A40" s="588"/>
      <c r="B40" s="373" t="s">
        <v>250</v>
      </c>
      <c r="C40" s="401"/>
      <c r="D40" s="425" t="s">
        <v>267</v>
      </c>
      <c r="E40" s="404"/>
      <c r="F40" s="377">
        <v>16.66</v>
      </c>
      <c r="G40" s="370">
        <v>2502</v>
      </c>
      <c r="H40" s="378">
        <f t="shared" si="10"/>
        <v>41683.32</v>
      </c>
      <c r="I40" s="379"/>
      <c r="J40" s="380">
        <v>4</v>
      </c>
      <c r="K40" s="381">
        <f>G40/P40*60</f>
        <v>2832.4528301886767</v>
      </c>
      <c r="L40" s="382">
        <f>K40/J40</f>
        <v>708.11320754716917</v>
      </c>
      <c r="M40" s="383">
        <v>0.20347222222222219</v>
      </c>
      <c r="N40" s="383">
        <v>0.24027777777777778</v>
      </c>
      <c r="O40" s="372">
        <v>20</v>
      </c>
      <c r="P40" s="423">
        <f t="shared" si="11"/>
        <v>53.00000000000005</v>
      </c>
      <c r="Q40" s="385">
        <v>0.24027777777777778</v>
      </c>
      <c r="R40" s="385">
        <v>0.28194444444444444</v>
      </c>
    </row>
    <row r="41" spans="1:18">
      <c r="A41" s="588"/>
      <c r="B41" s="373" t="s">
        <v>250</v>
      </c>
      <c r="C41" s="401"/>
      <c r="D41" s="425" t="s">
        <v>268</v>
      </c>
      <c r="E41" s="404"/>
      <c r="F41" s="377">
        <v>18.18</v>
      </c>
      <c r="G41" s="370">
        <v>2827</v>
      </c>
      <c r="H41" s="378">
        <f t="shared" si="10"/>
        <v>51394.86</v>
      </c>
      <c r="I41" s="379"/>
      <c r="J41" s="380">
        <v>4</v>
      </c>
      <c r="K41" s="381">
        <f t="shared" ref="K41:K42" si="12">G41/P41*60</f>
        <v>2780.6557377049171</v>
      </c>
      <c r="L41" s="382">
        <f t="shared" ref="L41:L42" si="13">K41/J41</f>
        <v>695.16393442622928</v>
      </c>
      <c r="M41" s="383">
        <v>0.29583333333333334</v>
      </c>
      <c r="N41" s="383">
        <v>0.33819444444444446</v>
      </c>
      <c r="O41" s="372">
        <v>20</v>
      </c>
      <c r="P41" s="423">
        <f t="shared" si="11"/>
        <v>61.000000000000021</v>
      </c>
      <c r="Q41" s="385"/>
      <c r="R41" s="385"/>
    </row>
    <row r="42" spans="1:18">
      <c r="A42" s="588"/>
      <c r="B42" s="373" t="s">
        <v>250</v>
      </c>
      <c r="C42" s="401"/>
      <c r="D42" s="425" t="s">
        <v>307</v>
      </c>
      <c r="E42" s="404"/>
      <c r="F42" s="377">
        <v>15.15</v>
      </c>
      <c r="G42" s="370">
        <v>1688</v>
      </c>
      <c r="H42" s="378">
        <f t="shared" si="10"/>
        <v>25573.200000000001</v>
      </c>
      <c r="I42" s="379"/>
      <c r="J42" s="380">
        <v>4</v>
      </c>
      <c r="K42" s="381">
        <f t="shared" si="12"/>
        <v>2813.3333333333248</v>
      </c>
      <c r="L42" s="382">
        <f t="shared" si="13"/>
        <v>703.33333333333121</v>
      </c>
      <c r="M42" s="383">
        <v>0.3520833333333333</v>
      </c>
      <c r="N42" s="383">
        <v>0.37708333333333338</v>
      </c>
      <c r="O42" s="372">
        <v>20</v>
      </c>
      <c r="P42" s="423">
        <f t="shared" si="11"/>
        <v>36.000000000000114</v>
      </c>
      <c r="Q42" s="385"/>
      <c r="R42" s="385"/>
    </row>
    <row r="43" spans="1:18" ht="15.75" customHeight="1">
      <c r="A43" s="588"/>
      <c r="B43" s="373"/>
      <c r="C43" s="401"/>
      <c r="D43" s="426"/>
      <c r="E43" s="404"/>
      <c r="F43" s="377"/>
      <c r="G43" s="370"/>
      <c r="H43" s="378"/>
      <c r="I43" s="379"/>
      <c r="J43" s="380"/>
      <c r="K43" s="381"/>
      <c r="L43" s="382"/>
      <c r="M43" s="383"/>
      <c r="N43" s="383"/>
      <c r="O43" s="372"/>
      <c r="P43" s="384"/>
      <c r="Q43" s="385"/>
      <c r="R43" s="385"/>
    </row>
    <row r="44" spans="1:18">
      <c r="A44" s="588"/>
      <c r="B44" s="373"/>
      <c r="C44" s="401"/>
      <c r="D44" s="425"/>
      <c r="E44" s="404"/>
      <c r="F44" s="377"/>
      <c r="G44" s="370"/>
      <c r="H44" s="378"/>
      <c r="I44" s="379"/>
      <c r="J44" s="380"/>
      <c r="K44" s="381"/>
      <c r="L44" s="382"/>
      <c r="M44" s="383"/>
      <c r="N44" s="383"/>
      <c r="O44" s="372"/>
      <c r="P44" s="423"/>
      <c r="Q44" s="385"/>
      <c r="R44" s="385"/>
    </row>
    <row r="45" spans="1:18">
      <c r="A45" s="588"/>
      <c r="B45" s="373">
        <v>0</v>
      </c>
      <c r="C45" s="401"/>
      <c r="D45" s="426"/>
      <c r="E45" s="404"/>
      <c r="F45" s="377" t="s">
        <v>253</v>
      </c>
      <c r="G45" s="370"/>
      <c r="H45" s="378">
        <f t="shared" ref="H45:H47" si="14">F45*G45</f>
        <v>0</v>
      </c>
      <c r="I45" s="379"/>
      <c r="J45" s="380"/>
      <c r="K45" s="381"/>
      <c r="L45" s="382"/>
      <c r="M45" s="383"/>
      <c r="N45" s="383"/>
      <c r="O45" s="372"/>
      <c r="P45" s="384">
        <f t="shared" ref="P45:P50" si="15">(N45-M45)*24*60</f>
        <v>0</v>
      </c>
      <c r="Q45" s="385"/>
      <c r="R45" s="385"/>
    </row>
    <row r="46" spans="1:18">
      <c r="A46" s="588"/>
      <c r="B46" s="373">
        <v>0</v>
      </c>
      <c r="C46" s="401"/>
      <c r="D46" s="426"/>
      <c r="E46" s="427"/>
      <c r="F46" s="377" t="s">
        <v>253</v>
      </c>
      <c r="G46" s="428"/>
      <c r="H46" s="429">
        <f t="shared" si="14"/>
        <v>0</v>
      </c>
      <c r="I46" s="430"/>
      <c r="J46" s="380"/>
      <c r="K46" s="381"/>
      <c r="L46" s="382"/>
      <c r="M46" s="383"/>
      <c r="N46" s="383"/>
      <c r="O46" s="372"/>
      <c r="P46" s="384">
        <f t="shared" si="15"/>
        <v>0</v>
      </c>
      <c r="Q46" s="385"/>
      <c r="R46" s="385"/>
    </row>
    <row r="47" spans="1:18">
      <c r="A47" s="588"/>
      <c r="B47" s="373">
        <v>0</v>
      </c>
      <c r="C47" s="401"/>
      <c r="D47" s="410"/>
      <c r="E47" s="413"/>
      <c r="F47" s="377" t="s">
        <v>253</v>
      </c>
      <c r="G47" s="370"/>
      <c r="H47" s="378">
        <f t="shared" si="14"/>
        <v>0</v>
      </c>
      <c r="I47" s="379"/>
      <c r="J47" s="380"/>
      <c r="K47" s="381"/>
      <c r="L47" s="382"/>
      <c r="M47" s="383"/>
      <c r="N47" s="383"/>
      <c r="O47" s="372"/>
      <c r="P47" s="384">
        <f t="shared" si="15"/>
        <v>0</v>
      </c>
      <c r="Q47" s="385"/>
      <c r="R47" s="385"/>
    </row>
    <row r="48" spans="1:18">
      <c r="A48" s="589"/>
      <c r="B48" s="373">
        <v>0</v>
      </c>
      <c r="C48" s="431"/>
      <c r="D48" s="591"/>
      <c r="E48" s="592"/>
      <c r="F48" s="377" t="s">
        <v>253</v>
      </c>
      <c r="G48" s="370"/>
      <c r="H48" s="378"/>
      <c r="I48" s="379"/>
      <c r="J48" s="380"/>
      <c r="K48" s="381"/>
      <c r="L48" s="382"/>
      <c r="M48" s="383"/>
      <c r="N48" s="383"/>
      <c r="O48" s="372"/>
      <c r="P48" s="384">
        <f t="shared" si="15"/>
        <v>0</v>
      </c>
      <c r="Q48" s="385"/>
      <c r="R48" s="385"/>
    </row>
    <row r="49" spans="1:18">
      <c r="A49" s="589"/>
      <c r="B49" s="373">
        <v>0</v>
      </c>
      <c r="C49" s="432"/>
      <c r="D49" s="433"/>
      <c r="E49" s="434"/>
      <c r="F49" s="377" t="s">
        <v>253</v>
      </c>
      <c r="G49" s="372"/>
      <c r="H49" s="429">
        <f>F49*G49</f>
        <v>0</v>
      </c>
      <c r="I49" s="384"/>
      <c r="J49" s="380"/>
      <c r="K49" s="381"/>
      <c r="L49" s="382"/>
      <c r="M49" s="383"/>
      <c r="N49" s="383"/>
      <c r="O49" s="372"/>
      <c r="P49" s="384">
        <f t="shared" si="15"/>
        <v>0</v>
      </c>
      <c r="Q49" s="385"/>
      <c r="R49" s="385"/>
    </row>
    <row r="50" spans="1:18">
      <c r="A50" s="589"/>
      <c r="B50" s="373">
        <v>0</v>
      </c>
      <c r="C50" s="432"/>
      <c r="D50" s="433"/>
      <c r="E50" s="434"/>
      <c r="F50" s="377" t="s">
        <v>253</v>
      </c>
      <c r="G50" s="372"/>
      <c r="H50" s="429">
        <f>F50*G50</f>
        <v>0</v>
      </c>
      <c r="I50" s="384"/>
      <c r="J50" s="380"/>
      <c r="K50" s="381"/>
      <c r="L50" s="382"/>
      <c r="M50" s="383"/>
      <c r="N50" s="383"/>
      <c r="O50" s="372"/>
      <c r="P50" s="384">
        <f t="shared" si="15"/>
        <v>0</v>
      </c>
      <c r="Q50" s="385"/>
      <c r="R50" s="385"/>
    </row>
    <row r="51" spans="1:18" ht="15.75" customHeight="1">
      <c r="A51" s="590"/>
      <c r="B51" s="373">
        <v>0</v>
      </c>
      <c r="C51" s="435" t="s">
        <v>51</v>
      </c>
      <c r="D51" s="583" t="s">
        <v>114</v>
      </c>
      <c r="E51" s="583"/>
      <c r="F51" s="392"/>
      <c r="G51" s="397"/>
      <c r="H51" s="436"/>
      <c r="I51" s="437"/>
      <c r="J51" s="396">
        <f>AVERAGE(J39:J50)</f>
        <v>4</v>
      </c>
      <c r="K51" s="396">
        <f>AVERAGE(K39:K50)</f>
        <v>2816.2258599221145</v>
      </c>
      <c r="L51" s="397">
        <f>AVERAGE(L39:L50)</f>
        <v>704.05646498052863</v>
      </c>
      <c r="M51" s="438"/>
      <c r="N51" s="383"/>
      <c r="O51" s="381"/>
      <c r="P51" s="381"/>
      <c r="Q51" s="382"/>
      <c r="R51" s="382"/>
    </row>
    <row r="52" spans="1:18" ht="15.65" customHeight="1">
      <c r="A52" s="593" t="s">
        <v>269</v>
      </c>
      <c r="B52" s="373">
        <v>0</v>
      </c>
      <c r="C52" s="398"/>
      <c r="D52" s="407"/>
      <c r="E52" s="439"/>
      <c r="F52" s="377" t="s">
        <v>253</v>
      </c>
      <c r="G52" s="370"/>
      <c r="H52" s="378">
        <f>F52*G52</f>
        <v>0</v>
      </c>
      <c r="I52" s="379"/>
      <c r="J52" s="380">
        <v>0</v>
      </c>
      <c r="K52" s="381">
        <v>0</v>
      </c>
      <c r="L52" s="382">
        <v>0</v>
      </c>
      <c r="M52" s="383"/>
      <c r="N52" s="383"/>
      <c r="O52" s="381"/>
      <c r="P52" s="384">
        <f>(N52-M52)*24*60</f>
        <v>0</v>
      </c>
      <c r="Q52" s="385"/>
      <c r="R52" s="385"/>
    </row>
    <row r="53" spans="1:18" ht="15.65" customHeight="1">
      <c r="A53" s="594"/>
      <c r="B53" s="373">
        <v>0</v>
      </c>
      <c r="C53" s="402"/>
      <c r="D53" s="440"/>
      <c r="E53" s="441"/>
      <c r="F53" s="377" t="s">
        <v>253</v>
      </c>
      <c r="G53" s="386"/>
      <c r="H53" s="378">
        <f t="shared" ref="H53:H62" si="16">F53*G53</f>
        <v>0</v>
      </c>
      <c r="I53" s="379"/>
      <c r="J53" s="380"/>
      <c r="K53" s="381"/>
      <c r="L53" s="382"/>
      <c r="M53" s="383"/>
      <c r="N53" s="383"/>
      <c r="O53" s="381"/>
      <c r="P53" s="384">
        <f t="shared" ref="P53:P63" si="17">(N53-M53)*24*60</f>
        <v>0</v>
      </c>
      <c r="Q53" s="385"/>
      <c r="R53" s="385"/>
    </row>
    <row r="54" spans="1:18" ht="15.65" customHeight="1">
      <c r="A54" s="594"/>
      <c r="B54" s="373">
        <v>0</v>
      </c>
      <c r="C54" s="402"/>
      <c r="D54" s="440"/>
      <c r="E54" s="404"/>
      <c r="F54" s="377" t="s">
        <v>253</v>
      </c>
      <c r="G54" s="386"/>
      <c r="H54" s="378">
        <f t="shared" si="16"/>
        <v>0</v>
      </c>
      <c r="I54" s="379"/>
      <c r="J54" s="380"/>
      <c r="K54" s="381"/>
      <c r="L54" s="382"/>
      <c r="M54" s="383"/>
      <c r="N54" s="383"/>
      <c r="O54" s="381"/>
      <c r="P54" s="384">
        <f t="shared" si="17"/>
        <v>0</v>
      </c>
      <c r="Q54" s="385"/>
      <c r="R54" s="385"/>
    </row>
    <row r="55" spans="1:18" ht="15.65" customHeight="1">
      <c r="A55" s="594"/>
      <c r="B55" s="373">
        <v>0</v>
      </c>
      <c r="C55" s="402"/>
      <c r="D55" s="407"/>
      <c r="E55" s="413"/>
      <c r="F55" s="377" t="s">
        <v>253</v>
      </c>
      <c r="G55" s="386"/>
      <c r="H55" s="378">
        <f t="shared" si="16"/>
        <v>0</v>
      </c>
      <c r="I55" s="379"/>
      <c r="J55" s="380"/>
      <c r="K55" s="381"/>
      <c r="L55" s="382"/>
      <c r="M55" s="383"/>
      <c r="N55" s="383"/>
      <c r="O55" s="381"/>
      <c r="P55" s="384">
        <f t="shared" si="17"/>
        <v>0</v>
      </c>
      <c r="Q55" s="385"/>
      <c r="R55" s="385"/>
    </row>
    <row r="56" spans="1:18" ht="15.65" customHeight="1">
      <c r="A56" s="594"/>
      <c r="B56" s="373">
        <v>0</v>
      </c>
      <c r="C56" s="442"/>
      <c r="D56" s="443"/>
      <c r="E56" s="413"/>
      <c r="F56" s="377" t="s">
        <v>253</v>
      </c>
      <c r="G56" s="386"/>
      <c r="H56" s="378">
        <f t="shared" si="16"/>
        <v>0</v>
      </c>
      <c r="I56" s="379"/>
      <c r="J56" s="380"/>
      <c r="K56" s="381"/>
      <c r="L56" s="382"/>
      <c r="M56" s="383"/>
      <c r="N56" s="383"/>
      <c r="O56" s="381"/>
      <c r="P56" s="384">
        <f t="shared" si="17"/>
        <v>0</v>
      </c>
      <c r="Q56" s="385"/>
      <c r="R56" s="385"/>
    </row>
    <row r="57" spans="1:18" ht="15.75" customHeight="1">
      <c r="A57" s="594"/>
      <c r="B57" s="373">
        <v>0</v>
      </c>
      <c r="C57" s="444" t="s">
        <v>62</v>
      </c>
      <c r="D57" s="445"/>
      <c r="E57" s="413"/>
      <c r="F57" s="377" t="s">
        <v>253</v>
      </c>
      <c r="G57" s="386"/>
      <c r="H57" s="378">
        <f t="shared" si="16"/>
        <v>0</v>
      </c>
      <c r="I57" s="379"/>
      <c r="J57" s="380"/>
      <c r="K57" s="381"/>
      <c r="L57" s="382"/>
      <c r="M57" s="383"/>
      <c r="N57" s="383"/>
      <c r="O57" s="381"/>
      <c r="P57" s="384">
        <f t="shared" si="17"/>
        <v>0</v>
      </c>
      <c r="Q57" s="385"/>
      <c r="R57" s="385"/>
    </row>
    <row r="58" spans="1:18" ht="15.65" customHeight="1">
      <c r="A58" s="594"/>
      <c r="B58" s="373">
        <v>0</v>
      </c>
      <c r="C58" s="446"/>
      <c r="D58" s="407"/>
      <c r="E58" s="413"/>
      <c r="F58" s="377" t="s">
        <v>253</v>
      </c>
      <c r="G58" s="447"/>
      <c r="H58" s="378">
        <f t="shared" si="16"/>
        <v>0</v>
      </c>
      <c r="I58" s="379"/>
      <c r="J58" s="380"/>
      <c r="K58" s="381"/>
      <c r="L58" s="382"/>
      <c r="M58" s="383"/>
      <c r="N58" s="383"/>
      <c r="O58" s="381"/>
      <c r="P58" s="384">
        <f t="shared" si="17"/>
        <v>0</v>
      </c>
      <c r="Q58" s="385"/>
      <c r="R58" s="385"/>
    </row>
    <row r="59" spans="1:18" ht="15.65" customHeight="1">
      <c r="A59" s="594"/>
      <c r="B59" s="373">
        <v>0</v>
      </c>
      <c r="C59" s="401"/>
      <c r="D59" s="443"/>
      <c r="E59" s="413"/>
      <c r="F59" s="377" t="s">
        <v>253</v>
      </c>
      <c r="G59" s="386"/>
      <c r="H59" s="378">
        <f t="shared" si="16"/>
        <v>0</v>
      </c>
      <c r="I59" s="379"/>
      <c r="J59" s="380"/>
      <c r="K59" s="381"/>
      <c r="L59" s="382"/>
      <c r="M59" s="383"/>
      <c r="N59" s="383"/>
      <c r="O59" s="381"/>
      <c r="P59" s="384">
        <f t="shared" si="17"/>
        <v>0</v>
      </c>
      <c r="Q59" s="385"/>
      <c r="R59" s="385"/>
    </row>
    <row r="60" spans="1:18" ht="15.65" customHeight="1">
      <c r="A60" s="594"/>
      <c r="B60" s="373">
        <v>0</v>
      </c>
      <c r="C60" s="402"/>
      <c r="D60" s="445"/>
      <c r="E60" s="448"/>
      <c r="F60" s="377" t="s">
        <v>253</v>
      </c>
      <c r="G60" s="386"/>
      <c r="H60" s="378">
        <f t="shared" si="16"/>
        <v>0</v>
      </c>
      <c r="I60" s="379"/>
      <c r="J60" s="380"/>
      <c r="K60" s="381"/>
      <c r="L60" s="382"/>
      <c r="M60" s="383"/>
      <c r="N60" s="383"/>
      <c r="O60" s="381"/>
      <c r="P60" s="384">
        <f t="shared" si="17"/>
        <v>0</v>
      </c>
      <c r="Q60" s="385"/>
      <c r="R60" s="385"/>
    </row>
    <row r="61" spans="1:18" ht="15.65" customHeight="1">
      <c r="A61" s="594"/>
      <c r="B61" s="373">
        <v>0</v>
      </c>
      <c r="C61" s="402"/>
      <c r="D61" s="440"/>
      <c r="E61" s="413"/>
      <c r="F61" s="377" t="s">
        <v>253</v>
      </c>
      <c r="G61" s="386"/>
      <c r="H61" s="378">
        <f t="shared" si="16"/>
        <v>0</v>
      </c>
      <c r="I61" s="379"/>
      <c r="J61" s="380"/>
      <c r="K61" s="381"/>
      <c r="L61" s="382"/>
      <c r="M61" s="383"/>
      <c r="N61" s="383"/>
      <c r="O61" s="381"/>
      <c r="P61" s="384">
        <f t="shared" si="17"/>
        <v>0</v>
      </c>
      <c r="Q61" s="385"/>
      <c r="R61" s="385"/>
    </row>
    <row r="62" spans="1:18" ht="15.65" customHeight="1">
      <c r="A62" s="594"/>
      <c r="B62" s="373">
        <v>0</v>
      </c>
      <c r="C62" s="402"/>
      <c r="D62" s="443"/>
      <c r="E62" s="449"/>
      <c r="F62" s="377" t="s">
        <v>253</v>
      </c>
      <c r="G62" s="386"/>
      <c r="H62" s="378">
        <f t="shared" si="16"/>
        <v>0</v>
      </c>
      <c r="I62" s="379"/>
      <c r="J62" s="380"/>
      <c r="K62" s="381"/>
      <c r="L62" s="382"/>
      <c r="M62" s="383"/>
      <c r="N62" s="383"/>
      <c r="O62" s="381"/>
      <c r="P62" s="384">
        <f t="shared" si="17"/>
        <v>0</v>
      </c>
      <c r="Q62" s="385"/>
      <c r="R62" s="385"/>
    </row>
    <row r="63" spans="1:18" ht="15.65" customHeight="1">
      <c r="A63" s="594"/>
      <c r="B63" s="373">
        <v>0</v>
      </c>
      <c r="C63" s="450"/>
      <c r="D63" s="451"/>
      <c r="E63" s="448"/>
      <c r="F63" s="377" t="s">
        <v>253</v>
      </c>
      <c r="G63" s="386"/>
      <c r="H63" s="378">
        <f t="shared" si="3"/>
        <v>0</v>
      </c>
      <c r="I63" s="430"/>
      <c r="J63" s="380"/>
      <c r="K63" s="381"/>
      <c r="L63" s="382"/>
      <c r="M63" s="383"/>
      <c r="N63" s="383"/>
      <c r="O63" s="372"/>
      <c r="P63" s="384">
        <f t="shared" si="17"/>
        <v>0</v>
      </c>
      <c r="Q63" s="385"/>
      <c r="R63" s="385"/>
    </row>
    <row r="64" spans="1:18" ht="15.75" customHeight="1">
      <c r="A64" s="595"/>
      <c r="B64" s="373">
        <v>0</v>
      </c>
      <c r="C64" s="452" t="s">
        <v>270</v>
      </c>
      <c r="D64" s="583" t="s">
        <v>114</v>
      </c>
      <c r="E64" s="583"/>
      <c r="F64" s="392"/>
      <c r="G64" s="397"/>
      <c r="H64" s="436"/>
      <c r="I64" s="437"/>
      <c r="J64" s="396">
        <f>AVERAGE(J52:J63)</f>
        <v>0</v>
      </c>
      <c r="K64" s="396">
        <f>AVERAGE(K52:K63)</f>
        <v>0</v>
      </c>
      <c r="L64" s="397">
        <f>AVERAGE(L52:L63)</f>
        <v>0</v>
      </c>
      <c r="M64" s="383"/>
      <c r="N64" s="383"/>
      <c r="O64" s="372"/>
      <c r="P64" s="372"/>
      <c r="Q64" s="372"/>
      <c r="R64" s="372"/>
    </row>
    <row r="65" spans="1:18" ht="15.65" customHeight="1">
      <c r="A65" s="580" t="s">
        <v>271</v>
      </c>
      <c r="B65" s="373" t="s">
        <v>250</v>
      </c>
      <c r="C65" s="398"/>
      <c r="D65" s="407" t="s">
        <v>308</v>
      </c>
      <c r="E65" s="439"/>
      <c r="F65" s="377">
        <v>25.03</v>
      </c>
      <c r="G65" s="370">
        <v>779</v>
      </c>
      <c r="H65" s="378">
        <f>F65*G65</f>
        <v>19498.370000000003</v>
      </c>
      <c r="I65" s="379"/>
      <c r="J65" s="380">
        <v>4</v>
      </c>
      <c r="K65" s="381">
        <f t="shared" ref="K65:K70" si="18">G65/P65*60</f>
        <v>3116.0000000000027</v>
      </c>
      <c r="L65" s="382">
        <f t="shared" ref="L65:L70" si="19">K65/J65</f>
        <v>779.00000000000068</v>
      </c>
      <c r="M65" s="383">
        <v>0.17361111111111113</v>
      </c>
      <c r="N65" s="383">
        <v>0.18402777777777779</v>
      </c>
      <c r="O65" s="381">
        <v>10</v>
      </c>
      <c r="P65" s="384">
        <f>(N65-M65)*24*60</f>
        <v>14.999999999999986</v>
      </c>
      <c r="Q65" s="385"/>
      <c r="R65" s="385"/>
    </row>
    <row r="66" spans="1:18" ht="15.65" customHeight="1">
      <c r="A66" s="581"/>
      <c r="B66" s="373" t="s">
        <v>250</v>
      </c>
      <c r="C66" s="402"/>
      <c r="D66" s="440" t="s">
        <v>309</v>
      </c>
      <c r="E66" s="441"/>
      <c r="F66" s="377">
        <v>24.82</v>
      </c>
      <c r="G66" s="386">
        <v>1043</v>
      </c>
      <c r="H66" s="378">
        <f t="shared" ref="H66:H74" si="20">F66*G66</f>
        <v>25887.260000000002</v>
      </c>
      <c r="I66" s="379"/>
      <c r="J66" s="380">
        <v>4</v>
      </c>
      <c r="K66" s="381">
        <f t="shared" si="18"/>
        <v>3476.6666666666642</v>
      </c>
      <c r="L66" s="382">
        <f t="shared" si="19"/>
        <v>869.16666666666606</v>
      </c>
      <c r="M66" s="383">
        <v>0.19791666666666666</v>
      </c>
      <c r="N66" s="383">
        <v>0.21041666666666667</v>
      </c>
      <c r="O66" s="381">
        <v>20</v>
      </c>
      <c r="P66" s="384">
        <f t="shared" ref="P66:P74" si="21">(N66-M66)*24*60</f>
        <v>18.000000000000014</v>
      </c>
      <c r="Q66" s="385"/>
      <c r="R66" s="385"/>
    </row>
    <row r="67" spans="1:18" ht="15.65" customHeight="1">
      <c r="A67" s="581"/>
      <c r="B67" s="373" t="s">
        <v>250</v>
      </c>
      <c r="C67" s="402"/>
      <c r="D67" s="440" t="s">
        <v>310</v>
      </c>
      <c r="E67" s="404"/>
      <c r="F67" s="377">
        <v>25.45</v>
      </c>
      <c r="G67" s="386">
        <v>380</v>
      </c>
      <c r="H67" s="378">
        <f t="shared" si="20"/>
        <v>9671</v>
      </c>
      <c r="I67" s="379"/>
      <c r="J67" s="380">
        <v>4</v>
      </c>
      <c r="K67" s="381">
        <f t="shared" si="18"/>
        <v>3257.1428571428687</v>
      </c>
      <c r="L67" s="382">
        <f t="shared" si="19"/>
        <v>814.28571428571718</v>
      </c>
      <c r="M67" s="383">
        <v>0.22430555555555556</v>
      </c>
      <c r="N67" s="383">
        <v>0.22916666666666666</v>
      </c>
      <c r="O67" s="381">
        <v>20</v>
      </c>
      <c r="P67" s="384">
        <f t="shared" si="21"/>
        <v>6.9999999999999751</v>
      </c>
      <c r="Q67" s="385"/>
      <c r="R67" s="385"/>
    </row>
    <row r="68" spans="1:18" ht="15.65" customHeight="1">
      <c r="A68" s="581"/>
      <c r="B68" s="373" t="s">
        <v>250</v>
      </c>
      <c r="C68" s="402"/>
      <c r="D68" s="407" t="s">
        <v>311</v>
      </c>
      <c r="E68" s="413"/>
      <c r="F68" s="377">
        <v>30</v>
      </c>
      <c r="G68" s="386">
        <v>1688</v>
      </c>
      <c r="H68" s="378">
        <f t="shared" si="20"/>
        <v>50640</v>
      </c>
      <c r="I68" s="379"/>
      <c r="J68" s="380">
        <v>4</v>
      </c>
      <c r="K68" s="381">
        <f t="shared" si="18"/>
        <v>3267.0967741935474</v>
      </c>
      <c r="L68" s="382">
        <f t="shared" si="19"/>
        <v>816.77419354838685</v>
      </c>
      <c r="M68" s="383">
        <v>0.24305555555555555</v>
      </c>
      <c r="N68" s="383">
        <v>0.26458333333333334</v>
      </c>
      <c r="O68" s="381">
        <v>20</v>
      </c>
      <c r="P68" s="384">
        <f t="shared" si="21"/>
        <v>31.000000000000011</v>
      </c>
      <c r="Q68" s="385"/>
      <c r="R68" s="385"/>
    </row>
    <row r="69" spans="1:18" ht="15.65" customHeight="1">
      <c r="A69" s="581"/>
      <c r="B69" s="373" t="s">
        <v>250</v>
      </c>
      <c r="C69" s="442"/>
      <c r="D69" s="443" t="s">
        <v>272</v>
      </c>
      <c r="E69" s="413"/>
      <c r="F69" s="377">
        <v>14.285714285714283</v>
      </c>
      <c r="G69" s="386">
        <v>3919</v>
      </c>
      <c r="H69" s="378">
        <f t="shared" si="20"/>
        <v>55985.714285714275</v>
      </c>
      <c r="I69" s="379"/>
      <c r="J69" s="380">
        <v>3</v>
      </c>
      <c r="K69" s="381">
        <f t="shared" si="18"/>
        <v>3221.0958904109593</v>
      </c>
      <c r="L69" s="382">
        <f t="shared" si="19"/>
        <v>1073.6986301369864</v>
      </c>
      <c r="M69" s="383">
        <v>0.27847222222222223</v>
      </c>
      <c r="N69" s="383">
        <v>0.32916666666666666</v>
      </c>
      <c r="O69" s="381">
        <v>20</v>
      </c>
      <c r="P69" s="384">
        <f t="shared" si="21"/>
        <v>72.999999999999986</v>
      </c>
      <c r="Q69" s="385">
        <v>0.32916666666666666</v>
      </c>
      <c r="R69" s="385">
        <v>0.37083333333333335</v>
      </c>
    </row>
    <row r="70" spans="1:18" ht="15.75" customHeight="1">
      <c r="A70" s="581"/>
      <c r="B70" s="373" t="s">
        <v>250</v>
      </c>
      <c r="C70" s="444" t="s">
        <v>62</v>
      </c>
      <c r="D70" s="445" t="s">
        <v>312</v>
      </c>
      <c r="E70" s="413"/>
      <c r="F70" s="377">
        <v>14.03</v>
      </c>
      <c r="G70" s="386">
        <v>2659</v>
      </c>
      <c r="H70" s="378">
        <f t="shared" si="20"/>
        <v>37305.769999999997</v>
      </c>
      <c r="I70" s="379"/>
      <c r="J70" s="380">
        <v>3</v>
      </c>
      <c r="K70" s="381">
        <f t="shared" si="18"/>
        <v>3323.749999999995</v>
      </c>
      <c r="L70" s="382">
        <f t="shared" si="19"/>
        <v>1107.9166666666649</v>
      </c>
      <c r="M70" s="383">
        <v>0.38472222222222219</v>
      </c>
      <c r="N70" s="383">
        <v>0.41805555555555557</v>
      </c>
      <c r="O70" s="381">
        <v>20</v>
      </c>
      <c r="P70" s="384">
        <f t="shared" si="21"/>
        <v>48.000000000000071</v>
      </c>
      <c r="Q70" s="385"/>
      <c r="R70" s="385"/>
    </row>
    <row r="71" spans="1:18" ht="15.65" customHeight="1">
      <c r="A71" s="581"/>
      <c r="B71" s="373">
        <v>0</v>
      </c>
      <c r="C71" s="446"/>
      <c r="D71" s="407"/>
      <c r="E71" s="413"/>
      <c r="F71" s="377" t="s">
        <v>253</v>
      </c>
      <c r="G71" s="447"/>
      <c r="H71" s="378">
        <f t="shared" si="20"/>
        <v>0</v>
      </c>
      <c r="I71" s="379"/>
      <c r="J71" s="380"/>
      <c r="K71" s="381"/>
      <c r="L71" s="382"/>
      <c r="M71" s="383"/>
      <c r="N71" s="383"/>
      <c r="O71" s="381"/>
      <c r="P71" s="384">
        <f t="shared" si="21"/>
        <v>0</v>
      </c>
      <c r="Q71" s="385"/>
      <c r="R71" s="385"/>
    </row>
    <row r="72" spans="1:18" ht="15.65" customHeight="1">
      <c r="A72" s="581"/>
      <c r="B72" s="373">
        <v>0</v>
      </c>
      <c r="C72" s="401"/>
      <c r="D72" s="443"/>
      <c r="E72" s="413"/>
      <c r="F72" s="377" t="s">
        <v>253</v>
      </c>
      <c r="G72" s="386"/>
      <c r="H72" s="378">
        <f t="shared" si="20"/>
        <v>0</v>
      </c>
      <c r="I72" s="379"/>
      <c r="J72" s="380"/>
      <c r="K72" s="381"/>
      <c r="L72" s="382"/>
      <c r="M72" s="383"/>
      <c r="N72" s="383"/>
      <c r="O72" s="381"/>
      <c r="P72" s="384">
        <f t="shared" si="21"/>
        <v>0</v>
      </c>
      <c r="Q72" s="385"/>
      <c r="R72" s="385"/>
    </row>
    <row r="73" spans="1:18" ht="15.65" customHeight="1">
      <c r="A73" s="581"/>
      <c r="B73" s="373">
        <v>0</v>
      </c>
      <c r="C73" s="402"/>
      <c r="D73" s="443"/>
      <c r="E73" s="413"/>
      <c r="F73" s="377" t="s">
        <v>253</v>
      </c>
      <c r="G73" s="386"/>
      <c r="H73" s="378">
        <f t="shared" si="20"/>
        <v>0</v>
      </c>
      <c r="I73" s="379"/>
      <c r="J73" s="380"/>
      <c r="K73" s="381"/>
      <c r="L73" s="382"/>
      <c r="M73" s="383"/>
      <c r="N73" s="383"/>
      <c r="O73" s="381"/>
      <c r="P73" s="384">
        <f t="shared" si="21"/>
        <v>0</v>
      </c>
      <c r="Q73" s="385"/>
      <c r="R73" s="385"/>
    </row>
    <row r="74" spans="1:18" ht="15.65" customHeight="1">
      <c r="A74" s="581"/>
      <c r="B74" s="373">
        <v>0</v>
      </c>
      <c r="C74" s="402"/>
      <c r="D74" s="443"/>
      <c r="E74" s="413"/>
      <c r="F74" s="377" t="s">
        <v>253</v>
      </c>
      <c r="G74" s="386"/>
      <c r="H74" s="378">
        <f t="shared" si="20"/>
        <v>0</v>
      </c>
      <c r="I74" s="379"/>
      <c r="J74" s="380"/>
      <c r="K74" s="381"/>
      <c r="L74" s="382"/>
      <c r="M74" s="383"/>
      <c r="N74" s="383"/>
      <c r="O74" s="381"/>
      <c r="P74" s="384">
        <f t="shared" si="21"/>
        <v>0</v>
      </c>
      <c r="Q74" s="385"/>
      <c r="R74" s="385"/>
    </row>
    <row r="75" spans="1:18" ht="15.75" customHeight="1">
      <c r="A75" s="582"/>
      <c r="B75" s="373">
        <v>0</v>
      </c>
      <c r="C75" s="452" t="s">
        <v>273</v>
      </c>
      <c r="D75" s="583" t="s">
        <v>114</v>
      </c>
      <c r="E75" s="583"/>
      <c r="F75" s="392"/>
      <c r="G75" s="397"/>
      <c r="H75" s="436"/>
      <c r="I75" s="437"/>
      <c r="J75" s="396">
        <f>AVERAGE(J65:J74)</f>
        <v>3.6666666666666665</v>
      </c>
      <c r="K75" s="396">
        <f>AVERAGE(K65:K74)</f>
        <v>3276.958698069006</v>
      </c>
      <c r="L75" s="397">
        <f>AVERAGE(L65:L74)</f>
        <v>910.14031188407034</v>
      </c>
      <c r="M75" s="383"/>
      <c r="N75" s="383"/>
      <c r="O75" s="372"/>
      <c r="P75" s="372"/>
      <c r="Q75" s="372"/>
      <c r="R75" s="372"/>
    </row>
    <row r="76" spans="1:18" ht="16.25" customHeight="1">
      <c r="A76" s="584" t="s">
        <v>274</v>
      </c>
      <c r="B76" s="373">
        <v>0</v>
      </c>
      <c r="C76" s="453"/>
      <c r="D76" s="566"/>
      <c r="E76" s="567"/>
      <c r="F76" s="377" t="s">
        <v>253</v>
      </c>
      <c r="G76" s="454"/>
      <c r="H76" s="399">
        <f t="shared" si="3"/>
        <v>0</v>
      </c>
      <c r="I76" s="400"/>
      <c r="J76" s="380">
        <v>0</v>
      </c>
      <c r="K76" s="381">
        <v>0</v>
      </c>
      <c r="L76" s="382">
        <v>0</v>
      </c>
      <c r="M76" s="383"/>
      <c r="N76" s="383"/>
      <c r="O76" s="372"/>
      <c r="P76" s="384">
        <f t="shared" si="2"/>
        <v>0</v>
      </c>
      <c r="Q76" s="385"/>
      <c r="R76" s="385"/>
    </row>
    <row r="77" spans="1:18">
      <c r="A77" s="584"/>
      <c r="B77" s="373">
        <v>0</v>
      </c>
      <c r="C77" s="455"/>
      <c r="D77" s="566"/>
      <c r="E77" s="567"/>
      <c r="F77" s="377" t="s">
        <v>253</v>
      </c>
      <c r="G77" s="370"/>
      <c r="H77" s="378">
        <f t="shared" si="3"/>
        <v>0</v>
      </c>
      <c r="I77" s="379"/>
      <c r="J77" s="380"/>
      <c r="K77" s="381"/>
      <c r="L77" s="382"/>
      <c r="M77" s="383"/>
      <c r="N77" s="383"/>
      <c r="O77" s="372"/>
      <c r="P77" s="384">
        <f t="shared" si="2"/>
        <v>0</v>
      </c>
      <c r="Q77" s="372"/>
      <c r="R77" s="372"/>
    </row>
    <row r="78" spans="1:18">
      <c r="A78" s="584"/>
      <c r="B78" s="373">
        <v>0</v>
      </c>
      <c r="C78" s="456"/>
      <c r="D78" s="457"/>
      <c r="E78" s="457"/>
      <c r="F78" s="377" t="s">
        <v>253</v>
      </c>
      <c r="G78" s="417"/>
      <c r="H78" s="378">
        <f t="shared" si="3"/>
        <v>0</v>
      </c>
      <c r="I78" s="379"/>
      <c r="J78" s="380"/>
      <c r="K78" s="381"/>
      <c r="L78" s="382"/>
      <c r="M78" s="383"/>
      <c r="N78" s="383"/>
      <c r="O78" s="372"/>
      <c r="P78" s="384">
        <f t="shared" si="2"/>
        <v>0</v>
      </c>
      <c r="Q78" s="372"/>
      <c r="R78" s="372"/>
    </row>
    <row r="79" spans="1:18">
      <c r="A79" s="584"/>
      <c r="B79" s="373">
        <v>0</v>
      </c>
      <c r="C79" s="456"/>
      <c r="D79" s="457"/>
      <c r="E79" s="457"/>
      <c r="F79" s="377" t="s">
        <v>253</v>
      </c>
      <c r="G79" s="417"/>
      <c r="H79" s="378">
        <f t="shared" si="3"/>
        <v>0</v>
      </c>
      <c r="I79" s="379"/>
      <c r="J79" s="380"/>
      <c r="K79" s="381"/>
      <c r="L79" s="382"/>
      <c r="M79" s="383"/>
      <c r="N79" s="383"/>
      <c r="O79" s="372"/>
      <c r="P79" s="384">
        <f t="shared" si="2"/>
        <v>0</v>
      </c>
      <c r="Q79" s="372"/>
      <c r="R79" s="372"/>
    </row>
    <row r="80" spans="1:18">
      <c r="A80" s="584"/>
      <c r="B80" s="373">
        <v>0</v>
      </c>
      <c r="C80" s="456"/>
      <c r="D80" s="457"/>
      <c r="E80" s="457"/>
      <c r="F80" s="377" t="s">
        <v>253</v>
      </c>
      <c r="G80" s="417"/>
      <c r="H80" s="378">
        <f t="shared" si="3"/>
        <v>0</v>
      </c>
      <c r="I80" s="379"/>
      <c r="J80" s="380"/>
      <c r="K80" s="381"/>
      <c r="L80" s="382"/>
      <c r="M80" s="383"/>
      <c r="N80" s="383"/>
      <c r="O80" s="372"/>
      <c r="P80" s="384">
        <f t="shared" si="2"/>
        <v>0</v>
      </c>
      <c r="Q80" s="372"/>
      <c r="R80" s="372"/>
    </row>
    <row r="81" spans="1:18" ht="15.75" customHeight="1">
      <c r="A81" s="584"/>
      <c r="B81" s="373">
        <v>0</v>
      </c>
      <c r="C81" s="444" t="s">
        <v>62</v>
      </c>
      <c r="D81" s="578" t="s">
        <v>114</v>
      </c>
      <c r="E81" s="578"/>
      <c r="F81" s="392"/>
      <c r="G81" s="458"/>
      <c r="H81" s="394"/>
      <c r="I81" s="395"/>
      <c r="J81" s="396">
        <f>AVERAGE(J76:J80)</f>
        <v>0</v>
      </c>
      <c r="K81" s="396">
        <f>AVERAGE(K76:K80)</f>
        <v>0</v>
      </c>
      <c r="L81" s="397">
        <f>AVERAGE(L76:L80)</f>
        <v>0</v>
      </c>
      <c r="M81" s="383"/>
      <c r="N81" s="383"/>
      <c r="O81" s="372"/>
      <c r="P81" s="372"/>
      <c r="Q81" s="372"/>
      <c r="R81" s="372"/>
    </row>
    <row r="82" spans="1:18" ht="15.65" customHeight="1">
      <c r="A82" s="569" t="s">
        <v>275</v>
      </c>
      <c r="B82" s="373" t="s">
        <v>250</v>
      </c>
      <c r="C82" s="460"/>
      <c r="D82" s="407" t="s">
        <v>313</v>
      </c>
      <c r="E82" s="421"/>
      <c r="F82" s="377">
        <v>18.18</v>
      </c>
      <c r="G82" s="417">
        <v>1138</v>
      </c>
      <c r="H82" s="459">
        <f t="shared" ref="H82:H86" si="22">F82*G82</f>
        <v>20688.84</v>
      </c>
      <c r="I82" s="379"/>
      <c r="J82" s="380">
        <v>3</v>
      </c>
      <c r="K82" s="381">
        <f t="shared" ref="K82:K86" si="23">G82/P82*60</f>
        <v>2731.1999999999921</v>
      </c>
      <c r="L82" s="382">
        <f t="shared" ref="L82:L86" si="24">K82/J82</f>
        <v>910.39999999999736</v>
      </c>
      <c r="M82" s="383">
        <v>0.72222222222222221</v>
      </c>
      <c r="N82" s="383">
        <v>0.73958333333333337</v>
      </c>
      <c r="O82" s="381">
        <v>20</v>
      </c>
      <c r="P82" s="384">
        <f>(N82-M82)*24*60</f>
        <v>25.000000000000071</v>
      </c>
      <c r="Q82" s="385"/>
      <c r="R82" s="385"/>
    </row>
    <row r="83" spans="1:18">
      <c r="A83" s="570"/>
      <c r="B83" s="373" t="s">
        <v>250</v>
      </c>
      <c r="C83" s="460"/>
      <c r="D83" s="407" t="s">
        <v>314</v>
      </c>
      <c r="E83" s="421"/>
      <c r="F83" s="377">
        <v>18.18</v>
      </c>
      <c r="G83" s="417">
        <v>401</v>
      </c>
      <c r="H83" s="459">
        <f t="shared" si="22"/>
        <v>7290.18</v>
      </c>
      <c r="I83" s="379"/>
      <c r="J83" s="380">
        <v>4</v>
      </c>
      <c r="K83" s="381">
        <f t="shared" si="23"/>
        <v>2406.0000000000086</v>
      </c>
      <c r="L83" s="382">
        <f t="shared" si="24"/>
        <v>601.50000000000216</v>
      </c>
      <c r="M83" s="383">
        <v>0.75347222222222221</v>
      </c>
      <c r="N83" s="383">
        <v>0.76041666666666663</v>
      </c>
      <c r="O83" s="381">
        <v>20</v>
      </c>
      <c r="P83" s="384">
        <f>(N83-M83)*24*60</f>
        <v>9.9999999999999645</v>
      </c>
      <c r="Q83" s="385"/>
      <c r="R83" s="385"/>
    </row>
    <row r="84" spans="1:18">
      <c r="A84" s="570"/>
      <c r="B84" s="373" t="s">
        <v>250</v>
      </c>
      <c r="C84" s="460"/>
      <c r="D84" s="407" t="s">
        <v>276</v>
      </c>
      <c r="E84" s="421"/>
      <c r="F84" s="377">
        <v>16.66</v>
      </c>
      <c r="G84" s="417">
        <v>5076</v>
      </c>
      <c r="H84" s="461">
        <f t="shared" si="22"/>
        <v>84566.16</v>
      </c>
      <c r="I84" s="379"/>
      <c r="J84" s="380">
        <v>4</v>
      </c>
      <c r="K84" s="381">
        <f t="shared" si="23"/>
        <v>2768.7272727272666</v>
      </c>
      <c r="L84" s="382">
        <f t="shared" si="24"/>
        <v>692.18181818181665</v>
      </c>
      <c r="M84" s="383">
        <v>0.77430555555555547</v>
      </c>
      <c r="N84" s="383">
        <v>0.85069444444444453</v>
      </c>
      <c r="O84" s="381">
        <v>20</v>
      </c>
      <c r="P84" s="423">
        <f t="shared" ref="P84:P85" si="25">(N84-M84)*24*60</f>
        <v>110.00000000000026</v>
      </c>
      <c r="Q84" s="385">
        <v>0.85069444444444453</v>
      </c>
      <c r="R84" s="385">
        <v>0.89236111111111116</v>
      </c>
    </row>
    <row r="85" spans="1:18">
      <c r="A85" s="570"/>
      <c r="B85" s="373" t="s">
        <v>250</v>
      </c>
      <c r="C85" s="460"/>
      <c r="D85" s="407" t="s">
        <v>277</v>
      </c>
      <c r="E85" s="421"/>
      <c r="F85" s="377">
        <v>22.281818181818181</v>
      </c>
      <c r="G85" s="417">
        <v>937</v>
      </c>
      <c r="H85" s="461">
        <f t="shared" si="22"/>
        <v>20878.063636363637</v>
      </c>
      <c r="I85" s="379"/>
      <c r="J85" s="380">
        <v>4</v>
      </c>
      <c r="K85" s="381">
        <f t="shared" si="23"/>
        <v>2811.00000000001</v>
      </c>
      <c r="L85" s="382">
        <f t="shared" si="24"/>
        <v>702.7500000000025</v>
      </c>
      <c r="M85" s="383">
        <v>0.90625</v>
      </c>
      <c r="N85" s="383">
        <v>0.92013888888888884</v>
      </c>
      <c r="O85" s="381">
        <v>20</v>
      </c>
      <c r="P85" s="423">
        <f t="shared" si="25"/>
        <v>19.999999999999929</v>
      </c>
      <c r="Q85" s="372"/>
      <c r="R85" s="372"/>
    </row>
    <row r="86" spans="1:18">
      <c r="A86" s="570"/>
      <c r="B86" s="373">
        <v>0</v>
      </c>
      <c r="C86" s="409"/>
      <c r="D86" s="407" t="s">
        <v>278</v>
      </c>
      <c r="E86" s="421"/>
      <c r="F86" s="377">
        <v>17.890909090909091</v>
      </c>
      <c r="G86" s="370">
        <v>3515</v>
      </c>
      <c r="H86" s="461">
        <f t="shared" si="22"/>
        <v>62886.545454545456</v>
      </c>
      <c r="I86" s="379"/>
      <c r="J86" s="380">
        <v>3</v>
      </c>
      <c r="K86" s="381">
        <f t="shared" si="23"/>
        <v>2811.9999999999977</v>
      </c>
      <c r="L86" s="382">
        <f t="shared" si="24"/>
        <v>937.33333333333258</v>
      </c>
      <c r="M86" s="383">
        <v>0.93402777777777779</v>
      </c>
      <c r="N86" s="463">
        <v>0.98611111111111116</v>
      </c>
      <c r="O86" s="372">
        <v>20</v>
      </c>
      <c r="P86" s="423">
        <f>(N86-M86)*24*60</f>
        <v>75.000000000000057</v>
      </c>
      <c r="Q86" s="372"/>
      <c r="R86" s="372"/>
    </row>
    <row r="87" spans="1:18">
      <c r="A87" s="570"/>
      <c r="B87" s="373">
        <v>0</v>
      </c>
      <c r="C87" s="409"/>
      <c r="D87" s="407"/>
      <c r="E87" s="421"/>
      <c r="F87" s="377"/>
      <c r="G87" s="370"/>
      <c r="H87" s="461"/>
      <c r="I87" s="379"/>
      <c r="J87" s="380"/>
      <c r="K87" s="381"/>
      <c r="L87" s="382"/>
      <c r="M87" s="383"/>
      <c r="N87" s="463"/>
      <c r="O87" s="372"/>
      <c r="P87" s="423"/>
      <c r="Q87" s="372"/>
      <c r="R87" s="372"/>
    </row>
    <row r="88" spans="1:18">
      <c r="A88" s="570"/>
      <c r="B88" s="373">
        <v>0</v>
      </c>
      <c r="C88" s="409"/>
      <c r="D88" s="407"/>
      <c r="E88" s="421"/>
      <c r="F88" s="377" t="s">
        <v>253</v>
      </c>
      <c r="G88" s="370"/>
      <c r="H88" s="461">
        <f t="shared" ref="H88:H90" si="26">F88*G88</f>
        <v>0</v>
      </c>
      <c r="I88" s="379"/>
      <c r="J88" s="380"/>
      <c r="K88" s="381"/>
      <c r="L88" s="382"/>
      <c r="M88" s="383"/>
      <c r="N88" s="463"/>
      <c r="O88" s="372"/>
      <c r="P88" s="423">
        <f t="shared" ref="P88:P90" si="27">(N88-M88)*24*60</f>
        <v>0</v>
      </c>
      <c r="Q88" s="372"/>
      <c r="R88" s="372"/>
    </row>
    <row r="89" spans="1:18">
      <c r="A89" s="570"/>
      <c r="B89" s="373">
        <v>0</v>
      </c>
      <c r="C89" s="409"/>
      <c r="D89" s="407"/>
      <c r="E89" s="421"/>
      <c r="F89" s="377" t="s">
        <v>253</v>
      </c>
      <c r="G89" s="370"/>
      <c r="H89" s="461">
        <f t="shared" si="26"/>
        <v>0</v>
      </c>
      <c r="I89" s="379"/>
      <c r="J89" s="380"/>
      <c r="K89" s="381"/>
      <c r="L89" s="382"/>
      <c r="M89" s="383"/>
      <c r="N89" s="463"/>
      <c r="O89" s="372"/>
      <c r="P89" s="423">
        <f t="shared" si="27"/>
        <v>0</v>
      </c>
      <c r="Q89" s="372"/>
      <c r="R89" s="372"/>
    </row>
    <row r="90" spans="1:18">
      <c r="A90" s="570"/>
      <c r="B90" s="373">
        <v>0</v>
      </c>
      <c r="C90" s="409"/>
      <c r="D90" s="407"/>
      <c r="E90" s="421"/>
      <c r="F90" s="377" t="s">
        <v>253</v>
      </c>
      <c r="G90" s="370"/>
      <c r="H90" s="461">
        <f t="shared" si="26"/>
        <v>0</v>
      </c>
      <c r="I90" s="379"/>
      <c r="J90" s="380"/>
      <c r="K90" s="381"/>
      <c r="L90" s="382"/>
      <c r="M90" s="383"/>
      <c r="N90" s="463"/>
      <c r="O90" s="372"/>
      <c r="P90" s="423">
        <f t="shared" si="27"/>
        <v>0</v>
      </c>
      <c r="Q90" s="372"/>
      <c r="R90" s="372"/>
    </row>
    <row r="91" spans="1:18" ht="17.399999999999999" customHeight="1">
      <c r="A91" s="570"/>
      <c r="B91" s="373">
        <v>0</v>
      </c>
      <c r="C91" s="12" t="s">
        <v>262</v>
      </c>
      <c r="D91" s="571" t="s">
        <v>114</v>
      </c>
      <c r="E91" s="571"/>
      <c r="F91" s="392"/>
      <c r="G91" s="464"/>
      <c r="H91" s="465"/>
      <c r="I91" s="395"/>
      <c r="J91" s="396">
        <f>AVERAGE(J82:J90)</f>
        <v>3.6</v>
      </c>
      <c r="K91" s="396">
        <f>AVERAGE(K82:K90)</f>
        <v>2705.7854545454547</v>
      </c>
      <c r="L91" s="397">
        <f>AVERAGE(L82:L90)</f>
        <v>768.83303030303023</v>
      </c>
      <c r="M91" s="383"/>
      <c r="N91" s="383"/>
      <c r="O91" s="381"/>
      <c r="P91" s="381"/>
      <c r="Q91" s="382"/>
      <c r="R91" s="382"/>
    </row>
    <row r="92" spans="1:18" ht="16.25" customHeight="1">
      <c r="A92" s="572" t="s">
        <v>279</v>
      </c>
      <c r="B92" s="373" t="s">
        <v>250</v>
      </c>
      <c r="C92" s="466"/>
      <c r="D92" s="443" t="s">
        <v>280</v>
      </c>
      <c r="E92" s="424"/>
      <c r="F92" s="377">
        <v>24.54</v>
      </c>
      <c r="G92" s="370">
        <v>2208</v>
      </c>
      <c r="H92" s="378">
        <f t="shared" ref="H92" si="28">F92*G92</f>
        <v>54184.32</v>
      </c>
      <c r="I92" s="379"/>
      <c r="J92" s="380">
        <v>3</v>
      </c>
      <c r="K92" s="381">
        <f t="shared" ref="K92:K95" si="29">G92/P92*60</f>
        <v>2208.0000000000018</v>
      </c>
      <c r="L92" s="382">
        <f t="shared" ref="L92:L95" si="30">K92/J92</f>
        <v>736.00000000000057</v>
      </c>
      <c r="M92" s="383">
        <v>0.72222222222222221</v>
      </c>
      <c r="N92" s="383">
        <v>0.76388888888888884</v>
      </c>
      <c r="O92" s="372">
        <v>20</v>
      </c>
      <c r="P92" s="384">
        <f>(N92-M92)*24*60</f>
        <v>59.999999999999943</v>
      </c>
      <c r="Q92" s="385"/>
      <c r="R92" s="385"/>
    </row>
    <row r="93" spans="1:18">
      <c r="A93" s="573"/>
      <c r="B93" s="373" t="s">
        <v>250</v>
      </c>
      <c r="C93" s="466"/>
      <c r="D93" s="407" t="s">
        <v>316</v>
      </c>
      <c r="E93" s="421"/>
      <c r="F93" s="377">
        <v>22.48</v>
      </c>
      <c r="G93" s="370">
        <v>1987</v>
      </c>
      <c r="H93" s="378">
        <f>F93*G93</f>
        <v>44667.76</v>
      </c>
      <c r="I93" s="379"/>
      <c r="J93" s="380">
        <v>4</v>
      </c>
      <c r="K93" s="381">
        <f t="shared" si="29"/>
        <v>2167.6363636363653</v>
      </c>
      <c r="L93" s="382">
        <f t="shared" si="30"/>
        <v>541.90909090909133</v>
      </c>
      <c r="M93" s="383">
        <v>0.77777777777777779</v>
      </c>
      <c r="N93" s="383">
        <v>0.81597222222222221</v>
      </c>
      <c r="O93" s="372">
        <v>20</v>
      </c>
      <c r="P93" s="384">
        <f>(N93-M93)*24*60</f>
        <v>54.999999999999964</v>
      </c>
      <c r="Q93" s="385"/>
      <c r="R93" s="385"/>
    </row>
    <row r="94" spans="1:18">
      <c r="A94" s="573"/>
      <c r="B94" s="373" t="s">
        <v>250</v>
      </c>
      <c r="C94" s="391"/>
      <c r="D94" s="443" t="s">
        <v>317</v>
      </c>
      <c r="E94" s="421"/>
      <c r="F94" s="377">
        <v>16.7</v>
      </c>
      <c r="G94" s="386">
        <v>1408</v>
      </c>
      <c r="H94" s="378">
        <f>F94*G94</f>
        <v>23513.599999999999</v>
      </c>
      <c r="I94" s="379"/>
      <c r="J94" s="380">
        <v>3</v>
      </c>
      <c r="K94" s="381">
        <f t="shared" si="29"/>
        <v>2815.999999999995</v>
      </c>
      <c r="L94" s="382">
        <f t="shared" si="30"/>
        <v>938.66666666666504</v>
      </c>
      <c r="M94" s="383">
        <v>0.82986111111111116</v>
      </c>
      <c r="N94" s="383">
        <v>0.85069444444444453</v>
      </c>
      <c r="O94" s="372">
        <v>20</v>
      </c>
      <c r="P94" s="384">
        <f>(N94-M94)*24*60</f>
        <v>30.000000000000053</v>
      </c>
      <c r="Q94" s="385"/>
      <c r="R94" s="385"/>
    </row>
    <row r="95" spans="1:18">
      <c r="A95" s="574"/>
      <c r="B95" s="373" t="s">
        <v>250</v>
      </c>
      <c r="C95" s="391"/>
      <c r="D95" s="443" t="s">
        <v>318</v>
      </c>
      <c r="E95" s="448"/>
      <c r="F95" s="377">
        <v>28.57</v>
      </c>
      <c r="G95" s="386">
        <v>2884</v>
      </c>
      <c r="H95" s="378">
        <f>F95*G95</f>
        <v>82395.88</v>
      </c>
      <c r="I95" s="379"/>
      <c r="J95" s="380">
        <v>3</v>
      </c>
      <c r="K95" s="381">
        <f t="shared" si="29"/>
        <v>2884.0000000000027</v>
      </c>
      <c r="L95" s="382">
        <f t="shared" si="30"/>
        <v>961.33333333333428</v>
      </c>
      <c r="M95" s="383">
        <v>0.86458333333333337</v>
      </c>
      <c r="N95" s="383">
        <v>0.90625</v>
      </c>
      <c r="O95" s="372">
        <v>20</v>
      </c>
      <c r="P95" s="384">
        <f>(N95-M95)*24*60</f>
        <v>59.999999999999943</v>
      </c>
      <c r="Q95" s="385"/>
      <c r="R95" s="385"/>
    </row>
    <row r="96" spans="1:18">
      <c r="A96" s="574"/>
      <c r="B96" s="373"/>
      <c r="C96" s="391"/>
      <c r="D96" s="443"/>
      <c r="E96" s="448"/>
      <c r="F96" s="377"/>
      <c r="G96" s="386"/>
      <c r="H96" s="378"/>
      <c r="I96" s="379"/>
      <c r="J96" s="380"/>
      <c r="K96" s="381"/>
      <c r="L96" s="382"/>
      <c r="M96" s="383"/>
      <c r="N96" s="383"/>
      <c r="O96" s="372"/>
      <c r="P96" s="384"/>
      <c r="Q96" s="385"/>
      <c r="R96" s="385"/>
    </row>
    <row r="97" spans="1:18">
      <c r="A97" s="574"/>
      <c r="B97" s="373"/>
      <c r="C97" s="391"/>
      <c r="D97" s="407"/>
      <c r="E97" s="448"/>
      <c r="F97" s="377"/>
      <c r="G97" s="386"/>
      <c r="H97" s="378"/>
      <c r="I97" s="379"/>
      <c r="J97" s="380"/>
      <c r="K97" s="381"/>
      <c r="L97" s="382"/>
      <c r="M97" s="383"/>
      <c r="N97" s="383"/>
      <c r="O97" s="372"/>
      <c r="P97" s="384"/>
      <c r="Q97" s="385"/>
      <c r="R97" s="385"/>
    </row>
    <row r="98" spans="1:18">
      <c r="A98" s="574"/>
      <c r="B98" s="373"/>
      <c r="C98" s="391"/>
      <c r="D98" s="407"/>
      <c r="E98" s="448"/>
      <c r="F98" s="377"/>
      <c r="G98" s="386"/>
      <c r="H98" s="378"/>
      <c r="I98" s="379"/>
      <c r="J98" s="380"/>
      <c r="K98" s="381"/>
      <c r="L98" s="382"/>
      <c r="M98" s="383"/>
      <c r="N98" s="383"/>
      <c r="O98" s="372"/>
      <c r="P98" s="384"/>
      <c r="Q98" s="385"/>
      <c r="R98" s="385"/>
    </row>
    <row r="99" spans="1:18">
      <c r="A99" s="574"/>
      <c r="B99" s="373">
        <v>0</v>
      </c>
      <c r="C99" s="391"/>
      <c r="D99" s="407"/>
      <c r="E99" s="448"/>
      <c r="F99" s="377" t="s">
        <v>253</v>
      </c>
      <c r="G99" s="386"/>
      <c r="H99" s="378">
        <f>F99*G99</f>
        <v>0</v>
      </c>
      <c r="I99" s="379"/>
      <c r="J99" s="380"/>
      <c r="K99" s="381"/>
      <c r="L99" s="382"/>
      <c r="M99" s="383"/>
      <c r="N99" s="383"/>
      <c r="O99" s="372"/>
      <c r="P99" s="384"/>
      <c r="Q99" s="385"/>
      <c r="R99" s="385"/>
    </row>
    <row r="100" spans="1:18" ht="15.75" customHeight="1">
      <c r="A100" s="574"/>
      <c r="B100" s="373">
        <v>0</v>
      </c>
      <c r="C100" s="12" t="s">
        <v>281</v>
      </c>
      <c r="D100" s="575" t="s">
        <v>114</v>
      </c>
      <c r="E100" s="576"/>
      <c r="F100" s="392"/>
      <c r="G100" s="393"/>
      <c r="H100" s="467"/>
      <c r="I100" s="395"/>
      <c r="J100" s="396">
        <f>AVERAGE(J92:J99)</f>
        <v>3.25</v>
      </c>
      <c r="K100" s="396">
        <f>AVERAGE(K92:K99)</f>
        <v>2518.909090909091</v>
      </c>
      <c r="L100" s="397">
        <f>AVERAGE(L92:L99)</f>
        <v>794.47727272727286</v>
      </c>
      <c r="M100" s="383"/>
      <c r="N100" s="383"/>
      <c r="O100" s="381"/>
      <c r="P100" s="381"/>
      <c r="Q100" s="382"/>
      <c r="R100" s="382"/>
    </row>
    <row r="101" spans="1:18" ht="16.25" customHeight="1">
      <c r="A101" s="577" t="s">
        <v>282</v>
      </c>
      <c r="B101" s="373" t="s">
        <v>250</v>
      </c>
      <c r="C101" s="12"/>
      <c r="D101" s="475" t="s">
        <v>319</v>
      </c>
      <c r="E101" s="476"/>
      <c r="F101" s="377">
        <v>18.18</v>
      </c>
      <c r="G101" s="370">
        <v>857</v>
      </c>
      <c r="H101" s="378">
        <f t="shared" ref="H101:H110" si="31">F101*G101</f>
        <v>15580.26</v>
      </c>
      <c r="I101" s="379"/>
      <c r="J101" s="380">
        <v>4</v>
      </c>
      <c r="K101" s="381">
        <f>G101/P101*60</f>
        <v>2570.9999999999886</v>
      </c>
      <c r="L101" s="382">
        <f t="shared" ref="L101:L105" si="32">K101/J101</f>
        <v>642.74999999999716</v>
      </c>
      <c r="M101" s="383">
        <v>0.72222222222222221</v>
      </c>
      <c r="N101" s="383">
        <v>0.73611111111111116</v>
      </c>
      <c r="O101" s="372">
        <v>20</v>
      </c>
      <c r="P101" s="381">
        <f t="shared" ref="P101:P110" si="33">(N101-M101)*24*60</f>
        <v>20.000000000000089</v>
      </c>
      <c r="Q101" s="382"/>
      <c r="R101" s="385"/>
    </row>
    <row r="102" spans="1:18">
      <c r="A102" s="577"/>
      <c r="B102" s="373" t="s">
        <v>250</v>
      </c>
      <c r="C102" s="12"/>
      <c r="D102" s="475" t="s">
        <v>320</v>
      </c>
      <c r="E102" s="476"/>
      <c r="F102" s="377">
        <v>14.03</v>
      </c>
      <c r="G102" s="370">
        <v>5658</v>
      </c>
      <c r="H102" s="378">
        <f t="shared" si="31"/>
        <v>79381.739999999991</v>
      </c>
      <c r="I102" s="379"/>
      <c r="J102" s="380">
        <v>3</v>
      </c>
      <c r="K102" s="381">
        <f t="shared" ref="K102:K105" si="34">G102/P102*60</f>
        <v>2951.9999999999982</v>
      </c>
      <c r="L102" s="382">
        <f t="shared" si="32"/>
        <v>983.99999999999943</v>
      </c>
      <c r="M102" s="383">
        <v>0.75</v>
      </c>
      <c r="N102" s="383">
        <v>0.82986111111111116</v>
      </c>
      <c r="O102" s="372">
        <v>20</v>
      </c>
      <c r="P102" s="381">
        <f t="shared" si="33"/>
        <v>115.00000000000007</v>
      </c>
      <c r="Q102" s="385">
        <v>0.82986111111111116</v>
      </c>
      <c r="R102" s="385">
        <v>0.87152777777777779</v>
      </c>
    </row>
    <row r="103" spans="1:18">
      <c r="A103" s="577"/>
      <c r="B103" s="373" t="s">
        <v>250</v>
      </c>
      <c r="C103" s="468"/>
      <c r="D103" s="448" t="s">
        <v>283</v>
      </c>
      <c r="E103" s="411"/>
      <c r="F103" s="377">
        <v>25.03</v>
      </c>
      <c r="G103" s="370">
        <v>1164</v>
      </c>
      <c r="H103" s="378">
        <f t="shared" si="31"/>
        <v>29134.920000000002</v>
      </c>
      <c r="I103" s="379"/>
      <c r="J103" s="380">
        <v>4</v>
      </c>
      <c r="K103" s="381">
        <f t="shared" si="34"/>
        <v>2793.5999999999922</v>
      </c>
      <c r="L103" s="382">
        <f t="shared" si="32"/>
        <v>698.39999999999804</v>
      </c>
      <c r="M103" s="383">
        <v>0.88541666666666663</v>
      </c>
      <c r="N103" s="383">
        <v>0.90277777777777779</v>
      </c>
      <c r="O103" s="372">
        <v>20</v>
      </c>
      <c r="P103" s="381">
        <f t="shared" si="33"/>
        <v>25.000000000000071</v>
      </c>
      <c r="Q103" s="385"/>
      <c r="R103" s="385"/>
    </row>
    <row r="104" spans="1:18">
      <c r="A104" s="577"/>
      <c r="B104" s="373" t="s">
        <v>250</v>
      </c>
      <c r="C104" s="468"/>
      <c r="D104" s="411" t="s">
        <v>284</v>
      </c>
      <c r="E104" s="448"/>
      <c r="F104" s="377">
        <v>24.82</v>
      </c>
      <c r="G104" s="370">
        <v>1721</v>
      </c>
      <c r="H104" s="378">
        <f t="shared" si="31"/>
        <v>42715.22</v>
      </c>
      <c r="I104" s="379"/>
      <c r="J104" s="380">
        <v>4</v>
      </c>
      <c r="K104" s="381">
        <f t="shared" si="34"/>
        <v>2950.285714285711</v>
      </c>
      <c r="L104" s="382">
        <f t="shared" si="32"/>
        <v>737.57142857142776</v>
      </c>
      <c r="M104" s="383">
        <v>0.91666666666666663</v>
      </c>
      <c r="N104" s="383">
        <v>0.94097222222222221</v>
      </c>
      <c r="O104" s="372">
        <v>20</v>
      </c>
      <c r="P104" s="381">
        <f>(N104-M104)*24*60</f>
        <v>35.000000000000036</v>
      </c>
      <c r="Q104" s="382"/>
      <c r="R104" s="385"/>
    </row>
    <row r="105" spans="1:18">
      <c r="A105" s="577"/>
      <c r="B105" s="373" t="s">
        <v>250</v>
      </c>
      <c r="C105" s="468"/>
      <c r="D105" s="411" t="s">
        <v>285</v>
      </c>
      <c r="E105" s="462"/>
      <c r="F105" s="377">
        <v>14.285714285714283</v>
      </c>
      <c r="G105" s="370">
        <v>7845</v>
      </c>
      <c r="H105" s="378">
        <f t="shared" si="31"/>
        <v>112071.42857142855</v>
      </c>
      <c r="I105" s="379"/>
      <c r="J105" s="380">
        <v>3</v>
      </c>
      <c r="K105" s="381">
        <f t="shared" si="34"/>
        <v>3036.7741935027707</v>
      </c>
      <c r="L105" s="382">
        <f t="shared" si="32"/>
        <v>1012.2580645009235</v>
      </c>
      <c r="M105" s="383">
        <v>46026.954861111109</v>
      </c>
      <c r="N105" s="463">
        <v>46027.0625</v>
      </c>
      <c r="O105" s="372">
        <v>20</v>
      </c>
      <c r="P105" s="381">
        <f>(N105-M105)*24*60</f>
        <v>155.00000000232831</v>
      </c>
      <c r="Q105" s="382"/>
      <c r="R105" s="385"/>
    </row>
    <row r="106" spans="1:18">
      <c r="A106" s="577"/>
      <c r="B106" s="373">
        <v>0</v>
      </c>
      <c r="C106" s="468"/>
      <c r="D106" s="475"/>
      <c r="E106" s="476"/>
      <c r="F106" s="377" t="s">
        <v>253</v>
      </c>
      <c r="G106" s="386"/>
      <c r="H106" s="378">
        <f t="shared" si="31"/>
        <v>0</v>
      </c>
      <c r="I106" s="379"/>
      <c r="J106" s="380"/>
      <c r="K106" s="381"/>
      <c r="L106" s="382"/>
      <c r="M106" s="383"/>
      <c r="N106" s="383"/>
      <c r="O106" s="381"/>
      <c r="P106" s="381">
        <f t="shared" si="33"/>
        <v>0</v>
      </c>
      <c r="Q106" s="382"/>
      <c r="R106" s="385"/>
    </row>
    <row r="107" spans="1:18">
      <c r="A107" s="577"/>
      <c r="B107" s="373">
        <v>0</v>
      </c>
      <c r="C107" s="468"/>
      <c r="D107" s="411"/>
      <c r="E107" s="462"/>
      <c r="F107" s="377" t="s">
        <v>253</v>
      </c>
      <c r="G107" s="370"/>
      <c r="H107" s="378">
        <f t="shared" si="31"/>
        <v>0</v>
      </c>
      <c r="I107" s="379"/>
      <c r="J107" s="380"/>
      <c r="K107" s="381"/>
      <c r="L107" s="382"/>
      <c r="M107" s="383"/>
      <c r="N107" s="383"/>
      <c r="O107" s="381"/>
      <c r="P107" s="381">
        <f t="shared" si="33"/>
        <v>0</v>
      </c>
      <c r="Q107" s="382"/>
      <c r="R107" s="385"/>
    </row>
    <row r="108" spans="1:18">
      <c r="A108" s="577"/>
      <c r="B108" s="373">
        <v>0</v>
      </c>
      <c r="C108" s="468"/>
      <c r="D108" s="411"/>
      <c r="E108" s="462"/>
      <c r="F108" s="377" t="s">
        <v>253</v>
      </c>
      <c r="G108" s="370"/>
      <c r="H108" s="378">
        <f t="shared" si="31"/>
        <v>0</v>
      </c>
      <c r="I108" s="379"/>
      <c r="J108" s="380"/>
      <c r="K108" s="381"/>
      <c r="L108" s="382"/>
      <c r="M108" s="383"/>
      <c r="N108" s="383"/>
      <c r="O108" s="381"/>
      <c r="P108" s="381">
        <f t="shared" si="33"/>
        <v>0</v>
      </c>
      <c r="Q108" s="382"/>
      <c r="R108" s="385"/>
    </row>
    <row r="109" spans="1:18">
      <c r="A109" s="577"/>
      <c r="B109" s="373">
        <v>0</v>
      </c>
      <c r="C109" s="469"/>
      <c r="D109" s="411"/>
      <c r="E109" s="462"/>
      <c r="F109" s="377" t="s">
        <v>253</v>
      </c>
      <c r="G109" s="370"/>
      <c r="H109" s="378">
        <f t="shared" si="31"/>
        <v>0</v>
      </c>
      <c r="I109" s="379"/>
      <c r="J109" s="380"/>
      <c r="K109" s="381"/>
      <c r="L109" s="382"/>
      <c r="M109" s="383"/>
      <c r="N109" s="383"/>
      <c r="O109" s="381"/>
      <c r="P109" s="381">
        <f t="shared" si="33"/>
        <v>0</v>
      </c>
      <c r="Q109" s="382"/>
      <c r="R109" s="385"/>
    </row>
    <row r="110" spans="1:18">
      <c r="A110" s="577"/>
      <c r="B110" s="373">
        <v>0</v>
      </c>
      <c r="C110" s="469"/>
      <c r="D110" s="411"/>
      <c r="E110" s="462"/>
      <c r="F110" s="377" t="s">
        <v>253</v>
      </c>
      <c r="G110" s="370"/>
      <c r="H110" s="378">
        <f t="shared" si="31"/>
        <v>0</v>
      </c>
      <c r="I110" s="379"/>
      <c r="J110" s="380"/>
      <c r="K110" s="381"/>
      <c r="L110" s="382"/>
      <c r="M110" s="383"/>
      <c r="N110" s="383"/>
      <c r="O110" s="381"/>
      <c r="P110" s="381">
        <f t="shared" si="33"/>
        <v>0</v>
      </c>
      <c r="Q110" s="382"/>
      <c r="R110" s="385"/>
    </row>
    <row r="111" spans="1:18" ht="15.75" customHeight="1">
      <c r="A111" s="577"/>
      <c r="B111" s="373">
        <v>0</v>
      </c>
      <c r="C111" s="452" t="s">
        <v>270</v>
      </c>
      <c r="D111" s="578" t="s">
        <v>114</v>
      </c>
      <c r="E111" s="579"/>
      <c r="F111" s="470"/>
      <c r="G111" s="471"/>
      <c r="H111" s="394"/>
      <c r="I111" s="395"/>
      <c r="J111" s="396">
        <f>AVERAGE(J101:J110)</f>
        <v>3.6</v>
      </c>
      <c r="K111" s="396">
        <f>AVERAGE(K101:K110)</f>
        <v>2860.7319815576921</v>
      </c>
      <c r="L111" s="397">
        <f>AVERAGE(L101:L110)</f>
        <v>814.99589861446918</v>
      </c>
      <c r="M111" s="383"/>
      <c r="N111" s="383"/>
      <c r="O111" s="381"/>
      <c r="P111" s="381"/>
      <c r="Q111" s="382"/>
      <c r="R111" s="372"/>
    </row>
    <row r="112" spans="1:18" ht="16.25" customHeight="1">
      <c r="A112" s="565" t="s">
        <v>286</v>
      </c>
      <c r="B112" s="373">
        <v>0</v>
      </c>
      <c r="C112" s="12"/>
      <c r="D112" s="477"/>
      <c r="E112" s="478"/>
      <c r="F112" s="377" t="s">
        <v>253</v>
      </c>
      <c r="G112" s="370"/>
      <c r="H112" s="459">
        <f t="shared" si="3"/>
        <v>0</v>
      </c>
      <c r="I112" s="379"/>
      <c r="J112" s="380">
        <v>0</v>
      </c>
      <c r="K112" s="381">
        <v>0</v>
      </c>
      <c r="L112" s="382">
        <v>0</v>
      </c>
      <c r="M112" s="383"/>
      <c r="N112" s="383"/>
      <c r="O112" s="372"/>
      <c r="P112" s="384">
        <f t="shared" ref="P112:P123" si="35">(N112-M112)*24*60</f>
        <v>0</v>
      </c>
      <c r="Q112" s="372"/>
      <c r="R112" s="372"/>
    </row>
    <row r="113" spans="1:18">
      <c r="A113" s="565"/>
      <c r="B113" s="373">
        <v>0</v>
      </c>
      <c r="C113" s="460"/>
      <c r="D113" s="475"/>
      <c r="E113" s="457"/>
      <c r="F113" s="377" t="s">
        <v>253</v>
      </c>
      <c r="G113" s="370"/>
      <c r="H113" s="459">
        <f t="shared" si="3"/>
        <v>0</v>
      </c>
      <c r="I113" s="379"/>
      <c r="J113" s="380"/>
      <c r="K113" s="381"/>
      <c r="L113" s="382"/>
      <c r="M113" s="383"/>
      <c r="N113" s="383"/>
      <c r="O113" s="372"/>
      <c r="P113" s="384">
        <f t="shared" si="35"/>
        <v>0</v>
      </c>
      <c r="Q113" s="385"/>
      <c r="R113" s="385"/>
    </row>
    <row r="114" spans="1:18">
      <c r="A114" s="565"/>
      <c r="B114" s="373">
        <v>0</v>
      </c>
      <c r="C114" s="460"/>
      <c r="D114" s="448"/>
      <c r="E114" s="411"/>
      <c r="F114" s="377" t="s">
        <v>253</v>
      </c>
      <c r="G114" s="370"/>
      <c r="H114" s="459">
        <f>F114*G114</f>
        <v>0</v>
      </c>
      <c r="I114" s="379"/>
      <c r="J114" s="380"/>
      <c r="K114" s="381"/>
      <c r="L114" s="382"/>
      <c r="M114" s="383"/>
      <c r="N114" s="383"/>
      <c r="O114" s="372"/>
      <c r="P114" s="384">
        <f t="shared" si="35"/>
        <v>0</v>
      </c>
      <c r="Q114" s="385"/>
      <c r="R114" s="385"/>
    </row>
    <row r="115" spans="1:18">
      <c r="A115" s="565"/>
      <c r="B115" s="373">
        <v>0</v>
      </c>
      <c r="C115" s="409"/>
      <c r="D115" s="411"/>
      <c r="E115" s="448"/>
      <c r="F115" s="377" t="s">
        <v>253</v>
      </c>
      <c r="G115" s="370"/>
      <c r="H115" s="459">
        <f t="shared" ref="H115:H123" si="36">F115*G115</f>
        <v>0</v>
      </c>
      <c r="I115" s="379"/>
      <c r="J115" s="380"/>
      <c r="K115" s="381"/>
      <c r="L115" s="382"/>
      <c r="M115" s="383"/>
      <c r="N115" s="383"/>
      <c r="O115" s="372"/>
      <c r="P115" s="384">
        <f t="shared" si="35"/>
        <v>0</v>
      </c>
      <c r="Q115" s="385"/>
      <c r="R115" s="385"/>
    </row>
    <row r="116" spans="1:18">
      <c r="A116" s="565"/>
      <c r="B116" s="373">
        <v>0</v>
      </c>
      <c r="C116" s="409"/>
      <c r="D116" s="411"/>
      <c r="E116" s="462"/>
      <c r="F116" s="377" t="s">
        <v>253</v>
      </c>
      <c r="G116" s="370"/>
      <c r="H116" s="459">
        <f t="shared" si="36"/>
        <v>0</v>
      </c>
      <c r="I116" s="379"/>
      <c r="J116" s="380"/>
      <c r="K116" s="381"/>
      <c r="L116" s="382"/>
      <c r="M116" s="383"/>
      <c r="N116" s="463"/>
      <c r="O116" s="372"/>
      <c r="P116" s="384">
        <f t="shared" si="35"/>
        <v>0</v>
      </c>
      <c r="Q116" s="385"/>
      <c r="R116" s="385"/>
    </row>
    <row r="117" spans="1:18">
      <c r="A117" s="565"/>
      <c r="B117" s="373">
        <v>0</v>
      </c>
      <c r="C117" s="460"/>
      <c r="D117" s="443"/>
      <c r="E117" s="441"/>
      <c r="F117" s="377" t="s">
        <v>253</v>
      </c>
      <c r="G117" s="370"/>
      <c r="H117" s="459">
        <f t="shared" si="36"/>
        <v>0</v>
      </c>
      <c r="I117" s="379"/>
      <c r="J117" s="380"/>
      <c r="K117" s="381"/>
      <c r="L117" s="382"/>
      <c r="M117" s="383"/>
      <c r="N117" s="383"/>
      <c r="O117" s="381"/>
      <c r="P117" s="384">
        <f t="shared" si="35"/>
        <v>0</v>
      </c>
      <c r="Q117" s="385"/>
      <c r="R117" s="385"/>
    </row>
    <row r="118" spans="1:18">
      <c r="A118" s="565"/>
      <c r="B118" s="373">
        <v>0</v>
      </c>
      <c r="C118" s="460"/>
      <c r="D118" s="443"/>
      <c r="E118" s="441"/>
      <c r="F118" s="377" t="s">
        <v>253</v>
      </c>
      <c r="G118" s="370"/>
      <c r="H118" s="459">
        <f t="shared" si="36"/>
        <v>0</v>
      </c>
      <c r="I118" s="379"/>
      <c r="J118" s="380"/>
      <c r="K118" s="381"/>
      <c r="L118" s="382"/>
      <c r="M118" s="383"/>
      <c r="N118" s="383"/>
      <c r="O118" s="372"/>
      <c r="P118" s="384">
        <f t="shared" si="35"/>
        <v>0</v>
      </c>
      <c r="Q118" s="385"/>
      <c r="R118" s="385"/>
    </row>
    <row r="119" spans="1:18">
      <c r="A119" s="565"/>
      <c r="B119" s="373">
        <v>0</v>
      </c>
      <c r="C119" s="409"/>
      <c r="D119" s="443"/>
      <c r="E119" s="441"/>
      <c r="F119" s="377" t="s">
        <v>253</v>
      </c>
      <c r="G119" s="370"/>
      <c r="H119" s="459">
        <f t="shared" si="36"/>
        <v>0</v>
      </c>
      <c r="I119" s="379"/>
      <c r="J119" s="380"/>
      <c r="K119" s="381"/>
      <c r="L119" s="382"/>
      <c r="M119" s="383"/>
      <c r="N119" s="383"/>
      <c r="O119" s="372"/>
      <c r="P119" s="384">
        <f t="shared" si="35"/>
        <v>0</v>
      </c>
      <c r="Q119" s="385"/>
      <c r="R119" s="385"/>
    </row>
    <row r="120" spans="1:18">
      <c r="A120" s="565"/>
      <c r="B120" s="373">
        <v>0</v>
      </c>
      <c r="C120" s="409"/>
      <c r="D120" s="443"/>
      <c r="E120" s="441"/>
      <c r="F120" s="377" t="s">
        <v>253</v>
      </c>
      <c r="G120" s="370"/>
      <c r="H120" s="459"/>
      <c r="I120" s="379"/>
      <c r="J120" s="380"/>
      <c r="K120" s="381"/>
      <c r="L120" s="382"/>
      <c r="M120" s="383"/>
      <c r="N120" s="383"/>
      <c r="O120" s="372"/>
      <c r="P120" s="384"/>
      <c r="Q120" s="385"/>
      <c r="R120" s="385"/>
    </row>
    <row r="121" spans="1:18">
      <c r="A121" s="565"/>
      <c r="B121" s="373">
        <v>0</v>
      </c>
      <c r="C121" s="460"/>
      <c r="D121" s="443"/>
      <c r="E121" s="441"/>
      <c r="F121" s="377" t="s">
        <v>253</v>
      </c>
      <c r="G121" s="370"/>
      <c r="H121" s="459"/>
      <c r="I121" s="379"/>
      <c r="J121" s="380"/>
      <c r="K121" s="381"/>
      <c r="L121" s="382"/>
      <c r="M121" s="383"/>
      <c r="N121" s="383"/>
      <c r="O121" s="372"/>
      <c r="P121" s="384"/>
      <c r="Q121" s="385"/>
      <c r="R121" s="385"/>
    </row>
    <row r="122" spans="1:18">
      <c r="A122" s="565"/>
      <c r="B122" s="373">
        <v>0</v>
      </c>
      <c r="C122" s="460"/>
      <c r="D122" s="443"/>
      <c r="E122" s="441"/>
      <c r="F122" s="377" t="s">
        <v>253</v>
      </c>
      <c r="G122" s="370"/>
      <c r="H122" s="459"/>
      <c r="I122" s="379"/>
      <c r="J122" s="380"/>
      <c r="K122" s="381"/>
      <c r="L122" s="382"/>
      <c r="M122" s="383"/>
      <c r="N122" s="383"/>
      <c r="O122" s="372"/>
      <c r="P122" s="384">
        <f t="shared" si="35"/>
        <v>0</v>
      </c>
      <c r="Q122" s="385"/>
      <c r="R122" s="385"/>
    </row>
    <row r="123" spans="1:18">
      <c r="A123" s="565"/>
      <c r="B123" s="373">
        <v>0</v>
      </c>
      <c r="C123" s="409"/>
      <c r="D123" s="443"/>
      <c r="E123" s="441"/>
      <c r="F123" s="377" t="s">
        <v>253</v>
      </c>
      <c r="G123" s="370"/>
      <c r="H123" s="459">
        <f t="shared" si="36"/>
        <v>0</v>
      </c>
      <c r="I123" s="379"/>
      <c r="J123" s="380"/>
      <c r="K123" s="381"/>
      <c r="L123" s="382"/>
      <c r="M123" s="383"/>
      <c r="N123" s="383"/>
      <c r="O123" s="372"/>
      <c r="P123" s="384">
        <f t="shared" si="35"/>
        <v>0</v>
      </c>
      <c r="Q123" s="385"/>
      <c r="R123" s="385"/>
    </row>
    <row r="124" spans="1:18" ht="17.399999999999999" customHeight="1">
      <c r="A124" s="565"/>
      <c r="B124" s="472">
        <v>0</v>
      </c>
      <c r="C124" s="13" t="s">
        <v>273</v>
      </c>
      <c r="D124" s="568" t="s">
        <v>114</v>
      </c>
      <c r="E124" s="568"/>
      <c r="F124" s="392"/>
      <c r="G124" s="464"/>
      <c r="H124" s="465"/>
      <c r="I124" s="395"/>
      <c r="J124" s="396">
        <f>AVERAGE(J112:J123)</f>
        <v>0</v>
      </c>
      <c r="K124" s="396">
        <f>AVERAGE(K112:K123)</f>
        <v>0</v>
      </c>
      <c r="L124" s="397">
        <f>AVERAGE(L112:L123)</f>
        <v>0</v>
      </c>
      <c r="M124" s="383"/>
      <c r="N124" s="383"/>
      <c r="O124" s="381"/>
      <c r="P124" s="381"/>
      <c r="Q124" s="382"/>
      <c r="R124" s="382"/>
    </row>
    <row r="125" spans="1:18">
      <c r="C125" s="409"/>
    </row>
    <row r="126" spans="1:18">
      <c r="C126" s="13"/>
    </row>
  </sheetData>
  <mergeCells count="46"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3:E13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1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3" activePane="bottomLeft" state="frozen"/>
      <selection activeCell="AB119" sqref="AB119:AC119"/>
      <selection pane="bottomLeft" activeCell="AB119" sqref="AB119:AC119"/>
    </sheetView>
  </sheetViews>
  <sheetFormatPr defaultColWidth="7.90625" defaultRowHeight="15.5"/>
  <cols>
    <col min="1" max="1" width="14.1796875" style="70" customWidth="1"/>
    <col min="2" max="2" width="12.81640625" style="70" customWidth="1"/>
    <col min="3" max="3" width="12.81640625" style="70" hidden="1" customWidth="1"/>
    <col min="4" max="4" width="14.1796875" style="70" customWidth="1"/>
    <col min="5" max="5" width="15" style="70" customWidth="1"/>
    <col min="6" max="6" width="8.90625" style="70" customWidth="1"/>
    <col min="7" max="7" width="20.1796875" style="70" bestFit="1" customWidth="1"/>
    <col min="8" max="8" width="16.36328125" style="70" customWidth="1"/>
    <col min="9" max="9" width="6.36328125" style="70" customWidth="1"/>
    <col min="10" max="10" width="10.08984375" style="70" customWidth="1"/>
    <col min="11" max="11" width="10.6328125" style="70" customWidth="1"/>
    <col min="12" max="12" width="14.453125" style="70" customWidth="1"/>
    <col min="13" max="13" width="10.08984375" style="70" customWidth="1"/>
    <col min="14" max="14" width="9.1796875" style="70" customWidth="1"/>
    <col min="15" max="15" width="11.90625" style="70" customWidth="1"/>
    <col min="16" max="16" width="6" style="70" customWidth="1"/>
    <col min="17" max="18" width="9.1796875" style="70" customWidth="1"/>
    <col min="19" max="19" width="8.6328125" style="70" customWidth="1"/>
    <col min="20" max="21" width="7.6328125" style="70" bestFit="1" customWidth="1"/>
    <col min="22" max="22" width="10.6328125" style="70" customWidth="1"/>
    <col min="23" max="23" width="8.6328125" style="344" customWidth="1"/>
    <col min="24" max="25" width="7.08984375" style="70" customWidth="1"/>
    <col min="26" max="27" width="9.453125" style="70" customWidth="1"/>
    <col min="28" max="28" width="12.6328125" style="70" customWidth="1"/>
    <col min="29" max="29" width="12.453125" style="70" customWidth="1"/>
    <col min="30" max="31" width="9.453125" style="70" customWidth="1"/>
    <col min="32" max="32" width="13.08984375" style="70" customWidth="1"/>
    <col min="33" max="33" width="10.36328125" style="70" customWidth="1"/>
    <col min="34" max="34" width="9.1796875" style="70" customWidth="1"/>
    <col min="35" max="35" width="7.90625" style="70" customWidth="1"/>
    <col min="36" max="36" width="24.453125" style="70" bestFit="1" customWidth="1"/>
    <col min="37" max="16384" width="7.90625" style="70"/>
  </cols>
  <sheetData>
    <row r="1" spans="1:34" ht="26.25" customHeight="1">
      <c r="A1" s="62" t="s">
        <v>193</v>
      </c>
      <c r="B1" s="62"/>
      <c r="C1" s="62"/>
      <c r="D1" s="63" t="s">
        <v>194</v>
      </c>
      <c r="E1" s="64">
        <f>SUM(G5:G173)</f>
        <v>139000.79999999999</v>
      </c>
      <c r="F1" s="65" t="s">
        <v>2</v>
      </c>
      <c r="G1" s="66">
        <f>SUM(H5:H173)</f>
        <v>5549395.9529766878</v>
      </c>
      <c r="H1" s="67" t="s">
        <v>83</v>
      </c>
      <c r="I1" s="68">
        <f>M17+M30+M43+M56+M69+M82+M95+M108+M121+M134+M147+M160+M173</f>
        <v>196.58809523809524</v>
      </c>
      <c r="J1" s="700" t="s">
        <v>84</v>
      </c>
      <c r="K1" s="700"/>
      <c r="L1" s="700"/>
      <c r="M1" s="700" t="s">
        <v>85</v>
      </c>
      <c r="N1" s="700"/>
      <c r="O1" s="700"/>
      <c r="P1" s="700" t="s">
        <v>195</v>
      </c>
      <c r="Q1" s="700"/>
      <c r="R1" s="700"/>
      <c r="S1" s="700"/>
      <c r="T1" s="700" t="s">
        <v>196</v>
      </c>
      <c r="U1" s="700"/>
      <c r="V1" s="700"/>
      <c r="W1" s="700"/>
      <c r="X1" s="700"/>
      <c r="Y1" s="700"/>
      <c r="Z1" s="69" t="s">
        <v>197</v>
      </c>
      <c r="AA1" s="69" t="s">
        <v>198</v>
      </c>
      <c r="AB1" s="701" t="s">
        <v>199</v>
      </c>
      <c r="AC1" s="702"/>
      <c r="AD1" s="69" t="s">
        <v>197</v>
      </c>
      <c r="AE1" s="69" t="s">
        <v>200</v>
      </c>
      <c r="AF1" s="700" t="s">
        <v>201</v>
      </c>
      <c r="AG1" s="705"/>
      <c r="AH1" s="705"/>
    </row>
    <row r="2" spans="1:34" ht="26.25" customHeight="1">
      <c r="A2" s="699" t="s">
        <v>242</v>
      </c>
      <c r="B2" s="699"/>
      <c r="C2" s="63"/>
      <c r="D2" s="63" t="s">
        <v>27</v>
      </c>
      <c r="E2" s="71">
        <f>AVERAGE(O17,O30,O43,O56,O69,O82,O95,O108,O121,O134,O147,O160,O173)</f>
        <v>121.40769451626471</v>
      </c>
      <c r="F2" s="72" t="s">
        <v>88</v>
      </c>
      <c r="G2" s="73">
        <f>G1/E1</f>
        <v>39.923482116481978</v>
      </c>
      <c r="H2" s="67" t="s">
        <v>89</v>
      </c>
      <c r="I2" s="67">
        <f>COUNT(I5:I173)</f>
        <v>5</v>
      </c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4">
        <f>Z17+Z30+Z43+Z56+Z69+Z82+Z95+Z108+Z121+Z134+Z147+Z160+Z173</f>
        <v>0</v>
      </c>
      <c r="AA2" s="74">
        <f>AA17+AA30+AA43+AA56+AA69+AA82+AA95+AA108+AA121+AA134+AA147+AA160+AA173</f>
        <v>0</v>
      </c>
      <c r="AB2" s="703"/>
      <c r="AC2" s="704"/>
      <c r="AD2" s="75">
        <f>AD17+AD30+AD43+AD56+AD69+AD82+AD95+AD108+AD121+AD134+AD147+AD160+AD173</f>
        <v>1</v>
      </c>
      <c r="AE2" s="75">
        <f>AE17+AE30+AE43+AE56+AE69+AE82+AE95+AE108+AE121+AE134+AE147+AE160+AE173</f>
        <v>2</v>
      </c>
      <c r="AF2" s="705"/>
      <c r="AG2" s="705"/>
      <c r="AH2" s="705"/>
    </row>
    <row r="3" spans="1:34" ht="30.65" customHeight="1">
      <c r="A3" s="644" t="s">
        <v>202</v>
      </c>
      <c r="B3" s="644" t="s">
        <v>91</v>
      </c>
      <c r="C3" s="637"/>
      <c r="D3" s="644" t="s">
        <v>203</v>
      </c>
      <c r="E3" s="644"/>
      <c r="F3" s="637" t="s">
        <v>93</v>
      </c>
      <c r="G3" s="695" t="s">
        <v>94</v>
      </c>
      <c r="H3" s="637" t="s">
        <v>95</v>
      </c>
      <c r="I3" s="697" t="s">
        <v>204</v>
      </c>
      <c r="J3" s="698" t="s">
        <v>97</v>
      </c>
      <c r="K3" s="690" t="s">
        <v>98</v>
      </c>
      <c r="L3" s="677" t="s">
        <v>64</v>
      </c>
      <c r="M3" s="695" t="s">
        <v>97</v>
      </c>
      <c r="N3" s="690" t="s">
        <v>205</v>
      </c>
      <c r="O3" s="677" t="s">
        <v>27</v>
      </c>
      <c r="P3" s="698" t="s">
        <v>206</v>
      </c>
      <c r="Q3" s="677" t="s">
        <v>27</v>
      </c>
      <c r="R3" s="691" t="s">
        <v>207</v>
      </c>
      <c r="S3" s="674" t="s">
        <v>208</v>
      </c>
      <c r="T3" s="695" t="s">
        <v>101</v>
      </c>
      <c r="U3" s="695"/>
      <c r="V3" s="696" t="s">
        <v>102</v>
      </c>
      <c r="W3" s="697" t="s">
        <v>209</v>
      </c>
      <c r="X3" s="695" t="s">
        <v>210</v>
      </c>
      <c r="Y3" s="695"/>
      <c r="Z3" s="712" t="s">
        <v>211</v>
      </c>
      <c r="AA3" s="713"/>
      <c r="AB3" s="686" t="s">
        <v>212</v>
      </c>
      <c r="AC3" s="687"/>
      <c r="AD3" s="688" t="s">
        <v>213</v>
      </c>
      <c r="AE3" s="689"/>
      <c r="AF3" s="690" t="s">
        <v>205</v>
      </c>
      <c r="AG3" s="691" t="s">
        <v>207</v>
      </c>
      <c r="AH3" s="674" t="s">
        <v>208</v>
      </c>
    </row>
    <row r="4" spans="1:34" ht="30.65" customHeight="1">
      <c r="A4" s="637"/>
      <c r="B4" s="644"/>
      <c r="C4" s="654"/>
      <c r="D4" s="644"/>
      <c r="E4" s="644"/>
      <c r="F4" s="654"/>
      <c r="G4" s="695"/>
      <c r="H4" s="654"/>
      <c r="I4" s="697"/>
      <c r="J4" s="698"/>
      <c r="K4" s="690"/>
      <c r="L4" s="677"/>
      <c r="M4" s="695"/>
      <c r="N4" s="690"/>
      <c r="O4" s="677"/>
      <c r="P4" s="698"/>
      <c r="Q4" s="677"/>
      <c r="R4" s="691"/>
      <c r="S4" s="674"/>
      <c r="T4" s="76" t="s">
        <v>105</v>
      </c>
      <c r="U4" s="76" t="s">
        <v>106</v>
      </c>
      <c r="V4" s="695"/>
      <c r="W4" s="697"/>
      <c r="X4" s="65" t="s">
        <v>214</v>
      </c>
      <c r="Y4" s="65" t="s">
        <v>65</v>
      </c>
      <c r="Z4" s="76" t="s">
        <v>215</v>
      </c>
      <c r="AA4" s="76" t="s">
        <v>216</v>
      </c>
      <c r="AB4" s="687"/>
      <c r="AC4" s="687"/>
      <c r="AD4" s="76" t="s">
        <v>217</v>
      </c>
      <c r="AE4" s="77" t="s">
        <v>218</v>
      </c>
      <c r="AF4" s="690"/>
      <c r="AG4" s="691"/>
      <c r="AH4" s="674"/>
    </row>
    <row r="5" spans="1:34" ht="17.399999999999999" customHeight="1">
      <c r="A5" s="692" t="s">
        <v>219</v>
      </c>
      <c r="B5" s="78" t="s">
        <v>246</v>
      </c>
      <c r="C5" s="79"/>
      <c r="D5" s="80" t="s">
        <v>108</v>
      </c>
      <c r="E5" s="81"/>
      <c r="F5" s="82">
        <v>37.94</v>
      </c>
      <c r="G5" s="83">
        <v>2092.35</v>
      </c>
      <c r="H5" s="84">
        <f t="shared" ref="H5:H16" si="0">F5*G5</f>
        <v>79383.758999999991</v>
      </c>
      <c r="I5" s="85"/>
      <c r="J5" s="86">
        <v>20</v>
      </c>
      <c r="K5" s="83">
        <v>2400</v>
      </c>
      <c r="L5" s="87">
        <v>120</v>
      </c>
      <c r="M5" s="88">
        <v>19</v>
      </c>
      <c r="N5" s="83">
        <f t="shared" ref="N5:N11" si="1">G5/W5*60</f>
        <v>2282.5636363636345</v>
      </c>
      <c r="O5" s="87">
        <f t="shared" ref="O5:O11" si="2">N5/M5</f>
        <v>120.13492822966498</v>
      </c>
      <c r="P5" s="89">
        <f t="shared" ref="P5:P11" si="3">M5-J5</f>
        <v>-1</v>
      </c>
      <c r="Q5" s="90">
        <f t="shared" ref="Q5:Q11" si="4">O5-L5</f>
        <v>0.13492822966497897</v>
      </c>
      <c r="R5" s="91">
        <f t="shared" ref="R5:R11" si="5">O5/L5</f>
        <v>1.0011244019138748</v>
      </c>
      <c r="S5" s="659">
        <f>R17</f>
        <v>0.83301102408311034</v>
      </c>
      <c r="T5" s="92">
        <v>0.29166666666666669</v>
      </c>
      <c r="U5" s="92">
        <v>0.32986111111111116</v>
      </c>
      <c r="V5" s="65">
        <v>5</v>
      </c>
      <c r="W5" s="85">
        <f>(U5-T5)*24*60</f>
        <v>55.000000000000043</v>
      </c>
      <c r="X5" s="65"/>
      <c r="Y5" s="65"/>
      <c r="Z5" s="93"/>
      <c r="AA5" s="93"/>
      <c r="AB5" s="644"/>
      <c r="AC5" s="644"/>
      <c r="AD5" s="94"/>
      <c r="AE5" s="94"/>
      <c r="AF5" s="89">
        <f t="shared" ref="AF5:AF70" si="6">N5-K5</f>
        <v>-117.43636363636551</v>
      </c>
      <c r="AG5" s="91">
        <f t="shared" ref="AG5:AG70" si="7">N5/K5</f>
        <v>0.95106818181818109</v>
      </c>
      <c r="AH5" s="659">
        <f>AG17</f>
        <v>0.84954528209276303</v>
      </c>
    </row>
    <row r="6" spans="1:34" ht="18" customHeight="1">
      <c r="A6" s="693"/>
      <c r="B6" s="78" t="s">
        <v>246</v>
      </c>
      <c r="C6" s="79"/>
      <c r="D6" s="80" t="s">
        <v>109</v>
      </c>
      <c r="E6" s="81"/>
      <c r="F6" s="82">
        <v>31.266131815044861</v>
      </c>
      <c r="G6" s="83">
        <v>1060.5</v>
      </c>
      <c r="H6" s="84">
        <f t="shared" si="0"/>
        <v>33157.732789855072</v>
      </c>
      <c r="I6" s="85"/>
      <c r="J6" s="86">
        <v>18</v>
      </c>
      <c r="K6" s="83">
        <v>3000</v>
      </c>
      <c r="L6" s="87">
        <v>166.66666666666666</v>
      </c>
      <c r="M6" s="88">
        <v>19</v>
      </c>
      <c r="N6" s="83">
        <f t="shared" si="1"/>
        <v>2447.3076923076937</v>
      </c>
      <c r="O6" s="87">
        <f t="shared" si="2"/>
        <v>128.8056680161944</v>
      </c>
      <c r="P6" s="89">
        <f t="shared" si="3"/>
        <v>1</v>
      </c>
      <c r="Q6" s="90">
        <f t="shared" si="4"/>
        <v>-37.860998650472254</v>
      </c>
      <c r="R6" s="91">
        <f t="shared" si="5"/>
        <v>0.77283400809716651</v>
      </c>
      <c r="S6" s="659"/>
      <c r="T6" s="92">
        <v>0.33472222222222225</v>
      </c>
      <c r="U6" s="92">
        <v>0.3527777777777778</v>
      </c>
      <c r="V6" s="65">
        <v>7</v>
      </c>
      <c r="W6" s="85">
        <f t="shared" ref="W6:W17" si="8">(U6-T6)*24*60</f>
        <v>25.999999999999986</v>
      </c>
      <c r="X6" s="95"/>
      <c r="Y6" s="95"/>
      <c r="Z6" s="96"/>
      <c r="AA6" s="96"/>
      <c r="AB6" s="644"/>
      <c r="AC6" s="644"/>
      <c r="AD6" s="97"/>
      <c r="AE6" s="97"/>
      <c r="AF6" s="89">
        <f t="shared" si="6"/>
        <v>-552.69230769230626</v>
      </c>
      <c r="AG6" s="91">
        <f t="shared" si="7"/>
        <v>0.81576923076923125</v>
      </c>
      <c r="AH6" s="659"/>
    </row>
    <row r="7" spans="1:34" ht="18" customHeight="1">
      <c r="A7" s="693"/>
      <c r="B7" s="78" t="s">
        <v>246</v>
      </c>
      <c r="C7" s="79"/>
      <c r="D7" s="80" t="s">
        <v>110</v>
      </c>
      <c r="E7" s="81"/>
      <c r="F7" s="82">
        <v>38.630952380952372</v>
      </c>
      <c r="G7" s="83">
        <v>2387</v>
      </c>
      <c r="H7" s="84">
        <f t="shared" si="0"/>
        <v>92212.083333333314</v>
      </c>
      <c r="I7" s="85"/>
      <c r="J7" s="86">
        <v>18</v>
      </c>
      <c r="K7" s="83">
        <v>3000</v>
      </c>
      <c r="L7" s="87">
        <v>166.66666666666666</v>
      </c>
      <c r="M7" s="88">
        <v>19</v>
      </c>
      <c r="N7" s="83">
        <f t="shared" si="1"/>
        <v>2512.6315789473701</v>
      </c>
      <c r="O7" s="87">
        <f t="shared" si="2"/>
        <v>132.24376731301948</v>
      </c>
      <c r="P7" s="89">
        <f t="shared" si="3"/>
        <v>1</v>
      </c>
      <c r="Q7" s="90">
        <f t="shared" si="4"/>
        <v>-34.422899353647182</v>
      </c>
      <c r="R7" s="91">
        <f t="shared" si="5"/>
        <v>0.79346260387811685</v>
      </c>
      <c r="S7" s="659"/>
      <c r="T7" s="92">
        <v>0.36875000000000002</v>
      </c>
      <c r="U7" s="92">
        <v>0.40833333333333333</v>
      </c>
      <c r="V7" s="65">
        <v>23</v>
      </c>
      <c r="W7" s="85">
        <f t="shared" si="8"/>
        <v>56.999999999999957</v>
      </c>
      <c r="X7" s="95">
        <v>0.35625000000000001</v>
      </c>
      <c r="Y7" s="95">
        <v>0.3659722222222222</v>
      </c>
      <c r="Z7" s="96"/>
      <c r="AA7" s="96"/>
      <c r="AB7" s="644"/>
      <c r="AC7" s="644"/>
      <c r="AD7" s="97"/>
      <c r="AE7" s="97"/>
      <c r="AF7" s="89">
        <f t="shared" si="6"/>
        <v>-487.36842105262986</v>
      </c>
      <c r="AG7" s="91">
        <f t="shared" si="7"/>
        <v>0.83754385964912337</v>
      </c>
      <c r="AH7" s="659"/>
    </row>
    <row r="8" spans="1:34" ht="18" customHeight="1">
      <c r="A8" s="693"/>
      <c r="B8" s="78" t="s">
        <v>246</v>
      </c>
      <c r="C8" s="79"/>
      <c r="D8" s="80" t="s">
        <v>111</v>
      </c>
      <c r="E8" s="81"/>
      <c r="F8" s="82">
        <v>38</v>
      </c>
      <c r="G8" s="83">
        <v>3852</v>
      </c>
      <c r="H8" s="84">
        <f t="shared" si="0"/>
        <v>146376</v>
      </c>
      <c r="I8" s="85"/>
      <c r="J8" s="86">
        <v>19</v>
      </c>
      <c r="K8" s="83">
        <v>3000</v>
      </c>
      <c r="L8" s="87">
        <v>157.89473684210526</v>
      </c>
      <c r="M8" s="88">
        <v>19</v>
      </c>
      <c r="N8" s="83">
        <f t="shared" si="1"/>
        <v>2512.1739130434785</v>
      </c>
      <c r="O8" s="87">
        <f t="shared" si="2"/>
        <v>132.21967963386729</v>
      </c>
      <c r="P8" s="89">
        <f t="shared" si="3"/>
        <v>0</v>
      </c>
      <c r="Q8" s="90">
        <f t="shared" si="4"/>
        <v>-25.675057208237973</v>
      </c>
      <c r="R8" s="91">
        <f t="shared" si="5"/>
        <v>0.83739130434782616</v>
      </c>
      <c r="S8" s="659"/>
      <c r="T8" s="92">
        <v>0.41180555555555554</v>
      </c>
      <c r="U8" s="92">
        <v>0.47569444444444442</v>
      </c>
      <c r="V8" s="65">
        <v>5</v>
      </c>
      <c r="W8" s="85">
        <f t="shared" si="8"/>
        <v>92</v>
      </c>
      <c r="X8" s="95"/>
      <c r="Y8" s="95"/>
      <c r="Z8" s="96"/>
      <c r="AA8" s="96"/>
      <c r="AB8" s="644"/>
      <c r="AC8" s="644"/>
      <c r="AD8" s="97"/>
      <c r="AE8" s="97"/>
      <c r="AF8" s="89">
        <f t="shared" si="6"/>
        <v>-487.82608695652152</v>
      </c>
      <c r="AG8" s="91">
        <f t="shared" si="7"/>
        <v>0.83739130434782616</v>
      </c>
      <c r="AH8" s="659"/>
    </row>
    <row r="9" spans="1:34" ht="20" customHeight="1">
      <c r="A9" s="693"/>
      <c r="B9" s="78" t="s">
        <v>246</v>
      </c>
      <c r="C9" s="98"/>
      <c r="D9" s="80" t="s">
        <v>108</v>
      </c>
      <c r="E9" s="99"/>
      <c r="F9" s="82">
        <v>37.94</v>
      </c>
      <c r="G9" s="100">
        <v>1126.6499999999999</v>
      </c>
      <c r="H9" s="84">
        <f t="shared" si="0"/>
        <v>42745.100999999995</v>
      </c>
      <c r="I9" s="97">
        <v>2</v>
      </c>
      <c r="J9" s="86">
        <v>20</v>
      </c>
      <c r="K9" s="83">
        <v>2400</v>
      </c>
      <c r="L9" s="87">
        <v>120</v>
      </c>
      <c r="M9" s="88">
        <v>19</v>
      </c>
      <c r="N9" s="83">
        <f t="shared" si="1"/>
        <v>2253.2999999999956</v>
      </c>
      <c r="O9" s="87">
        <f t="shared" si="2"/>
        <v>118.59473684210504</v>
      </c>
      <c r="P9" s="89">
        <f t="shared" si="3"/>
        <v>-1</v>
      </c>
      <c r="Q9" s="90">
        <f t="shared" si="4"/>
        <v>-1.4052631578949644</v>
      </c>
      <c r="R9" s="91">
        <f t="shared" si="5"/>
        <v>0.98828947368420861</v>
      </c>
      <c r="S9" s="659"/>
      <c r="T9" s="92">
        <v>0.51666666666666661</v>
      </c>
      <c r="U9" s="92">
        <v>0.53749999999999998</v>
      </c>
      <c r="V9" s="65">
        <v>6</v>
      </c>
      <c r="W9" s="85">
        <f t="shared" si="8"/>
        <v>30.000000000000053</v>
      </c>
      <c r="X9" s="95"/>
      <c r="Y9" s="95"/>
      <c r="Z9" s="96"/>
      <c r="AA9" s="96"/>
      <c r="AB9" s="644"/>
      <c r="AC9" s="644"/>
      <c r="AD9" s="97"/>
      <c r="AE9" s="97"/>
      <c r="AF9" s="89">
        <f t="shared" si="6"/>
        <v>-146.70000000000437</v>
      </c>
      <c r="AG9" s="91">
        <f t="shared" si="7"/>
        <v>0.93887499999999813</v>
      </c>
      <c r="AH9" s="659"/>
    </row>
    <row r="10" spans="1:34" ht="18" customHeight="1">
      <c r="A10" s="694"/>
      <c r="B10" s="78" t="s">
        <v>246</v>
      </c>
      <c r="C10" s="79"/>
      <c r="D10" s="80" t="s">
        <v>109</v>
      </c>
      <c r="E10" s="81"/>
      <c r="F10" s="82">
        <v>31.266131815044861</v>
      </c>
      <c r="G10" s="83">
        <v>353.5</v>
      </c>
      <c r="H10" s="84">
        <f t="shared" si="0"/>
        <v>11052.577596618359</v>
      </c>
      <c r="I10" s="85">
        <v>2</v>
      </c>
      <c r="J10" s="86">
        <v>18</v>
      </c>
      <c r="K10" s="83">
        <v>3000</v>
      </c>
      <c r="L10" s="87">
        <v>166.66666666666666</v>
      </c>
      <c r="M10" s="88">
        <v>19</v>
      </c>
      <c r="N10" s="83">
        <f t="shared" si="1"/>
        <v>2356.6666666666752</v>
      </c>
      <c r="O10" s="87">
        <f t="shared" si="2"/>
        <v>124.03508771929869</v>
      </c>
      <c r="P10" s="89">
        <f t="shared" si="3"/>
        <v>1</v>
      </c>
      <c r="Q10" s="90">
        <f t="shared" si="4"/>
        <v>-42.63157894736797</v>
      </c>
      <c r="R10" s="91">
        <f t="shared" si="5"/>
        <v>0.74421052631579221</v>
      </c>
      <c r="S10" s="662"/>
      <c r="T10" s="92">
        <v>0.54236111111111107</v>
      </c>
      <c r="U10" s="92">
        <v>0.54861111111111105</v>
      </c>
      <c r="V10" s="65">
        <v>7</v>
      </c>
      <c r="W10" s="85">
        <f t="shared" si="8"/>
        <v>8.999999999999968</v>
      </c>
      <c r="X10" s="95"/>
      <c r="Y10" s="95"/>
      <c r="Z10" s="96"/>
      <c r="AA10" s="96"/>
      <c r="AB10" s="644"/>
      <c r="AC10" s="644"/>
      <c r="AD10" s="97"/>
      <c r="AE10" s="97"/>
      <c r="AF10" s="89">
        <f t="shared" si="6"/>
        <v>-643.33333333332484</v>
      </c>
      <c r="AG10" s="91">
        <f t="shared" si="7"/>
        <v>0.78555555555555834</v>
      </c>
      <c r="AH10" s="662"/>
    </row>
    <row r="11" spans="1:34" ht="18" customHeight="1">
      <c r="A11" s="694"/>
      <c r="B11" s="78" t="s">
        <v>248</v>
      </c>
      <c r="C11" s="79"/>
      <c r="D11" s="80" t="s">
        <v>113</v>
      </c>
      <c r="E11" s="81"/>
      <c r="F11" s="82">
        <v>38.39</v>
      </c>
      <c r="G11" s="83">
        <v>973.18000000000006</v>
      </c>
      <c r="H11" s="84">
        <f t="shared" si="0"/>
        <v>37360.3802</v>
      </c>
      <c r="I11" s="85">
        <v>2</v>
      </c>
      <c r="J11" s="86">
        <v>17</v>
      </c>
      <c r="K11" s="83">
        <v>1636</v>
      </c>
      <c r="L11" s="87">
        <v>96.235294117647058</v>
      </c>
      <c r="M11" s="88">
        <v>18</v>
      </c>
      <c r="N11" s="83">
        <f t="shared" si="1"/>
        <v>1297.5733333333335</v>
      </c>
      <c r="O11" s="87">
        <f t="shared" si="2"/>
        <v>72.087407407407412</v>
      </c>
      <c r="P11" s="89">
        <f t="shared" si="3"/>
        <v>1</v>
      </c>
      <c r="Q11" s="90">
        <f t="shared" si="4"/>
        <v>-24.147886710239646</v>
      </c>
      <c r="R11" s="91">
        <f t="shared" si="5"/>
        <v>0.74907452684958797</v>
      </c>
      <c r="S11" s="662"/>
      <c r="T11" s="92">
        <v>0.5527777777777777</v>
      </c>
      <c r="U11" s="92">
        <v>0.5840277777777777</v>
      </c>
      <c r="V11" s="65">
        <v>6</v>
      </c>
      <c r="W11" s="85">
        <f t="shared" si="8"/>
        <v>45</v>
      </c>
      <c r="X11" s="95"/>
      <c r="Y11" s="95"/>
      <c r="Z11" s="96"/>
      <c r="AA11" s="96"/>
      <c r="AB11" s="644"/>
      <c r="AC11" s="644"/>
      <c r="AD11" s="97"/>
      <c r="AE11" s="97"/>
      <c r="AF11" s="89">
        <f t="shared" si="6"/>
        <v>-338.42666666666651</v>
      </c>
      <c r="AG11" s="91">
        <f t="shared" si="7"/>
        <v>0.7931377343113285</v>
      </c>
      <c r="AH11" s="662"/>
    </row>
    <row r="12" spans="1:34" ht="18" customHeight="1">
      <c r="A12" s="694"/>
      <c r="B12" s="78">
        <v>0</v>
      </c>
      <c r="C12" s="79"/>
      <c r="D12" s="80"/>
      <c r="E12" s="81"/>
      <c r="F12" s="82" t="s">
        <v>253</v>
      </c>
      <c r="G12" s="83"/>
      <c r="H12" s="84">
        <f t="shared" si="0"/>
        <v>0</v>
      </c>
      <c r="I12" s="85"/>
      <c r="J12" s="86"/>
      <c r="K12" s="83"/>
      <c r="L12" s="87"/>
      <c r="M12" s="88"/>
      <c r="N12" s="83"/>
      <c r="O12" s="87"/>
      <c r="P12" s="89"/>
      <c r="Q12" s="90"/>
      <c r="R12" s="91"/>
      <c r="S12" s="662"/>
      <c r="T12" s="92"/>
      <c r="U12" s="92"/>
      <c r="V12" s="65"/>
      <c r="W12" s="85"/>
      <c r="X12" s="95"/>
      <c r="Y12" s="95"/>
      <c r="Z12" s="96"/>
      <c r="AA12" s="96"/>
      <c r="AB12" s="644"/>
      <c r="AC12" s="644"/>
      <c r="AD12" s="97"/>
      <c r="AE12" s="97"/>
      <c r="AF12" s="89"/>
      <c r="AG12" s="91"/>
      <c r="AH12" s="662"/>
    </row>
    <row r="13" spans="1:34" ht="18" customHeight="1">
      <c r="A13" s="694"/>
      <c r="B13" s="78">
        <v>0</v>
      </c>
      <c r="C13" s="101"/>
      <c r="D13" s="102"/>
      <c r="E13" s="103"/>
      <c r="F13" s="82" t="s">
        <v>253</v>
      </c>
      <c r="G13" s="104"/>
      <c r="H13" s="84">
        <f t="shared" si="0"/>
        <v>0</v>
      </c>
      <c r="I13" s="105"/>
      <c r="J13" s="86"/>
      <c r="K13" s="83"/>
      <c r="L13" s="87"/>
      <c r="M13" s="106"/>
      <c r="N13" s="83"/>
      <c r="O13" s="87"/>
      <c r="P13" s="89"/>
      <c r="Q13" s="90"/>
      <c r="R13" s="91"/>
      <c r="S13" s="662"/>
      <c r="T13" s="107"/>
      <c r="U13" s="107"/>
      <c r="V13" s="105"/>
      <c r="W13" s="85">
        <f t="shared" si="8"/>
        <v>0</v>
      </c>
      <c r="X13" s="108"/>
      <c r="Y13" s="108"/>
      <c r="Z13" s="96"/>
      <c r="AA13" s="96"/>
      <c r="AB13" s="641"/>
      <c r="AC13" s="642"/>
      <c r="AD13" s="97"/>
      <c r="AE13" s="97"/>
      <c r="AF13" s="118"/>
      <c r="AG13" s="125"/>
      <c r="AH13" s="662"/>
    </row>
    <row r="14" spans="1:34" ht="18" customHeight="1">
      <c r="A14" s="694"/>
      <c r="B14" s="78">
        <v>0</v>
      </c>
      <c r="C14" s="109"/>
      <c r="D14" s="80"/>
      <c r="E14" s="81"/>
      <c r="F14" s="82" t="s">
        <v>253</v>
      </c>
      <c r="G14" s="104"/>
      <c r="H14" s="84">
        <f t="shared" si="0"/>
        <v>0</v>
      </c>
      <c r="I14" s="105"/>
      <c r="J14" s="86"/>
      <c r="K14" s="83"/>
      <c r="L14" s="87"/>
      <c r="M14" s="106"/>
      <c r="N14" s="83"/>
      <c r="O14" s="87"/>
      <c r="P14" s="89"/>
      <c r="Q14" s="90"/>
      <c r="R14" s="91"/>
      <c r="S14" s="662"/>
      <c r="T14" s="107"/>
      <c r="U14" s="107"/>
      <c r="V14" s="105"/>
      <c r="W14" s="85">
        <f t="shared" si="8"/>
        <v>0</v>
      </c>
      <c r="X14" s="108"/>
      <c r="Y14" s="108"/>
      <c r="Z14" s="96"/>
      <c r="AA14" s="96"/>
      <c r="AB14" s="641"/>
      <c r="AC14" s="642"/>
      <c r="AD14" s="97"/>
      <c r="AE14" s="97"/>
      <c r="AF14" s="118"/>
      <c r="AG14" s="125"/>
      <c r="AH14" s="662"/>
    </row>
    <row r="15" spans="1:34" ht="18" customHeight="1">
      <c r="A15" s="694"/>
      <c r="B15" s="110">
        <v>0</v>
      </c>
      <c r="C15" s="101"/>
      <c r="D15" s="102"/>
      <c r="E15" s="103"/>
      <c r="F15" s="82" t="s">
        <v>253</v>
      </c>
      <c r="G15" s="104"/>
      <c r="H15" s="84">
        <f t="shared" si="0"/>
        <v>0</v>
      </c>
      <c r="I15" s="105"/>
      <c r="J15" s="86"/>
      <c r="K15" s="83"/>
      <c r="L15" s="87"/>
      <c r="M15" s="106"/>
      <c r="N15" s="111"/>
      <c r="O15" s="87"/>
      <c r="P15" s="89"/>
      <c r="Q15" s="90"/>
      <c r="R15" s="91"/>
      <c r="S15" s="662"/>
      <c r="T15" s="107"/>
      <c r="U15" s="107"/>
      <c r="V15" s="105"/>
      <c r="W15" s="85">
        <f t="shared" si="8"/>
        <v>0</v>
      </c>
      <c r="X15" s="108"/>
      <c r="Y15" s="108"/>
      <c r="Z15" s="96"/>
      <c r="AA15" s="96"/>
      <c r="AB15" s="641"/>
      <c r="AC15" s="642"/>
      <c r="AD15" s="97"/>
      <c r="AE15" s="97"/>
      <c r="AF15" s="118"/>
      <c r="AG15" s="125"/>
      <c r="AH15" s="662"/>
    </row>
    <row r="16" spans="1:34" ht="18" customHeight="1">
      <c r="A16" s="694"/>
      <c r="B16" s="110">
        <v>0</v>
      </c>
      <c r="C16" s="101"/>
      <c r="D16" s="102"/>
      <c r="E16" s="103"/>
      <c r="F16" s="82" t="s">
        <v>253</v>
      </c>
      <c r="G16" s="104"/>
      <c r="H16" s="84">
        <f t="shared" si="0"/>
        <v>0</v>
      </c>
      <c r="I16" s="105"/>
      <c r="J16" s="86"/>
      <c r="K16" s="83"/>
      <c r="L16" s="87"/>
      <c r="M16" s="106"/>
      <c r="N16" s="111"/>
      <c r="O16" s="87"/>
      <c r="P16" s="89"/>
      <c r="Q16" s="90"/>
      <c r="R16" s="91"/>
      <c r="S16" s="662"/>
      <c r="T16" s="107"/>
      <c r="U16" s="107"/>
      <c r="V16" s="105"/>
      <c r="W16" s="85">
        <f t="shared" si="8"/>
        <v>0</v>
      </c>
      <c r="X16" s="108"/>
      <c r="Y16" s="108"/>
      <c r="Z16" s="96"/>
      <c r="AA16" s="96"/>
      <c r="AB16" s="641"/>
      <c r="AC16" s="642"/>
      <c r="AD16" s="97"/>
      <c r="AE16" s="97"/>
      <c r="AF16" s="118"/>
      <c r="AG16" s="125"/>
      <c r="AH16" s="662"/>
    </row>
    <row r="17" spans="1:34" ht="18" customHeight="1">
      <c r="A17" s="694"/>
      <c r="B17" s="112">
        <v>0</v>
      </c>
      <c r="C17" s="112" t="s">
        <v>13</v>
      </c>
      <c r="D17" s="635" t="s">
        <v>220</v>
      </c>
      <c r="E17" s="635"/>
      <c r="F17" s="113"/>
      <c r="G17" s="114"/>
      <c r="H17" s="115"/>
      <c r="I17" s="116"/>
      <c r="J17" s="114">
        <v>18.571428571428573</v>
      </c>
      <c r="K17" s="114">
        <v>2633.7142857142858</v>
      </c>
      <c r="L17" s="117">
        <v>142.01857585139317</v>
      </c>
      <c r="M17" s="114">
        <f t="shared" ref="M17:O17" si="9">AVERAGE(M5:M16)</f>
        <v>18.857142857142858</v>
      </c>
      <c r="N17" s="114">
        <f t="shared" si="9"/>
        <v>2237.4595458088829</v>
      </c>
      <c r="O17" s="117">
        <f t="shared" si="9"/>
        <v>118.3030393087939</v>
      </c>
      <c r="P17" s="118">
        <f t="shared" ref="P17:P22" si="10">M17-J17</f>
        <v>0.2857142857142847</v>
      </c>
      <c r="Q17" s="119">
        <f t="shared" ref="Q17:Q22" si="11">O17-L17</f>
        <v>-23.715536542599267</v>
      </c>
      <c r="R17" s="120">
        <f>O17/L17</f>
        <v>0.83301102408311034</v>
      </c>
      <c r="S17" s="662"/>
      <c r="T17" s="107"/>
      <c r="U17" s="107"/>
      <c r="V17" s="105"/>
      <c r="W17" s="121">
        <f t="shared" si="8"/>
        <v>0</v>
      </c>
      <c r="X17" s="122"/>
      <c r="Y17" s="122"/>
      <c r="Z17" s="123">
        <f>SUM(Z5:Z16)</f>
        <v>0</v>
      </c>
      <c r="AA17" s="123">
        <f>SUM(AA5:AA16)</f>
        <v>0</v>
      </c>
      <c r="AB17" s="637"/>
      <c r="AC17" s="637"/>
      <c r="AD17" s="124">
        <f>SUM(AD5:AD16)</f>
        <v>0</v>
      </c>
      <c r="AE17" s="124">
        <f>SUM(AE5:AE16)</f>
        <v>0</v>
      </c>
      <c r="AF17" s="118">
        <f t="shared" si="6"/>
        <v>-396.25473990540286</v>
      </c>
      <c r="AG17" s="125">
        <f t="shared" si="7"/>
        <v>0.84954528209276303</v>
      </c>
      <c r="AH17" s="662"/>
    </row>
    <row r="18" spans="1:34" ht="18" customHeight="1">
      <c r="A18" s="631" t="s">
        <v>221</v>
      </c>
      <c r="B18" s="346" t="s">
        <v>246</v>
      </c>
      <c r="C18" s="127"/>
      <c r="D18" s="168" t="s">
        <v>115</v>
      </c>
      <c r="E18" s="169"/>
      <c r="F18" s="347">
        <v>36.86</v>
      </c>
      <c r="G18" s="100">
        <v>1321</v>
      </c>
      <c r="H18" s="129">
        <f t="shared" ref="H18:H29" si="12">F18*G18</f>
        <v>48692.06</v>
      </c>
      <c r="I18" s="97"/>
      <c r="J18" s="348">
        <v>20</v>
      </c>
      <c r="K18" s="100">
        <v>2250</v>
      </c>
      <c r="L18" s="131">
        <v>112.5</v>
      </c>
      <c r="M18" s="130">
        <v>20</v>
      </c>
      <c r="N18" s="100">
        <f t="shared" ref="N18:N22" si="13">G18/W18*60</f>
        <v>1981.5000000000011</v>
      </c>
      <c r="O18" s="131">
        <f t="shared" ref="O18:O22" si="14">N18/M18</f>
        <v>99.07500000000006</v>
      </c>
      <c r="P18" s="96">
        <f t="shared" si="10"/>
        <v>0</v>
      </c>
      <c r="Q18" s="132">
        <f t="shared" si="11"/>
        <v>-13.42499999999994</v>
      </c>
      <c r="R18" s="133">
        <f t="shared" ref="R18:R22" si="15">O18/L18</f>
        <v>0.88066666666666715</v>
      </c>
      <c r="S18" s="632">
        <f>R30</f>
        <v>0.84937188869784019</v>
      </c>
      <c r="T18" s="134">
        <v>0.16666666666666666</v>
      </c>
      <c r="U18" s="134">
        <v>0.19444444444444442</v>
      </c>
      <c r="V18" s="97">
        <v>5</v>
      </c>
      <c r="W18" s="135">
        <f>(U18-T18)*24*60</f>
        <v>39.999999999999979</v>
      </c>
      <c r="X18" s="131"/>
      <c r="Y18" s="131"/>
      <c r="Z18" s="96"/>
      <c r="AA18" s="96"/>
      <c r="AB18" s="664"/>
      <c r="AC18" s="707"/>
      <c r="AD18" s="97"/>
      <c r="AE18" s="97"/>
      <c r="AF18" s="349">
        <f t="shared" si="6"/>
        <v>-268.49999999999886</v>
      </c>
      <c r="AG18" s="350">
        <f t="shared" si="7"/>
        <v>0.88066666666666715</v>
      </c>
      <c r="AH18" s="708">
        <f>AG30</f>
        <v>0.85060462062276609</v>
      </c>
    </row>
    <row r="19" spans="1:34" ht="18" customHeight="1">
      <c r="A19" s="631"/>
      <c r="B19" s="351" t="s">
        <v>248</v>
      </c>
      <c r="C19" s="219"/>
      <c r="D19" s="168" t="s">
        <v>116</v>
      </c>
      <c r="E19" s="169"/>
      <c r="F19" s="82">
        <v>56.43</v>
      </c>
      <c r="G19" s="100">
        <v>2778</v>
      </c>
      <c r="H19" s="129">
        <f t="shared" si="12"/>
        <v>156762.54</v>
      </c>
      <c r="I19" s="97"/>
      <c r="J19" s="352">
        <v>18</v>
      </c>
      <c r="K19" s="83">
        <v>1500</v>
      </c>
      <c r="L19" s="87">
        <v>83.333333333333329</v>
      </c>
      <c r="M19" s="130">
        <v>18</v>
      </c>
      <c r="N19" s="151">
        <f t="shared" si="13"/>
        <v>1344.1935483870971</v>
      </c>
      <c r="O19" s="154">
        <f t="shared" si="14"/>
        <v>74.677419354838719</v>
      </c>
      <c r="P19" s="96">
        <f t="shared" si="10"/>
        <v>0</v>
      </c>
      <c r="Q19" s="132">
        <f t="shared" si="11"/>
        <v>-8.6559139784946098</v>
      </c>
      <c r="R19" s="133">
        <f t="shared" si="15"/>
        <v>0.89612903225806473</v>
      </c>
      <c r="S19" s="632"/>
      <c r="T19" s="134">
        <v>0.21041666666666664</v>
      </c>
      <c r="U19" s="134">
        <v>0.29652777777777772</v>
      </c>
      <c r="V19" s="97">
        <v>23</v>
      </c>
      <c r="W19" s="135">
        <f>(U19-T19)*24*60</f>
        <v>123.99999999999996</v>
      </c>
      <c r="X19" s="136">
        <v>0.19791666666666666</v>
      </c>
      <c r="Y19" s="136">
        <v>0.2076388888888889</v>
      </c>
      <c r="Z19" s="96"/>
      <c r="AA19" s="96"/>
      <c r="AB19" s="642"/>
      <c r="AC19" s="644"/>
      <c r="AD19" s="97"/>
      <c r="AE19" s="97"/>
      <c r="AF19" s="89">
        <f t="shared" si="6"/>
        <v>-155.80645161290295</v>
      </c>
      <c r="AG19" s="91">
        <f t="shared" si="7"/>
        <v>0.89612903225806473</v>
      </c>
      <c r="AH19" s="709"/>
    </row>
    <row r="20" spans="1:34" ht="18" customHeight="1">
      <c r="A20" s="631"/>
      <c r="B20" s="351" t="s">
        <v>248</v>
      </c>
      <c r="C20" s="98"/>
      <c r="D20" s="80" t="s">
        <v>113</v>
      </c>
      <c r="E20" s="169"/>
      <c r="F20" s="82">
        <v>38.39</v>
      </c>
      <c r="G20" s="100">
        <v>4148.8200000000006</v>
      </c>
      <c r="H20" s="129">
        <f t="shared" si="12"/>
        <v>159273.19980000003</v>
      </c>
      <c r="I20" s="97"/>
      <c r="J20" s="352">
        <v>17</v>
      </c>
      <c r="K20" s="83">
        <v>1636</v>
      </c>
      <c r="L20" s="87">
        <v>96.235294117647058</v>
      </c>
      <c r="M20" s="130">
        <v>18</v>
      </c>
      <c r="N20" s="151">
        <f t="shared" si="13"/>
        <v>1317.0857142857142</v>
      </c>
      <c r="O20" s="154">
        <f t="shared" si="14"/>
        <v>73.171428571428564</v>
      </c>
      <c r="P20" s="96">
        <f t="shared" si="10"/>
        <v>1</v>
      </c>
      <c r="Q20" s="132">
        <f t="shared" si="11"/>
        <v>-23.063865546218494</v>
      </c>
      <c r="R20" s="133">
        <f t="shared" si="15"/>
        <v>0.76033880544882981</v>
      </c>
      <c r="S20" s="632"/>
      <c r="T20" s="134">
        <v>0.3118055555555555</v>
      </c>
      <c r="U20" s="134">
        <v>0.44305555555555554</v>
      </c>
      <c r="V20" s="97">
        <v>22</v>
      </c>
      <c r="W20" s="135">
        <f t="shared" ref="W20:W29" si="16">(U20-T20)*24*60</f>
        <v>189.00000000000006</v>
      </c>
      <c r="X20" s="136">
        <v>0.3</v>
      </c>
      <c r="Y20" s="136">
        <v>0.30902777777777779</v>
      </c>
      <c r="Z20" s="96"/>
      <c r="AA20" s="96"/>
      <c r="AB20" s="642"/>
      <c r="AC20" s="644"/>
      <c r="AD20" s="97"/>
      <c r="AE20" s="97"/>
      <c r="AF20" s="89">
        <f t="shared" si="6"/>
        <v>-318.91428571428582</v>
      </c>
      <c r="AG20" s="91">
        <f t="shared" si="7"/>
        <v>0.80506461753405512</v>
      </c>
      <c r="AH20" s="709"/>
    </row>
    <row r="21" spans="1:34" ht="18" customHeight="1">
      <c r="A21" s="631"/>
      <c r="B21" s="351" t="s">
        <v>247</v>
      </c>
      <c r="C21" s="176"/>
      <c r="D21" s="165" t="s">
        <v>117</v>
      </c>
      <c r="E21" s="81"/>
      <c r="F21" s="82">
        <v>43.14</v>
      </c>
      <c r="G21" s="83">
        <v>539</v>
      </c>
      <c r="H21" s="129">
        <f t="shared" si="12"/>
        <v>23252.46</v>
      </c>
      <c r="I21" s="65"/>
      <c r="J21" s="352">
        <v>17</v>
      </c>
      <c r="K21" s="83">
        <v>1440</v>
      </c>
      <c r="L21" s="87">
        <v>84.705882352941174</v>
      </c>
      <c r="M21" s="88">
        <v>17</v>
      </c>
      <c r="N21" s="151">
        <f t="shared" si="13"/>
        <v>1077.999999999998</v>
      </c>
      <c r="O21" s="154">
        <f t="shared" si="14"/>
        <v>63.411764705882234</v>
      </c>
      <c r="P21" s="96">
        <f t="shared" si="10"/>
        <v>0</v>
      </c>
      <c r="Q21" s="132">
        <f t="shared" si="11"/>
        <v>-21.29411764705894</v>
      </c>
      <c r="R21" s="133">
        <f t="shared" si="15"/>
        <v>0.74861111111110978</v>
      </c>
      <c r="S21" s="632"/>
      <c r="T21" s="134">
        <v>0.48402777777777772</v>
      </c>
      <c r="U21" s="134">
        <v>0.50486111111111109</v>
      </c>
      <c r="V21" s="97">
        <v>6</v>
      </c>
      <c r="W21" s="135">
        <f t="shared" si="16"/>
        <v>30.000000000000053</v>
      </c>
      <c r="X21" s="136"/>
      <c r="Y21" s="136"/>
      <c r="Z21" s="96"/>
      <c r="AA21" s="96"/>
      <c r="AB21" s="642" t="s">
        <v>191</v>
      </c>
      <c r="AC21" s="644"/>
      <c r="AD21" s="97"/>
      <c r="AE21" s="97"/>
      <c r="AF21" s="89">
        <f t="shared" si="6"/>
        <v>-362.00000000000205</v>
      </c>
      <c r="AG21" s="91">
        <f t="shared" si="7"/>
        <v>0.74861111111110967</v>
      </c>
      <c r="AH21" s="710"/>
    </row>
    <row r="22" spans="1:34" ht="18" customHeight="1">
      <c r="A22" s="631"/>
      <c r="B22" s="351" t="s">
        <v>248</v>
      </c>
      <c r="C22" s="176"/>
      <c r="D22" s="80" t="s">
        <v>118</v>
      </c>
      <c r="E22" s="81"/>
      <c r="F22" s="82">
        <v>44.3</v>
      </c>
      <c r="G22" s="83">
        <v>1994</v>
      </c>
      <c r="H22" s="129">
        <f t="shared" si="12"/>
        <v>88334.2</v>
      </c>
      <c r="I22" s="65"/>
      <c r="J22" s="352">
        <v>18</v>
      </c>
      <c r="K22" s="83">
        <v>1636</v>
      </c>
      <c r="L22" s="87">
        <v>90.888888888888886</v>
      </c>
      <c r="M22" s="130">
        <v>17</v>
      </c>
      <c r="N22" s="151">
        <f t="shared" si="13"/>
        <v>1477.0370370370365</v>
      </c>
      <c r="O22" s="154">
        <f t="shared" si="14"/>
        <v>86.884531590413914</v>
      </c>
      <c r="P22" s="96">
        <f t="shared" si="10"/>
        <v>-1</v>
      </c>
      <c r="Q22" s="132">
        <f t="shared" si="11"/>
        <v>-4.0043572984749716</v>
      </c>
      <c r="R22" s="133">
        <f t="shared" si="15"/>
        <v>0.95594227911213359</v>
      </c>
      <c r="S22" s="632"/>
      <c r="T22" s="134">
        <v>0.50972222222222219</v>
      </c>
      <c r="U22" s="134">
        <v>0.56597222222222221</v>
      </c>
      <c r="V22" s="97">
        <v>7</v>
      </c>
      <c r="W22" s="135">
        <f t="shared" si="16"/>
        <v>81.000000000000028</v>
      </c>
      <c r="X22" s="136"/>
      <c r="Y22" s="136"/>
      <c r="Z22" s="96"/>
      <c r="AA22" s="96"/>
      <c r="AB22" s="642"/>
      <c r="AC22" s="644"/>
      <c r="AD22" s="97"/>
      <c r="AE22" s="97"/>
      <c r="AF22" s="89">
        <f t="shared" si="6"/>
        <v>-158.9629629629635</v>
      </c>
      <c r="AG22" s="91">
        <f t="shared" si="7"/>
        <v>0.902834374717015</v>
      </c>
      <c r="AH22" s="710"/>
    </row>
    <row r="23" spans="1:34" ht="18" customHeight="1">
      <c r="A23" s="631"/>
      <c r="B23" s="351">
        <v>0</v>
      </c>
      <c r="C23" s="176"/>
      <c r="D23" s="80"/>
      <c r="E23" s="81"/>
      <c r="F23" s="82" t="s">
        <v>253</v>
      </c>
      <c r="G23" s="83"/>
      <c r="H23" s="129">
        <f t="shared" si="12"/>
        <v>0</v>
      </c>
      <c r="I23" s="65"/>
      <c r="J23" s="352"/>
      <c r="K23" s="83"/>
      <c r="L23" s="87"/>
      <c r="M23" s="130"/>
      <c r="N23" s="151"/>
      <c r="O23" s="154"/>
      <c r="P23" s="96"/>
      <c r="Q23" s="132"/>
      <c r="R23" s="133"/>
      <c r="S23" s="632"/>
      <c r="T23" s="134"/>
      <c r="U23" s="134"/>
      <c r="V23" s="97"/>
      <c r="W23" s="135"/>
      <c r="X23" s="136"/>
      <c r="Y23" s="136"/>
      <c r="Z23" s="96"/>
      <c r="AA23" s="96"/>
      <c r="AB23" s="642"/>
      <c r="AC23" s="644"/>
      <c r="AD23" s="97"/>
      <c r="AE23" s="97"/>
      <c r="AF23" s="89"/>
      <c r="AG23" s="91"/>
      <c r="AH23" s="710"/>
    </row>
    <row r="24" spans="1:34" ht="18" customHeight="1">
      <c r="A24" s="631"/>
      <c r="B24" s="351">
        <v>0</v>
      </c>
      <c r="C24" s="127"/>
      <c r="D24" s="168"/>
      <c r="E24" s="169"/>
      <c r="F24" s="82" t="s">
        <v>253</v>
      </c>
      <c r="G24" s="100"/>
      <c r="H24" s="129">
        <f t="shared" si="12"/>
        <v>0</v>
      </c>
      <c r="I24" s="135"/>
      <c r="J24" s="352"/>
      <c r="K24" s="83"/>
      <c r="L24" s="87"/>
      <c r="M24" s="130"/>
      <c r="N24" s="151"/>
      <c r="O24" s="154"/>
      <c r="P24" s="96"/>
      <c r="Q24" s="132"/>
      <c r="R24" s="133"/>
      <c r="S24" s="632"/>
      <c r="T24" s="134"/>
      <c r="U24" s="134"/>
      <c r="V24" s="97"/>
      <c r="W24" s="135"/>
      <c r="X24" s="97"/>
      <c r="Y24" s="97"/>
      <c r="Z24" s="96"/>
      <c r="AA24" s="96"/>
      <c r="AB24" s="642"/>
      <c r="AC24" s="644"/>
      <c r="AD24" s="97"/>
      <c r="AE24" s="97"/>
      <c r="AF24" s="89">
        <f t="shared" si="6"/>
        <v>0</v>
      </c>
      <c r="AG24" s="91"/>
      <c r="AH24" s="710"/>
    </row>
    <row r="25" spans="1:34" ht="18" customHeight="1">
      <c r="A25" s="631"/>
      <c r="B25" s="351">
        <v>0</v>
      </c>
      <c r="C25" s="127"/>
      <c r="D25" s="168"/>
      <c r="E25" s="169"/>
      <c r="F25" s="82" t="s">
        <v>253</v>
      </c>
      <c r="G25" s="100"/>
      <c r="H25" s="129"/>
      <c r="I25" s="135"/>
      <c r="J25" s="130"/>
      <c r="K25" s="100"/>
      <c r="L25" s="131"/>
      <c r="M25" s="130"/>
      <c r="N25" s="100"/>
      <c r="O25" s="131"/>
      <c r="P25" s="96"/>
      <c r="Q25" s="132"/>
      <c r="R25" s="133"/>
      <c r="S25" s="632"/>
      <c r="T25" s="134"/>
      <c r="U25" s="134"/>
      <c r="V25" s="97"/>
      <c r="W25" s="135">
        <f t="shared" si="16"/>
        <v>0</v>
      </c>
      <c r="X25" s="97"/>
      <c r="Y25" s="97"/>
      <c r="Z25" s="96"/>
      <c r="AA25" s="96"/>
      <c r="AB25" s="642"/>
      <c r="AC25" s="644"/>
      <c r="AD25" s="97"/>
      <c r="AE25" s="97"/>
      <c r="AF25" s="89">
        <f t="shared" si="6"/>
        <v>0</v>
      </c>
      <c r="AG25" s="91"/>
      <c r="AH25" s="710"/>
    </row>
    <row r="26" spans="1:34" ht="18" customHeight="1">
      <c r="A26" s="631"/>
      <c r="B26" s="351">
        <v>0</v>
      </c>
      <c r="C26" s="127"/>
      <c r="D26" s="168"/>
      <c r="E26" s="169"/>
      <c r="F26" s="82" t="s">
        <v>253</v>
      </c>
      <c r="G26" s="100"/>
      <c r="H26" s="84"/>
      <c r="I26" s="135"/>
      <c r="J26" s="130"/>
      <c r="K26" s="100"/>
      <c r="L26" s="131"/>
      <c r="M26" s="130"/>
      <c r="N26" s="100"/>
      <c r="O26" s="131"/>
      <c r="P26" s="96"/>
      <c r="Q26" s="132"/>
      <c r="R26" s="133"/>
      <c r="S26" s="632"/>
      <c r="T26" s="134"/>
      <c r="U26" s="134"/>
      <c r="V26" s="97"/>
      <c r="W26" s="135">
        <f t="shared" si="16"/>
        <v>0</v>
      </c>
      <c r="X26" s="97"/>
      <c r="Y26" s="97"/>
      <c r="Z26" s="96"/>
      <c r="AA26" s="96"/>
      <c r="AB26" s="642"/>
      <c r="AC26" s="644"/>
      <c r="AD26" s="97"/>
      <c r="AE26" s="97"/>
      <c r="AF26" s="89">
        <f t="shared" si="6"/>
        <v>0</v>
      </c>
      <c r="AG26" s="91"/>
      <c r="AH26" s="710"/>
    </row>
    <row r="27" spans="1:34" ht="18" customHeight="1">
      <c r="A27" s="631"/>
      <c r="B27" s="346">
        <v>0</v>
      </c>
      <c r="C27" s="127"/>
      <c r="D27" s="168"/>
      <c r="E27" s="169"/>
      <c r="F27" s="128" t="s">
        <v>253</v>
      </c>
      <c r="G27" s="100"/>
      <c r="H27" s="129">
        <f t="shared" si="12"/>
        <v>0</v>
      </c>
      <c r="I27" s="135"/>
      <c r="J27" s="130"/>
      <c r="K27" s="100"/>
      <c r="L27" s="131"/>
      <c r="M27" s="130"/>
      <c r="N27" s="100"/>
      <c r="O27" s="131"/>
      <c r="P27" s="96"/>
      <c r="Q27" s="132"/>
      <c r="R27" s="133"/>
      <c r="S27" s="632"/>
      <c r="T27" s="134"/>
      <c r="U27" s="134"/>
      <c r="V27" s="97"/>
      <c r="W27" s="135">
        <f t="shared" si="16"/>
        <v>0</v>
      </c>
      <c r="X27" s="97"/>
      <c r="Y27" s="97"/>
      <c r="Z27" s="96"/>
      <c r="AA27" s="96"/>
      <c r="AB27" s="642"/>
      <c r="AC27" s="644"/>
      <c r="AD27" s="97"/>
      <c r="AE27" s="97"/>
      <c r="AF27" s="89">
        <f t="shared" si="6"/>
        <v>0</v>
      </c>
      <c r="AG27" s="91"/>
      <c r="AH27" s="710"/>
    </row>
    <row r="28" spans="1:34" ht="18" customHeight="1">
      <c r="A28" s="631"/>
      <c r="B28" s="346">
        <v>0</v>
      </c>
      <c r="C28" s="127"/>
      <c r="D28" s="168"/>
      <c r="E28" s="169"/>
      <c r="F28" s="128" t="s">
        <v>253</v>
      </c>
      <c r="G28" s="100"/>
      <c r="H28" s="129">
        <f t="shared" si="12"/>
        <v>0</v>
      </c>
      <c r="I28" s="135"/>
      <c r="J28" s="130"/>
      <c r="K28" s="100"/>
      <c r="L28" s="131"/>
      <c r="M28" s="130"/>
      <c r="N28" s="100"/>
      <c r="O28" s="131"/>
      <c r="P28" s="96"/>
      <c r="Q28" s="132"/>
      <c r="R28" s="133"/>
      <c r="S28" s="632"/>
      <c r="T28" s="134"/>
      <c r="U28" s="134"/>
      <c r="V28" s="97"/>
      <c r="W28" s="135">
        <f t="shared" si="16"/>
        <v>0</v>
      </c>
      <c r="X28" s="97"/>
      <c r="Y28" s="97"/>
      <c r="Z28" s="96"/>
      <c r="AA28" s="96"/>
      <c r="AB28" s="642"/>
      <c r="AC28" s="644"/>
      <c r="AD28" s="97"/>
      <c r="AE28" s="97"/>
      <c r="AF28" s="89">
        <f t="shared" si="6"/>
        <v>0</v>
      </c>
      <c r="AG28" s="91"/>
      <c r="AH28" s="710"/>
    </row>
    <row r="29" spans="1:34" ht="18" customHeight="1">
      <c r="A29" s="631"/>
      <c r="B29" s="346">
        <v>0</v>
      </c>
      <c r="C29" s="127"/>
      <c r="D29" s="168"/>
      <c r="E29" s="169"/>
      <c r="F29" s="128" t="s">
        <v>253</v>
      </c>
      <c r="G29" s="100"/>
      <c r="H29" s="129">
        <f t="shared" si="12"/>
        <v>0</v>
      </c>
      <c r="I29" s="135"/>
      <c r="J29" s="130"/>
      <c r="K29" s="100"/>
      <c r="L29" s="131"/>
      <c r="M29" s="130"/>
      <c r="N29" s="100"/>
      <c r="O29" s="131"/>
      <c r="P29" s="96"/>
      <c r="Q29" s="132"/>
      <c r="R29" s="133"/>
      <c r="S29" s="632"/>
      <c r="T29" s="134"/>
      <c r="U29" s="134"/>
      <c r="V29" s="97"/>
      <c r="W29" s="135">
        <f t="shared" si="16"/>
        <v>0</v>
      </c>
      <c r="X29" s="97"/>
      <c r="Y29" s="97"/>
      <c r="Z29" s="96"/>
      <c r="AA29" s="96"/>
      <c r="AB29" s="642"/>
      <c r="AC29" s="644"/>
      <c r="AD29" s="97"/>
      <c r="AE29" s="97"/>
      <c r="AF29" s="89">
        <f t="shared" si="6"/>
        <v>0</v>
      </c>
      <c r="AG29" s="91"/>
      <c r="AH29" s="710"/>
    </row>
    <row r="30" spans="1:34" ht="18" customHeight="1">
      <c r="A30" s="631"/>
      <c r="B30" s="353">
        <v>0</v>
      </c>
      <c r="C30" s="138" t="s">
        <v>222</v>
      </c>
      <c r="D30" s="685" t="s">
        <v>220</v>
      </c>
      <c r="E30" s="685"/>
      <c r="F30" s="139"/>
      <c r="G30" s="140"/>
      <c r="H30" s="141"/>
      <c r="I30" s="142"/>
      <c r="J30" s="140">
        <v>18</v>
      </c>
      <c r="K30" s="140">
        <v>1692.4</v>
      </c>
      <c r="L30" s="143">
        <v>93.532679738562095</v>
      </c>
      <c r="M30" s="140">
        <f t="shared" ref="M30:O30" si="17">AVERAGE(M18:M29)</f>
        <v>18</v>
      </c>
      <c r="N30" s="140">
        <f t="shared" si="17"/>
        <v>1439.5632599419694</v>
      </c>
      <c r="O30" s="143">
        <f t="shared" si="17"/>
        <v>79.444028844512701</v>
      </c>
      <c r="P30" s="96">
        <f t="shared" ref="P30:P36" si="18">M30-J30</f>
        <v>0</v>
      </c>
      <c r="Q30" s="132">
        <f t="shared" ref="Q30:Q36" si="19">O30-L30</f>
        <v>-14.088650894049394</v>
      </c>
      <c r="R30" s="144">
        <f t="shared" ref="R30:R36" si="20">O30/L30</f>
        <v>0.84937188869784019</v>
      </c>
      <c r="S30" s="632"/>
      <c r="T30" s="134"/>
      <c r="U30" s="134"/>
      <c r="V30" s="100"/>
      <c r="W30" s="100"/>
      <c r="X30" s="131"/>
      <c r="Y30" s="131"/>
      <c r="Z30" s="145">
        <f>SUM(Z18:Z29)</f>
        <v>0</v>
      </c>
      <c r="AA30" s="145">
        <f>SUM(AA18:AA29)</f>
        <v>0</v>
      </c>
      <c r="AB30" s="706"/>
      <c r="AC30" s="657"/>
      <c r="AD30" s="146">
        <f>SUM(AD18:AD29)</f>
        <v>0</v>
      </c>
      <c r="AE30" s="146">
        <f>SUM(AE18:AE29)</f>
        <v>0</v>
      </c>
      <c r="AF30" s="238">
        <f t="shared" si="6"/>
        <v>-252.83674005803073</v>
      </c>
      <c r="AG30" s="240">
        <f t="shared" ref="AG30" si="21">N30/K30</f>
        <v>0.85060462062276609</v>
      </c>
      <c r="AH30" s="711"/>
    </row>
    <row r="31" spans="1:34" ht="18" customHeight="1">
      <c r="A31" s="682" t="s">
        <v>223</v>
      </c>
      <c r="B31" s="147" t="s">
        <v>249</v>
      </c>
      <c r="C31" s="109"/>
      <c r="D31" s="148" t="s">
        <v>119</v>
      </c>
      <c r="E31" s="149"/>
      <c r="F31" s="150">
        <v>34.229999999999997</v>
      </c>
      <c r="G31" s="151">
        <v>2012</v>
      </c>
      <c r="H31" s="152">
        <f t="shared" ref="H31:H40" si="22">F31*G31</f>
        <v>68870.759999999995</v>
      </c>
      <c r="I31" s="94"/>
      <c r="J31" s="153">
        <v>14</v>
      </c>
      <c r="K31" s="151">
        <v>2118</v>
      </c>
      <c r="L31" s="154">
        <v>151.28571428571428</v>
      </c>
      <c r="M31" s="155">
        <v>14</v>
      </c>
      <c r="N31" s="156">
        <f t="shared" ref="N31:N36" si="23">G31/W31*60</f>
        <v>1979.0163934426234</v>
      </c>
      <c r="O31" s="157">
        <f t="shared" ref="O31:O36" si="24">N31/M31</f>
        <v>141.35831381733024</v>
      </c>
      <c r="P31" s="158">
        <f t="shared" si="18"/>
        <v>0</v>
      </c>
      <c r="Q31" s="159">
        <f t="shared" si="19"/>
        <v>-9.927400468384036</v>
      </c>
      <c r="R31" s="160">
        <f t="shared" si="20"/>
        <v>0.9343797891608232</v>
      </c>
      <c r="S31" s="684">
        <f>R43</f>
        <v>0.9002512854389485</v>
      </c>
      <c r="T31" s="161">
        <v>0.16666666666666666</v>
      </c>
      <c r="U31" s="161">
        <v>0.20902777777777776</v>
      </c>
      <c r="V31" s="94">
        <v>5</v>
      </c>
      <c r="W31" s="162">
        <f t="shared" ref="W31:W42" si="25">(U31-T31)*24*60</f>
        <v>60.999999999999986</v>
      </c>
      <c r="X31" s="94"/>
      <c r="Y31" s="94"/>
      <c r="Z31" s="93"/>
      <c r="AA31" s="93"/>
      <c r="AB31" s="645"/>
      <c r="AC31" s="654"/>
      <c r="AD31" s="94"/>
      <c r="AE31" s="94"/>
      <c r="AF31" s="158">
        <f t="shared" si="6"/>
        <v>-138.98360655737656</v>
      </c>
      <c r="AG31" s="163">
        <f t="shared" si="7"/>
        <v>0.9343797891608232</v>
      </c>
      <c r="AH31" s="661">
        <f>AG43</f>
        <v>0.87519410412708221</v>
      </c>
    </row>
    <row r="32" spans="1:34" ht="18" customHeight="1">
      <c r="A32" s="683"/>
      <c r="B32" s="126" t="s">
        <v>250</v>
      </c>
      <c r="C32" s="164"/>
      <c r="D32" s="165" t="s">
        <v>120</v>
      </c>
      <c r="E32" s="81"/>
      <c r="F32" s="82">
        <v>35.33</v>
      </c>
      <c r="G32" s="83">
        <v>2425</v>
      </c>
      <c r="H32" s="129">
        <f t="shared" si="22"/>
        <v>85675.25</v>
      </c>
      <c r="I32" s="85"/>
      <c r="J32" s="86">
        <v>13</v>
      </c>
      <c r="K32" s="83">
        <v>2118</v>
      </c>
      <c r="L32" s="87">
        <v>162.92307692307693</v>
      </c>
      <c r="M32" s="88">
        <v>13</v>
      </c>
      <c r="N32" s="83">
        <f t="shared" si="23"/>
        <v>2020.8333333333339</v>
      </c>
      <c r="O32" s="87">
        <f t="shared" si="24"/>
        <v>155.44871794871798</v>
      </c>
      <c r="P32" s="89">
        <f t="shared" si="18"/>
        <v>0</v>
      </c>
      <c r="Q32" s="90">
        <f t="shared" si="19"/>
        <v>-7.4743589743589496</v>
      </c>
      <c r="R32" s="91">
        <f t="shared" si="20"/>
        <v>0.95412338684293374</v>
      </c>
      <c r="S32" s="632"/>
      <c r="T32" s="134">
        <v>0.21249999999999997</v>
      </c>
      <c r="U32" s="134">
        <v>0.26249999999999996</v>
      </c>
      <c r="V32" s="97">
        <v>5</v>
      </c>
      <c r="W32" s="135">
        <f t="shared" si="25"/>
        <v>71.999999999999986</v>
      </c>
      <c r="X32" s="166"/>
      <c r="Y32" s="166"/>
      <c r="Z32" s="167"/>
      <c r="AA32" s="167"/>
      <c r="AB32" s="642"/>
      <c r="AC32" s="644"/>
      <c r="AD32" s="97"/>
      <c r="AE32" s="97"/>
      <c r="AF32" s="89">
        <f t="shared" si="6"/>
        <v>-97.16666666666606</v>
      </c>
      <c r="AG32" s="91">
        <f t="shared" si="7"/>
        <v>0.95412338684293385</v>
      </c>
      <c r="AH32" s="659"/>
    </row>
    <row r="33" spans="1:34" ht="18" customHeight="1">
      <c r="A33" s="683"/>
      <c r="B33" s="126" t="s">
        <v>250</v>
      </c>
      <c r="C33" s="97"/>
      <c r="D33" s="168" t="s">
        <v>121</v>
      </c>
      <c r="E33" s="169"/>
      <c r="F33" s="82">
        <v>36.409999999999997</v>
      </c>
      <c r="G33" s="100">
        <v>3892.5</v>
      </c>
      <c r="H33" s="129">
        <f t="shared" si="22"/>
        <v>141725.92499999999</v>
      </c>
      <c r="I33" s="97"/>
      <c r="J33" s="86">
        <v>11</v>
      </c>
      <c r="K33" s="83">
        <v>2118</v>
      </c>
      <c r="L33" s="87">
        <v>192.54545454545453</v>
      </c>
      <c r="M33" s="137">
        <v>11</v>
      </c>
      <c r="N33" s="83">
        <f t="shared" si="23"/>
        <v>2013.3620689655177</v>
      </c>
      <c r="O33" s="87">
        <f t="shared" si="24"/>
        <v>183.03291536050162</v>
      </c>
      <c r="P33" s="89">
        <f t="shared" si="18"/>
        <v>0</v>
      </c>
      <c r="Q33" s="90">
        <f t="shared" si="19"/>
        <v>-9.5125391849529137</v>
      </c>
      <c r="R33" s="91">
        <f t="shared" si="20"/>
        <v>0.95059587769854481</v>
      </c>
      <c r="S33" s="632"/>
      <c r="T33" s="134">
        <v>0.27847222222222218</v>
      </c>
      <c r="U33" s="134">
        <v>0.35902777777777772</v>
      </c>
      <c r="V33" s="97">
        <v>23</v>
      </c>
      <c r="W33" s="135">
        <f t="shared" si="25"/>
        <v>115.99999999999999</v>
      </c>
      <c r="X33" s="166">
        <v>0.26597222222222222</v>
      </c>
      <c r="Y33" s="166">
        <v>0.27569444444444446</v>
      </c>
      <c r="Z33" s="167"/>
      <c r="AA33" s="167"/>
      <c r="AB33" s="642"/>
      <c r="AC33" s="644"/>
      <c r="AD33" s="97"/>
      <c r="AE33" s="97"/>
      <c r="AF33" s="89">
        <f t="shared" si="6"/>
        <v>-104.63793103448234</v>
      </c>
      <c r="AG33" s="170">
        <f t="shared" si="7"/>
        <v>0.9505958776985447</v>
      </c>
      <c r="AH33" s="659"/>
    </row>
    <row r="34" spans="1:34" ht="18" customHeight="1">
      <c r="A34" s="683"/>
      <c r="B34" s="126" t="s">
        <v>247</v>
      </c>
      <c r="C34" s="171"/>
      <c r="D34" s="168" t="s">
        <v>122</v>
      </c>
      <c r="E34" s="169"/>
      <c r="F34" s="82">
        <v>29.113149847094796</v>
      </c>
      <c r="G34" s="100">
        <v>2550.2400000000002</v>
      </c>
      <c r="H34" s="129">
        <f t="shared" si="22"/>
        <v>74245.519266055038</v>
      </c>
      <c r="I34" s="97"/>
      <c r="J34" s="86">
        <v>19</v>
      </c>
      <c r="K34" s="83">
        <v>1500</v>
      </c>
      <c r="L34" s="87">
        <v>78.94736842105263</v>
      </c>
      <c r="M34" s="137">
        <v>18</v>
      </c>
      <c r="N34" s="83">
        <f t="shared" si="23"/>
        <v>1224.1152000000004</v>
      </c>
      <c r="O34" s="87">
        <f t="shared" si="24"/>
        <v>68.006400000000028</v>
      </c>
      <c r="P34" s="89">
        <f t="shared" si="18"/>
        <v>-1</v>
      </c>
      <c r="Q34" s="90">
        <f t="shared" si="19"/>
        <v>-10.940968421052602</v>
      </c>
      <c r="R34" s="91">
        <f t="shared" si="20"/>
        <v>0.86141440000000036</v>
      </c>
      <c r="S34" s="632"/>
      <c r="T34" s="134">
        <v>0.3743055555555555</v>
      </c>
      <c r="U34" s="134">
        <v>0.46111111111111103</v>
      </c>
      <c r="V34" s="97">
        <v>22</v>
      </c>
      <c r="W34" s="135">
        <f t="shared" si="25"/>
        <v>124.99999999999996</v>
      </c>
      <c r="X34" s="166">
        <v>0.36249999999999999</v>
      </c>
      <c r="Y34" s="166">
        <v>0.37152777777777773</v>
      </c>
      <c r="Z34" s="167"/>
      <c r="AA34" s="167"/>
      <c r="AB34" s="642"/>
      <c r="AC34" s="644"/>
      <c r="AD34" s="97"/>
      <c r="AE34" s="97"/>
      <c r="AF34" s="89">
        <f t="shared" si="6"/>
        <v>-275.88479999999959</v>
      </c>
      <c r="AG34" s="170">
        <f t="shared" si="7"/>
        <v>0.81607680000000027</v>
      </c>
      <c r="AH34" s="659"/>
    </row>
    <row r="35" spans="1:34" ht="18" customHeight="1">
      <c r="A35" s="683"/>
      <c r="B35" s="126" t="s">
        <v>248</v>
      </c>
      <c r="C35" s="79"/>
      <c r="D35" s="80" t="s">
        <v>123</v>
      </c>
      <c r="E35" s="81"/>
      <c r="F35" s="82">
        <v>49.9</v>
      </c>
      <c r="G35" s="172">
        <v>520</v>
      </c>
      <c r="H35" s="129">
        <f t="shared" si="22"/>
        <v>25948</v>
      </c>
      <c r="I35" s="65"/>
      <c r="J35" s="86">
        <v>18</v>
      </c>
      <c r="K35" s="83">
        <v>1500</v>
      </c>
      <c r="L35" s="87">
        <v>83.333333333333329</v>
      </c>
      <c r="M35" s="137">
        <v>18</v>
      </c>
      <c r="N35" s="83">
        <f t="shared" si="23"/>
        <v>1114.2857142857117</v>
      </c>
      <c r="O35" s="87">
        <f t="shared" si="24"/>
        <v>61.904761904761763</v>
      </c>
      <c r="P35" s="89">
        <f t="shared" si="18"/>
        <v>0</v>
      </c>
      <c r="Q35" s="90">
        <f t="shared" si="19"/>
        <v>-21.428571428571566</v>
      </c>
      <c r="R35" s="91">
        <f t="shared" si="20"/>
        <v>0.74285714285714122</v>
      </c>
      <c r="S35" s="632"/>
      <c r="T35" s="134">
        <v>0.50208333333333321</v>
      </c>
      <c r="U35" s="134">
        <v>0.5215277777777777</v>
      </c>
      <c r="V35" s="97">
        <v>6</v>
      </c>
      <c r="W35" s="135">
        <f t="shared" si="25"/>
        <v>28.00000000000006</v>
      </c>
      <c r="X35" s="166"/>
      <c r="Y35" s="166"/>
      <c r="Z35" s="167"/>
      <c r="AA35" s="167"/>
      <c r="AB35" s="642"/>
      <c r="AC35" s="644"/>
      <c r="AD35" s="97"/>
      <c r="AE35" s="97"/>
      <c r="AF35" s="89">
        <f t="shared" si="6"/>
        <v>-385.71428571428828</v>
      </c>
      <c r="AG35" s="170">
        <f t="shared" si="7"/>
        <v>0.74285714285714111</v>
      </c>
      <c r="AH35" s="662"/>
    </row>
    <row r="36" spans="1:34" ht="18" customHeight="1">
      <c r="A36" s="683"/>
      <c r="B36" s="126" t="s">
        <v>248</v>
      </c>
      <c r="C36" s="173"/>
      <c r="D36" s="80" t="s">
        <v>124</v>
      </c>
      <c r="E36" s="169"/>
      <c r="F36" s="82">
        <v>57.3</v>
      </c>
      <c r="G36" s="100">
        <v>541</v>
      </c>
      <c r="H36" s="129">
        <f t="shared" si="22"/>
        <v>30999.3</v>
      </c>
      <c r="I36" s="97"/>
      <c r="J36" s="86">
        <v>19</v>
      </c>
      <c r="K36" s="83">
        <v>1385</v>
      </c>
      <c r="L36" s="87">
        <v>72.89473684210526</v>
      </c>
      <c r="M36" s="137">
        <v>18</v>
      </c>
      <c r="N36" s="83">
        <f t="shared" si="23"/>
        <v>1047.0967741935467</v>
      </c>
      <c r="O36" s="87">
        <f t="shared" si="24"/>
        <v>58.172043010752596</v>
      </c>
      <c r="P36" s="89">
        <f t="shared" si="18"/>
        <v>-1</v>
      </c>
      <c r="Q36" s="90">
        <f t="shared" si="19"/>
        <v>-14.722693831352665</v>
      </c>
      <c r="R36" s="91">
        <f t="shared" si="20"/>
        <v>0.79802802686231</v>
      </c>
      <c r="S36" s="632"/>
      <c r="T36" s="134">
        <v>0.5263888888888888</v>
      </c>
      <c r="U36" s="134">
        <v>0.54791666666666661</v>
      </c>
      <c r="V36" s="97">
        <v>7</v>
      </c>
      <c r="W36" s="135">
        <f t="shared" si="25"/>
        <v>31.00000000000005</v>
      </c>
      <c r="X36" s="166"/>
      <c r="Y36" s="166"/>
      <c r="Z36" s="167"/>
      <c r="AA36" s="167"/>
      <c r="AB36" s="642"/>
      <c r="AC36" s="644"/>
      <c r="AD36" s="97"/>
      <c r="AE36" s="97"/>
      <c r="AF36" s="89">
        <f t="shared" si="6"/>
        <v>-337.90322580645329</v>
      </c>
      <c r="AG36" s="170">
        <f t="shared" si="7"/>
        <v>0.75602655176429368</v>
      </c>
      <c r="AH36" s="662"/>
    </row>
    <row r="37" spans="1:34" ht="18" customHeight="1">
      <c r="A37" s="683"/>
      <c r="B37" s="126">
        <v>0</v>
      </c>
      <c r="C37" s="173"/>
      <c r="D37" s="168"/>
      <c r="E37" s="169"/>
      <c r="F37" s="82" t="s">
        <v>253</v>
      </c>
      <c r="G37" s="100"/>
      <c r="H37" s="129">
        <f t="shared" si="22"/>
        <v>0</v>
      </c>
      <c r="I37" s="97"/>
      <c r="J37" s="86"/>
      <c r="K37" s="83"/>
      <c r="L37" s="87"/>
      <c r="M37" s="137"/>
      <c r="N37" s="83"/>
      <c r="O37" s="87"/>
      <c r="P37" s="89"/>
      <c r="Q37" s="90"/>
      <c r="R37" s="91"/>
      <c r="S37" s="632"/>
      <c r="T37" s="134"/>
      <c r="U37" s="134"/>
      <c r="V37" s="97"/>
      <c r="W37" s="135"/>
      <c r="X37" s="166"/>
      <c r="Y37" s="166"/>
      <c r="Z37" s="167"/>
      <c r="AA37" s="167"/>
      <c r="AB37" s="642"/>
      <c r="AC37" s="644"/>
      <c r="AD37" s="97"/>
      <c r="AE37" s="97"/>
      <c r="AF37" s="89">
        <f t="shared" si="6"/>
        <v>0</v>
      </c>
      <c r="AG37" s="170" t="e">
        <f t="shared" si="7"/>
        <v>#DIV/0!</v>
      </c>
      <c r="AH37" s="662"/>
    </row>
    <row r="38" spans="1:34" ht="18" customHeight="1">
      <c r="A38" s="683"/>
      <c r="B38" s="126">
        <v>0</v>
      </c>
      <c r="C38" s="173"/>
      <c r="D38" s="168"/>
      <c r="E38" s="169"/>
      <c r="F38" s="82" t="s">
        <v>253</v>
      </c>
      <c r="G38" s="100"/>
      <c r="H38" s="129">
        <f t="shared" si="22"/>
        <v>0</v>
      </c>
      <c r="I38" s="97"/>
      <c r="J38" s="86"/>
      <c r="K38" s="83"/>
      <c r="L38" s="87"/>
      <c r="M38" s="137"/>
      <c r="N38" s="83"/>
      <c r="O38" s="87"/>
      <c r="P38" s="89"/>
      <c r="Q38" s="90"/>
      <c r="R38" s="91"/>
      <c r="S38" s="632"/>
      <c r="T38" s="134"/>
      <c r="U38" s="134"/>
      <c r="V38" s="97"/>
      <c r="W38" s="135"/>
      <c r="X38" s="166"/>
      <c r="Y38" s="166"/>
      <c r="Z38" s="167"/>
      <c r="AA38" s="167"/>
      <c r="AB38" s="642"/>
      <c r="AC38" s="644"/>
      <c r="AD38" s="97"/>
      <c r="AE38" s="97"/>
      <c r="AF38" s="89">
        <f t="shared" si="6"/>
        <v>0</v>
      </c>
      <c r="AG38" s="170" t="e">
        <f t="shared" si="7"/>
        <v>#DIV/0!</v>
      </c>
      <c r="AH38" s="662"/>
    </row>
    <row r="39" spans="1:34" ht="18" customHeight="1">
      <c r="A39" s="683"/>
      <c r="B39" s="126">
        <v>0</v>
      </c>
      <c r="C39" s="171"/>
      <c r="D39" s="80"/>
      <c r="E39" s="81"/>
      <c r="F39" s="82" t="s">
        <v>253</v>
      </c>
      <c r="G39" s="100"/>
      <c r="H39" s="129">
        <f t="shared" si="22"/>
        <v>0</v>
      </c>
      <c r="I39" s="97"/>
      <c r="J39" s="86"/>
      <c r="K39" s="83"/>
      <c r="L39" s="87"/>
      <c r="M39" s="137"/>
      <c r="N39" s="83"/>
      <c r="O39" s="87"/>
      <c r="P39" s="89"/>
      <c r="Q39" s="90"/>
      <c r="R39" s="91"/>
      <c r="S39" s="632"/>
      <c r="T39" s="134"/>
      <c r="U39" s="134"/>
      <c r="V39" s="97"/>
      <c r="W39" s="135"/>
      <c r="X39" s="166"/>
      <c r="Y39" s="166"/>
      <c r="Z39" s="167"/>
      <c r="AA39" s="167"/>
      <c r="AB39" s="642"/>
      <c r="AC39" s="644"/>
      <c r="AD39" s="97"/>
      <c r="AE39" s="97"/>
      <c r="AF39" s="89"/>
      <c r="AG39" s="174"/>
      <c r="AH39" s="662"/>
    </row>
    <row r="40" spans="1:34" ht="18" customHeight="1">
      <c r="A40" s="683"/>
      <c r="B40" s="175">
        <v>0</v>
      </c>
      <c r="C40" s="176"/>
      <c r="D40" s="80"/>
      <c r="E40" s="81"/>
      <c r="F40" s="82" t="s">
        <v>253</v>
      </c>
      <c r="G40" s="83"/>
      <c r="H40" s="129">
        <f t="shared" si="22"/>
        <v>0</v>
      </c>
      <c r="I40" s="65"/>
      <c r="J40" s="177"/>
      <c r="K40" s="178"/>
      <c r="L40" s="179"/>
      <c r="M40" s="88"/>
      <c r="N40" s="83"/>
      <c r="O40" s="87"/>
      <c r="P40" s="89"/>
      <c r="Q40" s="90"/>
      <c r="R40" s="91"/>
      <c r="S40" s="632"/>
      <c r="T40" s="134"/>
      <c r="U40" s="134"/>
      <c r="V40" s="97"/>
      <c r="W40" s="135">
        <f t="shared" si="25"/>
        <v>0</v>
      </c>
      <c r="X40" s="166"/>
      <c r="Y40" s="166"/>
      <c r="Z40" s="167"/>
      <c r="AA40" s="167"/>
      <c r="AB40" s="642"/>
      <c r="AC40" s="644"/>
      <c r="AD40" s="97"/>
      <c r="AE40" s="97"/>
      <c r="AF40" s="89"/>
      <c r="AG40" s="174"/>
      <c r="AH40" s="662"/>
    </row>
    <row r="41" spans="1:34" ht="18" customHeight="1">
      <c r="A41" s="683"/>
      <c r="B41" s="97">
        <v>0</v>
      </c>
      <c r="C41" s="98"/>
      <c r="D41" s="168"/>
      <c r="E41" s="169"/>
      <c r="F41" s="82" t="s">
        <v>253</v>
      </c>
      <c r="G41" s="100"/>
      <c r="H41" s="129"/>
      <c r="I41" s="97"/>
      <c r="J41" s="130"/>
      <c r="K41" s="100"/>
      <c r="L41" s="131"/>
      <c r="M41" s="137"/>
      <c r="N41" s="100"/>
      <c r="O41" s="131"/>
      <c r="P41" s="96"/>
      <c r="Q41" s="132"/>
      <c r="R41" s="133"/>
      <c r="S41" s="632"/>
      <c r="T41" s="134"/>
      <c r="U41" s="134"/>
      <c r="V41" s="97"/>
      <c r="W41" s="135">
        <f t="shared" si="25"/>
        <v>0</v>
      </c>
      <c r="X41" s="166"/>
      <c r="Y41" s="166"/>
      <c r="Z41" s="167"/>
      <c r="AA41" s="167"/>
      <c r="AB41" s="642"/>
      <c r="AC41" s="644"/>
      <c r="AD41" s="97"/>
      <c r="AE41" s="97"/>
      <c r="AF41" s="89"/>
      <c r="AG41" s="174"/>
      <c r="AH41" s="662"/>
    </row>
    <row r="42" spans="1:34" ht="18" customHeight="1">
      <c r="A42" s="683"/>
      <c r="B42" s="97">
        <v>0</v>
      </c>
      <c r="C42" s="98"/>
      <c r="D42" s="168"/>
      <c r="E42" s="169"/>
      <c r="F42" s="180" t="s">
        <v>253</v>
      </c>
      <c r="G42" s="100"/>
      <c r="H42" s="129">
        <f>F42*G42</f>
        <v>0</v>
      </c>
      <c r="I42" s="97"/>
      <c r="J42" s="130"/>
      <c r="K42" s="100"/>
      <c r="L42" s="131"/>
      <c r="M42" s="137"/>
      <c r="N42" s="100"/>
      <c r="O42" s="131"/>
      <c r="P42" s="96"/>
      <c r="Q42" s="132"/>
      <c r="R42" s="133"/>
      <c r="S42" s="632"/>
      <c r="T42" s="134"/>
      <c r="U42" s="134"/>
      <c r="V42" s="97"/>
      <c r="W42" s="135">
        <f t="shared" si="25"/>
        <v>0</v>
      </c>
      <c r="X42" s="166"/>
      <c r="Y42" s="166"/>
      <c r="Z42" s="167"/>
      <c r="AA42" s="167"/>
      <c r="AB42" s="642"/>
      <c r="AC42" s="644"/>
      <c r="AD42" s="97"/>
      <c r="AE42" s="97"/>
      <c r="AF42" s="89"/>
      <c r="AG42" s="174"/>
      <c r="AH42" s="662"/>
    </row>
    <row r="43" spans="1:34" ht="18" customHeight="1">
      <c r="A43" s="683"/>
      <c r="B43" s="126">
        <v>0</v>
      </c>
      <c r="C43" s="138" t="s">
        <v>15</v>
      </c>
      <c r="D43" s="630" t="s">
        <v>220</v>
      </c>
      <c r="E43" s="630"/>
      <c r="F43" s="139"/>
      <c r="G43" s="140"/>
      <c r="H43" s="141"/>
      <c r="I43" s="142"/>
      <c r="J43" s="140">
        <v>15.666666666666666</v>
      </c>
      <c r="K43" s="140">
        <v>1789.8333333333333</v>
      </c>
      <c r="L43" s="143">
        <v>123.65494739178951</v>
      </c>
      <c r="M43" s="140">
        <f t="shared" ref="M43:O43" si="26">AVERAGE(M31:M42)</f>
        <v>15.333333333333334</v>
      </c>
      <c r="N43" s="140">
        <f t="shared" si="26"/>
        <v>1566.4515807034559</v>
      </c>
      <c r="O43" s="143">
        <f t="shared" si="26"/>
        <v>111.32052534034405</v>
      </c>
      <c r="P43" s="96">
        <f>M43-J43</f>
        <v>-0.33333333333333215</v>
      </c>
      <c r="Q43" s="132">
        <f>N43-K43</f>
        <v>-223.38175262987738</v>
      </c>
      <c r="R43" s="144">
        <f t="shared" ref="R43:R50" si="27">O43/L43</f>
        <v>0.9002512854389485</v>
      </c>
      <c r="S43" s="632"/>
      <c r="T43" s="134"/>
      <c r="U43" s="134"/>
      <c r="V43" s="97"/>
      <c r="W43" s="97"/>
      <c r="X43" s="166"/>
      <c r="Y43" s="166"/>
      <c r="Z43" s="181">
        <f>SUM(Z31:Z42)</f>
        <v>0</v>
      </c>
      <c r="AA43" s="181">
        <f>SUM(AA31:AA42)</f>
        <v>0</v>
      </c>
      <c r="AB43" s="642"/>
      <c r="AC43" s="644"/>
      <c r="AD43" s="146">
        <f>SUM(AD31:AD42)</f>
        <v>0</v>
      </c>
      <c r="AE43" s="146">
        <f>SUM(AE31:AE42)</f>
        <v>0</v>
      </c>
      <c r="AF43" s="89">
        <f t="shared" ref="AF43:AF52" si="28">N43-K43</f>
        <v>-223.38175262987738</v>
      </c>
      <c r="AG43" s="125">
        <f t="shared" si="7"/>
        <v>0.87519410412708221</v>
      </c>
      <c r="AH43" s="662"/>
    </row>
    <row r="44" spans="1:34" s="196" customFormat="1" ht="18" customHeight="1">
      <c r="A44" s="678" t="s">
        <v>224</v>
      </c>
      <c r="B44" s="176" t="s">
        <v>250</v>
      </c>
      <c r="C44" s="182"/>
      <c r="D44" s="80" t="s">
        <v>125</v>
      </c>
      <c r="E44" s="81"/>
      <c r="F44" s="183">
        <v>24.73</v>
      </c>
      <c r="G44" s="184">
        <v>2842</v>
      </c>
      <c r="H44" s="84">
        <f>F44*G44</f>
        <v>70282.66</v>
      </c>
      <c r="I44" s="185"/>
      <c r="J44" s="186">
        <v>4</v>
      </c>
      <c r="K44" s="187">
        <v>2000</v>
      </c>
      <c r="L44" s="188">
        <v>500</v>
      </c>
      <c r="M44" s="106">
        <v>5</v>
      </c>
      <c r="N44" s="187">
        <f>G44/W44*60</f>
        <v>2186.1538461538462</v>
      </c>
      <c r="O44" s="188">
        <f>N44/M44</f>
        <v>437.23076923076923</v>
      </c>
      <c r="P44" s="93">
        <f>M44-J44</f>
        <v>1</v>
      </c>
      <c r="Q44" s="189">
        <f>O44-L44</f>
        <v>-62.769230769230774</v>
      </c>
      <c r="R44" s="190">
        <f t="shared" si="27"/>
        <v>0.8744615384615384</v>
      </c>
      <c r="S44" s="659">
        <f>R56</f>
        <v>0.84228008498251783</v>
      </c>
      <c r="T44" s="191">
        <v>0.16666666666666666</v>
      </c>
      <c r="U44" s="191">
        <v>0.22083333333333333</v>
      </c>
      <c r="V44" s="192">
        <v>5</v>
      </c>
      <c r="W44" s="193">
        <f t="shared" ref="W44:W56" si="29">(U44-T44)*24*60</f>
        <v>78</v>
      </c>
      <c r="X44" s="166"/>
      <c r="Y44" s="166"/>
      <c r="Z44" s="167"/>
      <c r="AA44" s="167"/>
      <c r="AB44" s="644"/>
      <c r="AC44" s="644"/>
      <c r="AD44" s="97"/>
      <c r="AE44" s="97"/>
      <c r="AF44" s="194">
        <f t="shared" si="28"/>
        <v>186.15384615384619</v>
      </c>
      <c r="AG44" s="195">
        <f t="shared" si="7"/>
        <v>1.0930769230769231</v>
      </c>
      <c r="AH44" s="681">
        <f>AG56</f>
        <v>0.98178064565149392</v>
      </c>
    </row>
    <row r="45" spans="1:34" s="196" customFormat="1" ht="18" customHeight="1">
      <c r="A45" s="679"/>
      <c r="B45" s="176" t="s">
        <v>250</v>
      </c>
      <c r="C45" s="182"/>
      <c r="D45" s="80" t="s">
        <v>126</v>
      </c>
      <c r="E45" s="81"/>
      <c r="F45" s="183">
        <v>24.73</v>
      </c>
      <c r="G45" s="184">
        <v>2484</v>
      </c>
      <c r="H45" s="84">
        <f>F45*G45</f>
        <v>61429.32</v>
      </c>
      <c r="I45" s="197"/>
      <c r="J45" s="186">
        <v>4</v>
      </c>
      <c r="K45" s="187">
        <v>2000</v>
      </c>
      <c r="L45" s="188">
        <v>500</v>
      </c>
      <c r="M45" s="106">
        <v>5</v>
      </c>
      <c r="N45" s="187">
        <f>G45/W45*60</f>
        <v>2191.7647058823532</v>
      </c>
      <c r="O45" s="188">
        <f>N45/M45</f>
        <v>438.35294117647061</v>
      </c>
      <c r="P45" s="93">
        <f>M45-J45</f>
        <v>1</v>
      </c>
      <c r="Q45" s="189">
        <f>O45-L45</f>
        <v>-61.647058823529392</v>
      </c>
      <c r="R45" s="190">
        <f t="shared" si="27"/>
        <v>0.87670588235294122</v>
      </c>
      <c r="S45" s="659"/>
      <c r="T45" s="191">
        <v>0.22430555555555554</v>
      </c>
      <c r="U45" s="191">
        <v>0.27152777777777776</v>
      </c>
      <c r="V45" s="192">
        <v>5</v>
      </c>
      <c r="W45" s="193">
        <f t="shared" si="29"/>
        <v>68</v>
      </c>
      <c r="X45" s="166"/>
      <c r="Y45" s="166"/>
      <c r="Z45" s="167"/>
      <c r="AA45" s="167"/>
      <c r="AB45" s="644"/>
      <c r="AC45" s="644"/>
      <c r="AD45" s="97"/>
      <c r="AE45" s="97"/>
      <c r="AF45" s="194">
        <f t="shared" si="28"/>
        <v>191.76470588235316</v>
      </c>
      <c r="AG45" s="195">
        <f t="shared" si="7"/>
        <v>1.0958823529411765</v>
      </c>
      <c r="AH45" s="681"/>
    </row>
    <row r="46" spans="1:34" s="196" customFormat="1" ht="18" customHeight="1">
      <c r="A46" s="679"/>
      <c r="B46" s="176" t="s">
        <v>250</v>
      </c>
      <c r="C46" s="182"/>
      <c r="D46" s="80" t="s">
        <v>127</v>
      </c>
      <c r="E46" s="81"/>
      <c r="F46" s="183">
        <v>22.83</v>
      </c>
      <c r="G46" s="184">
        <v>802</v>
      </c>
      <c r="H46" s="84">
        <f t="shared" ref="H46:H50" si="30">F46*G46</f>
        <v>18309.66</v>
      </c>
      <c r="I46" s="197"/>
      <c r="J46" s="186">
        <v>6</v>
      </c>
      <c r="K46" s="187">
        <v>2000</v>
      </c>
      <c r="L46" s="188">
        <v>333.33333333333331</v>
      </c>
      <c r="M46" s="106">
        <v>7</v>
      </c>
      <c r="N46" s="187">
        <f>G46/W46*60</f>
        <v>1718.5714285714298</v>
      </c>
      <c r="O46" s="188">
        <f>N46/M46</f>
        <v>245.51020408163282</v>
      </c>
      <c r="P46" s="93">
        <f>M46-J46</f>
        <v>1</v>
      </c>
      <c r="Q46" s="189">
        <f>O46-L46</f>
        <v>-87.823129251700493</v>
      </c>
      <c r="R46" s="190">
        <f t="shared" si="27"/>
        <v>0.73653061224489846</v>
      </c>
      <c r="S46" s="659"/>
      <c r="T46" s="191">
        <v>0.27499999999999997</v>
      </c>
      <c r="U46" s="191">
        <v>0.2944444444444444</v>
      </c>
      <c r="V46" s="192">
        <v>5</v>
      </c>
      <c r="W46" s="193">
        <f t="shared" si="29"/>
        <v>27.999999999999979</v>
      </c>
      <c r="X46" s="166"/>
      <c r="Y46" s="166"/>
      <c r="Z46" s="167"/>
      <c r="AA46" s="167"/>
      <c r="AB46" s="644"/>
      <c r="AC46" s="644"/>
      <c r="AD46" s="97"/>
      <c r="AE46" s="97">
        <v>2</v>
      </c>
      <c r="AF46" s="194">
        <f t="shared" si="28"/>
        <v>-281.42857142857019</v>
      </c>
      <c r="AG46" s="195">
        <f t="shared" si="7"/>
        <v>0.85928571428571487</v>
      </c>
      <c r="AH46" s="681"/>
    </row>
    <row r="47" spans="1:34" s="196" customFormat="1" ht="18" customHeight="1">
      <c r="A47" s="679"/>
      <c r="B47" s="176" t="s">
        <v>247</v>
      </c>
      <c r="C47" s="182"/>
      <c r="D47" s="198" t="s">
        <v>128</v>
      </c>
      <c r="E47" s="199"/>
      <c r="F47" s="183">
        <v>11.6</v>
      </c>
      <c r="G47" s="187">
        <v>2179</v>
      </c>
      <c r="H47" s="84">
        <f t="shared" si="30"/>
        <v>25276.399999999998</v>
      </c>
      <c r="I47" s="197"/>
      <c r="J47" s="186">
        <v>6</v>
      </c>
      <c r="K47" s="187">
        <v>1500</v>
      </c>
      <c r="L47" s="188">
        <v>250</v>
      </c>
      <c r="M47" s="200">
        <v>7</v>
      </c>
      <c r="N47" s="187">
        <f t="shared" ref="N47:N50" si="31">G47/W47*60</f>
        <v>1485.6818181818182</v>
      </c>
      <c r="O47" s="188">
        <f t="shared" ref="O47:O50" si="32">N47/M47</f>
        <v>212.24025974025975</v>
      </c>
      <c r="P47" s="93">
        <f t="shared" ref="P47:P50" si="33">M47-J47</f>
        <v>1</v>
      </c>
      <c r="Q47" s="189">
        <f t="shared" ref="Q47:Q50" si="34">O47-L47</f>
        <v>-37.759740259740255</v>
      </c>
      <c r="R47" s="190">
        <f t="shared" si="27"/>
        <v>0.84896103896103903</v>
      </c>
      <c r="S47" s="659"/>
      <c r="T47" s="191">
        <v>0.3118055555555555</v>
      </c>
      <c r="U47" s="191">
        <v>0.37291666666666662</v>
      </c>
      <c r="V47" s="187">
        <v>25</v>
      </c>
      <c r="W47" s="193">
        <f t="shared" si="29"/>
        <v>88</v>
      </c>
      <c r="X47" s="166">
        <v>0.29791666666666666</v>
      </c>
      <c r="Y47" s="166">
        <v>0.30902777777777779</v>
      </c>
      <c r="Z47" s="167"/>
      <c r="AA47" s="167"/>
      <c r="AB47" s="644"/>
      <c r="AC47" s="644"/>
      <c r="AD47" s="97"/>
      <c r="AE47" s="97"/>
      <c r="AF47" s="194">
        <f t="shared" si="28"/>
        <v>-14.318181818181756</v>
      </c>
      <c r="AG47" s="195">
        <f t="shared" si="7"/>
        <v>0.99045454545454548</v>
      </c>
      <c r="AH47" s="681"/>
    </row>
    <row r="48" spans="1:34" s="196" customFormat="1" ht="18" customHeight="1">
      <c r="A48" s="679"/>
      <c r="B48" s="176" t="s">
        <v>251</v>
      </c>
      <c r="C48" s="182"/>
      <c r="D48" s="201" t="s">
        <v>129</v>
      </c>
      <c r="E48" s="199"/>
      <c r="F48" s="183">
        <v>10.09</v>
      </c>
      <c r="G48" s="187">
        <v>3107.04</v>
      </c>
      <c r="H48" s="84">
        <f t="shared" si="30"/>
        <v>31350.033599999999</v>
      </c>
      <c r="I48" s="197"/>
      <c r="J48" s="186">
        <v>6</v>
      </c>
      <c r="K48" s="187">
        <v>1500</v>
      </c>
      <c r="L48" s="188">
        <v>250</v>
      </c>
      <c r="M48" s="200">
        <v>6</v>
      </c>
      <c r="N48" s="187">
        <f t="shared" si="31"/>
        <v>1423.0717557251924</v>
      </c>
      <c r="O48" s="188">
        <f t="shared" si="32"/>
        <v>237.17862595419874</v>
      </c>
      <c r="P48" s="93">
        <f t="shared" si="33"/>
        <v>0</v>
      </c>
      <c r="Q48" s="189">
        <f t="shared" si="34"/>
        <v>-12.821374045801264</v>
      </c>
      <c r="R48" s="190">
        <f t="shared" si="27"/>
        <v>0.9487145038167949</v>
      </c>
      <c r="S48" s="659"/>
      <c r="T48" s="202">
        <v>0.37986111111111115</v>
      </c>
      <c r="U48" s="202">
        <v>0.47083333333333327</v>
      </c>
      <c r="V48" s="184">
        <v>10</v>
      </c>
      <c r="W48" s="193">
        <f t="shared" si="29"/>
        <v>130.99999999999986</v>
      </c>
      <c r="X48" s="166"/>
      <c r="Y48" s="166"/>
      <c r="Z48" s="167"/>
      <c r="AA48" s="167"/>
      <c r="AB48" s="644"/>
      <c r="AC48" s="644"/>
      <c r="AD48" s="97"/>
      <c r="AE48" s="97"/>
      <c r="AF48" s="194">
        <f t="shared" si="28"/>
        <v>-76.928244274807639</v>
      </c>
      <c r="AG48" s="195">
        <f t="shared" si="7"/>
        <v>0.9487145038167949</v>
      </c>
      <c r="AH48" s="681"/>
    </row>
    <row r="49" spans="1:34" s="196" customFormat="1" ht="18" customHeight="1">
      <c r="A49" s="679"/>
      <c r="B49" s="176" t="s">
        <v>251</v>
      </c>
      <c r="C49" s="182"/>
      <c r="D49" s="201" t="s">
        <v>129</v>
      </c>
      <c r="E49" s="199"/>
      <c r="F49" s="183">
        <v>10.09</v>
      </c>
      <c r="G49" s="184">
        <v>2977.58</v>
      </c>
      <c r="H49" s="84">
        <f t="shared" si="30"/>
        <v>30043.782199999998</v>
      </c>
      <c r="I49" s="197"/>
      <c r="J49" s="186">
        <v>6</v>
      </c>
      <c r="K49" s="187">
        <v>1500</v>
      </c>
      <c r="L49" s="188">
        <v>250</v>
      </c>
      <c r="M49" s="200">
        <v>6</v>
      </c>
      <c r="N49" s="187">
        <f t="shared" si="31"/>
        <v>1440.7645161290318</v>
      </c>
      <c r="O49" s="188">
        <f t="shared" si="32"/>
        <v>240.12741935483862</v>
      </c>
      <c r="P49" s="93">
        <f t="shared" si="33"/>
        <v>0</v>
      </c>
      <c r="Q49" s="189">
        <f t="shared" si="34"/>
        <v>-9.8725806451613778</v>
      </c>
      <c r="R49" s="190">
        <f t="shared" si="27"/>
        <v>0.96050967741935445</v>
      </c>
      <c r="S49" s="659"/>
      <c r="T49" s="202">
        <v>0.51041666666666652</v>
      </c>
      <c r="U49" s="202">
        <v>0.59652777777777766</v>
      </c>
      <c r="V49" s="184">
        <v>4</v>
      </c>
      <c r="W49" s="193">
        <f t="shared" si="29"/>
        <v>124.00000000000004</v>
      </c>
      <c r="X49" s="203"/>
      <c r="Y49" s="203"/>
      <c r="Z49" s="204"/>
      <c r="AA49" s="167"/>
      <c r="AB49" s="644"/>
      <c r="AC49" s="644"/>
      <c r="AD49" s="97"/>
      <c r="AE49" s="97"/>
      <c r="AF49" s="194">
        <f t="shared" si="28"/>
        <v>-59.23548387096821</v>
      </c>
      <c r="AG49" s="195">
        <f t="shared" si="7"/>
        <v>0.96050967741935456</v>
      </c>
      <c r="AH49" s="681"/>
    </row>
    <row r="50" spans="1:34" s="196" customFormat="1" ht="18" customHeight="1">
      <c r="A50" s="679"/>
      <c r="B50" s="176" t="s">
        <v>250</v>
      </c>
      <c r="C50" s="182"/>
      <c r="D50" s="201" t="s">
        <v>130</v>
      </c>
      <c r="E50" s="199"/>
      <c r="F50" s="183">
        <v>21.74</v>
      </c>
      <c r="G50" s="184">
        <v>487</v>
      </c>
      <c r="H50" s="84">
        <f t="shared" si="30"/>
        <v>10587.38</v>
      </c>
      <c r="I50" s="197"/>
      <c r="J50" s="186">
        <v>4</v>
      </c>
      <c r="K50" s="187">
        <v>2000</v>
      </c>
      <c r="L50" s="188">
        <v>500</v>
      </c>
      <c r="M50" s="200">
        <v>5</v>
      </c>
      <c r="N50" s="187">
        <f t="shared" si="31"/>
        <v>1826.2500000000064</v>
      </c>
      <c r="O50" s="188">
        <f t="shared" si="32"/>
        <v>365.25000000000125</v>
      </c>
      <c r="P50" s="93">
        <f t="shared" si="33"/>
        <v>1</v>
      </c>
      <c r="Q50" s="189">
        <f t="shared" si="34"/>
        <v>-134.74999999999875</v>
      </c>
      <c r="R50" s="190">
        <f t="shared" si="27"/>
        <v>0.73050000000000248</v>
      </c>
      <c r="S50" s="659"/>
      <c r="T50" s="202">
        <v>0.61180555555555538</v>
      </c>
      <c r="U50" s="202">
        <v>0.62291666666666645</v>
      </c>
      <c r="V50" s="184">
        <v>22</v>
      </c>
      <c r="W50" s="193">
        <f t="shared" si="29"/>
        <v>15.999999999999943</v>
      </c>
      <c r="X50" s="203">
        <v>0.6</v>
      </c>
      <c r="Y50" s="203">
        <v>0.60902777777777783</v>
      </c>
      <c r="Z50" s="204"/>
      <c r="AA50" s="204"/>
      <c r="AB50" s="644"/>
      <c r="AC50" s="644"/>
      <c r="AD50" s="97"/>
      <c r="AE50" s="97"/>
      <c r="AF50" s="194">
        <f t="shared" si="28"/>
        <v>-173.74999999999363</v>
      </c>
      <c r="AG50" s="195">
        <f t="shared" si="7"/>
        <v>0.91312500000000318</v>
      </c>
      <c r="AH50" s="681"/>
    </row>
    <row r="51" spans="1:34" s="196" customFormat="1" ht="18" customHeight="1">
      <c r="A51" s="679"/>
      <c r="B51" s="176"/>
      <c r="C51" s="182"/>
      <c r="D51" s="201"/>
      <c r="E51" s="199"/>
      <c r="F51" s="183"/>
      <c r="G51" s="184"/>
      <c r="H51" s="84"/>
      <c r="I51" s="197"/>
      <c r="J51" s="186"/>
      <c r="K51" s="187"/>
      <c r="L51" s="188"/>
      <c r="M51" s="200"/>
      <c r="N51" s="187"/>
      <c r="O51" s="188"/>
      <c r="P51" s="93"/>
      <c r="Q51" s="189"/>
      <c r="R51" s="190"/>
      <c r="S51" s="659"/>
      <c r="T51" s="202"/>
      <c r="U51" s="202"/>
      <c r="V51" s="184"/>
      <c r="W51" s="193">
        <f t="shared" si="29"/>
        <v>0</v>
      </c>
      <c r="X51" s="203"/>
      <c r="Y51" s="203"/>
      <c r="Z51" s="204"/>
      <c r="AA51" s="204"/>
      <c r="AB51" s="644"/>
      <c r="AC51" s="644"/>
      <c r="AD51" s="97"/>
      <c r="AE51" s="97"/>
      <c r="AF51" s="194">
        <f t="shared" si="28"/>
        <v>0</v>
      </c>
      <c r="AG51" s="195" t="e">
        <f t="shared" si="7"/>
        <v>#DIV/0!</v>
      </c>
      <c r="AH51" s="681"/>
    </row>
    <row r="52" spans="1:34" s="196" customFormat="1" ht="18" customHeight="1">
      <c r="A52" s="679"/>
      <c r="B52" s="176">
        <v>0</v>
      </c>
      <c r="C52" s="182"/>
      <c r="D52" s="201"/>
      <c r="E52" s="199"/>
      <c r="F52" s="183" t="s">
        <v>253</v>
      </c>
      <c r="G52" s="184"/>
      <c r="H52" s="205">
        <f>F52*G52</f>
        <v>0</v>
      </c>
      <c r="I52" s="197"/>
      <c r="J52" s="200"/>
      <c r="K52" s="184"/>
      <c r="L52" s="206"/>
      <c r="M52" s="200"/>
      <c r="N52" s="184"/>
      <c r="O52" s="206"/>
      <c r="P52" s="96"/>
      <c r="Q52" s="132"/>
      <c r="R52" s="133"/>
      <c r="S52" s="659"/>
      <c r="T52" s="202"/>
      <c r="U52" s="202"/>
      <c r="V52" s="184"/>
      <c r="W52" s="193">
        <f t="shared" si="29"/>
        <v>0</v>
      </c>
      <c r="X52" s="203"/>
      <c r="Y52" s="203"/>
      <c r="Z52" s="204"/>
      <c r="AA52" s="204"/>
      <c r="AB52" s="644"/>
      <c r="AC52" s="644"/>
      <c r="AD52" s="97"/>
      <c r="AE52" s="97"/>
      <c r="AF52" s="194">
        <f t="shared" si="28"/>
        <v>0</v>
      </c>
      <c r="AG52" s="195" t="e">
        <f t="shared" si="7"/>
        <v>#DIV/0!</v>
      </c>
      <c r="AH52" s="681"/>
    </row>
    <row r="53" spans="1:34" s="196" customFormat="1" ht="18" customHeight="1">
      <c r="A53" s="679"/>
      <c r="B53" s="207">
        <v>0</v>
      </c>
      <c r="C53" s="182"/>
      <c r="D53" s="201"/>
      <c r="E53" s="199"/>
      <c r="F53" s="183" t="s">
        <v>253</v>
      </c>
      <c r="G53" s="184"/>
      <c r="H53" s="205">
        <f>F53*G53</f>
        <v>0</v>
      </c>
      <c r="I53" s="197"/>
      <c r="J53" s="200"/>
      <c r="K53" s="184"/>
      <c r="L53" s="206"/>
      <c r="M53" s="200"/>
      <c r="N53" s="184"/>
      <c r="O53" s="206"/>
      <c r="P53" s="96"/>
      <c r="Q53" s="132"/>
      <c r="R53" s="133"/>
      <c r="S53" s="659"/>
      <c r="T53" s="202"/>
      <c r="U53" s="202"/>
      <c r="V53" s="184"/>
      <c r="W53" s="193">
        <f t="shared" si="29"/>
        <v>0</v>
      </c>
      <c r="X53" s="203"/>
      <c r="Y53" s="203"/>
      <c r="Z53" s="204"/>
      <c r="AA53" s="204"/>
      <c r="AB53" s="644"/>
      <c r="AC53" s="644"/>
      <c r="AD53" s="97"/>
      <c r="AE53" s="97"/>
      <c r="AF53" s="194"/>
      <c r="AG53" s="195"/>
      <c r="AH53" s="681"/>
    </row>
    <row r="54" spans="1:34" s="196" customFormat="1" ht="18" customHeight="1">
      <c r="A54" s="679"/>
      <c r="B54" s="207">
        <v>0</v>
      </c>
      <c r="C54" s="182"/>
      <c r="D54" s="201"/>
      <c r="E54" s="199"/>
      <c r="F54" s="208" t="s">
        <v>253</v>
      </c>
      <c r="G54" s="184"/>
      <c r="H54" s="205">
        <f>F54*G54</f>
        <v>0</v>
      </c>
      <c r="I54" s="197"/>
      <c r="J54" s="200"/>
      <c r="K54" s="184"/>
      <c r="L54" s="206"/>
      <c r="M54" s="200"/>
      <c r="N54" s="184"/>
      <c r="O54" s="206"/>
      <c r="P54" s="96"/>
      <c r="Q54" s="132"/>
      <c r="R54" s="133"/>
      <c r="S54" s="659"/>
      <c r="T54" s="202"/>
      <c r="U54" s="202"/>
      <c r="V54" s="184"/>
      <c r="W54" s="193">
        <f t="shared" si="29"/>
        <v>0</v>
      </c>
      <c r="X54" s="203"/>
      <c r="Y54" s="203"/>
      <c r="Z54" s="204"/>
      <c r="AA54" s="204"/>
      <c r="AB54" s="644"/>
      <c r="AC54" s="644"/>
      <c r="AD54" s="97"/>
      <c r="AE54" s="97"/>
      <c r="AF54" s="194"/>
      <c r="AG54" s="195"/>
      <c r="AH54" s="681"/>
    </row>
    <row r="55" spans="1:34" s="196" customFormat="1" ht="18" customHeight="1">
      <c r="A55" s="679"/>
      <c r="B55" s="207">
        <v>0</v>
      </c>
      <c r="C55" s="182"/>
      <c r="D55" s="201"/>
      <c r="E55" s="199"/>
      <c r="F55" s="208" t="s">
        <v>253</v>
      </c>
      <c r="G55" s="184"/>
      <c r="H55" s="205">
        <f>F55*G55</f>
        <v>0</v>
      </c>
      <c r="I55" s="197"/>
      <c r="J55" s="200"/>
      <c r="K55" s="184"/>
      <c r="L55" s="206"/>
      <c r="M55" s="200"/>
      <c r="N55" s="184"/>
      <c r="O55" s="206"/>
      <c r="P55" s="96"/>
      <c r="Q55" s="132"/>
      <c r="R55" s="133"/>
      <c r="S55" s="659"/>
      <c r="T55" s="202"/>
      <c r="U55" s="202"/>
      <c r="V55" s="184"/>
      <c r="W55" s="193">
        <f t="shared" si="29"/>
        <v>0</v>
      </c>
      <c r="X55" s="203"/>
      <c r="Y55" s="203"/>
      <c r="Z55" s="204"/>
      <c r="AA55" s="204"/>
      <c r="AB55" s="644"/>
      <c r="AC55" s="644"/>
      <c r="AD55" s="97"/>
      <c r="AE55" s="97"/>
      <c r="AF55" s="194"/>
      <c r="AG55" s="195"/>
      <c r="AH55" s="681"/>
    </row>
    <row r="56" spans="1:34" ht="18" customHeight="1">
      <c r="A56" s="680"/>
      <c r="B56" s="209">
        <v>0</v>
      </c>
      <c r="C56" s="138" t="s">
        <v>16</v>
      </c>
      <c r="D56" s="630" t="s">
        <v>220</v>
      </c>
      <c r="E56" s="630"/>
      <c r="F56" s="139"/>
      <c r="G56" s="140"/>
      <c r="H56" s="141"/>
      <c r="I56" s="142"/>
      <c r="J56" s="140">
        <v>5.1428571428571432</v>
      </c>
      <c r="K56" s="140">
        <v>1785.7142857142858</v>
      </c>
      <c r="L56" s="143">
        <v>369.04761904761898</v>
      </c>
      <c r="M56" s="140">
        <f t="shared" ref="M56:O56" si="35">AVERAGE(M44:M55)</f>
        <v>5.8571428571428568</v>
      </c>
      <c r="N56" s="140">
        <f t="shared" si="35"/>
        <v>1753.1797243776678</v>
      </c>
      <c r="O56" s="143">
        <f t="shared" si="35"/>
        <v>310.84145993402439</v>
      </c>
      <c r="P56" s="210">
        <f>M56-J56</f>
        <v>0.71428571428571352</v>
      </c>
      <c r="Q56" s="159">
        <f>N56-K56</f>
        <v>-32.534561336618026</v>
      </c>
      <c r="R56" s="211">
        <f t="shared" ref="R56:R61" si="36">O56/L56</f>
        <v>0.84228008498251783</v>
      </c>
      <c r="S56" s="659"/>
      <c r="T56" s="212"/>
      <c r="U56" s="212"/>
      <c r="V56" s="213"/>
      <c r="W56" s="193">
        <f t="shared" si="29"/>
        <v>0</v>
      </c>
      <c r="X56" s="214"/>
      <c r="Y56" s="214"/>
      <c r="Z56" s="145">
        <f>SUM(Z44:Z55)</f>
        <v>0</v>
      </c>
      <c r="AA56" s="145">
        <f>SUM(AA44:AA55)</f>
        <v>0</v>
      </c>
      <c r="AB56" s="644"/>
      <c r="AC56" s="644"/>
      <c r="AD56" s="146">
        <f>SUM(AD44:AD55)</f>
        <v>0</v>
      </c>
      <c r="AE56" s="146">
        <f>SUM(AE44:AE55)</f>
        <v>2</v>
      </c>
      <c r="AF56" s="215">
        <f>N56-K56</f>
        <v>-32.534561336618026</v>
      </c>
      <c r="AG56" s="133">
        <f>N56/K56</f>
        <v>0.98178064565149392</v>
      </c>
      <c r="AH56" s="681"/>
    </row>
    <row r="57" spans="1:34" ht="18" customHeight="1">
      <c r="A57" s="676" t="s">
        <v>225</v>
      </c>
      <c r="B57" s="176" t="s">
        <v>247</v>
      </c>
      <c r="C57" s="216"/>
      <c r="D57" s="217" t="s">
        <v>131</v>
      </c>
      <c r="E57" s="149"/>
      <c r="F57" s="82">
        <v>28.26</v>
      </c>
      <c r="G57" s="184">
        <v>1570</v>
      </c>
      <c r="H57" s="129">
        <f t="shared" ref="H57:H66" si="37">F57*G57</f>
        <v>44368.200000000004</v>
      </c>
      <c r="I57" s="97"/>
      <c r="J57" s="130">
        <v>6</v>
      </c>
      <c r="K57" s="100">
        <v>1500</v>
      </c>
      <c r="L57" s="131">
        <v>250</v>
      </c>
      <c r="M57" s="137">
        <v>6</v>
      </c>
      <c r="N57" s="100">
        <f t="shared" ref="N57:N61" si="38">G57/W57*60</f>
        <v>1326.7605633802818</v>
      </c>
      <c r="O57" s="131">
        <f t="shared" ref="O57:O61" si="39">N57/M57</f>
        <v>221.12676056338032</v>
      </c>
      <c r="P57" s="218">
        <f t="shared" ref="P57:P61" si="40">M57-J57</f>
        <v>0</v>
      </c>
      <c r="Q57" s="90">
        <f t="shared" ref="Q57:Q61" si="41">O57-L57</f>
        <v>-28.873239436619684</v>
      </c>
      <c r="R57" s="91">
        <f t="shared" si="36"/>
        <v>0.88450704225352128</v>
      </c>
      <c r="S57" s="659">
        <f>R69</f>
        <v>0.9601864116921961</v>
      </c>
      <c r="T57" s="191">
        <v>0.16666666666666666</v>
      </c>
      <c r="U57" s="191">
        <v>0.2159722222222222</v>
      </c>
      <c r="V57" s="65">
        <v>5</v>
      </c>
      <c r="W57" s="85">
        <f>(U57-T57)*24*60</f>
        <v>70.999999999999986</v>
      </c>
      <c r="X57" s="95"/>
      <c r="Y57" s="95"/>
      <c r="Z57" s="96"/>
      <c r="AA57" s="96"/>
      <c r="AB57" s="644"/>
      <c r="AC57" s="644"/>
      <c r="AD57" s="97"/>
      <c r="AE57" s="97"/>
      <c r="AF57" s="89">
        <f t="shared" si="6"/>
        <v>-173.23943661971816</v>
      </c>
      <c r="AG57" s="160">
        <f t="shared" si="7"/>
        <v>0.88450704225352117</v>
      </c>
      <c r="AH57" s="661">
        <f>AG69</f>
        <v>0.9601864116921961</v>
      </c>
    </row>
    <row r="58" spans="1:34" ht="18" customHeight="1">
      <c r="A58" s="677"/>
      <c r="B58" s="176" t="s">
        <v>247</v>
      </c>
      <c r="C58" s="219"/>
      <c r="D58" s="80" t="s">
        <v>132</v>
      </c>
      <c r="E58" s="81"/>
      <c r="F58" s="82">
        <v>27.88</v>
      </c>
      <c r="G58" s="184">
        <v>2652</v>
      </c>
      <c r="H58" s="84">
        <f t="shared" si="37"/>
        <v>73937.759999999995</v>
      </c>
      <c r="I58" s="65"/>
      <c r="J58" s="86">
        <v>6</v>
      </c>
      <c r="K58" s="83">
        <v>1500</v>
      </c>
      <c r="L58" s="131">
        <v>250</v>
      </c>
      <c r="M58" s="88">
        <v>6</v>
      </c>
      <c r="N58" s="83">
        <f t="shared" si="38"/>
        <v>1501.1320754716976</v>
      </c>
      <c r="O58" s="87">
        <f t="shared" si="39"/>
        <v>250.18867924528294</v>
      </c>
      <c r="P58" s="218">
        <f t="shared" si="40"/>
        <v>0</v>
      </c>
      <c r="Q58" s="90">
        <f t="shared" si="41"/>
        <v>0.18867924528294111</v>
      </c>
      <c r="R58" s="91">
        <f t="shared" si="36"/>
        <v>1.0007547169811317</v>
      </c>
      <c r="S58" s="659"/>
      <c r="T58" s="220">
        <v>0.22152777777777777</v>
      </c>
      <c r="U58" s="220">
        <v>0.2951388888888889</v>
      </c>
      <c r="V58" s="65">
        <v>8</v>
      </c>
      <c r="W58" s="85">
        <f>(U58-T58)*24*60</f>
        <v>106.00000000000003</v>
      </c>
      <c r="X58" s="95"/>
      <c r="Y58" s="95"/>
      <c r="Z58" s="96"/>
      <c r="AA58" s="96"/>
      <c r="AB58" s="641"/>
      <c r="AC58" s="642"/>
      <c r="AD58" s="97"/>
      <c r="AE58" s="97"/>
      <c r="AF58" s="89">
        <f t="shared" si="6"/>
        <v>1.1320754716975898</v>
      </c>
      <c r="AG58" s="91">
        <f t="shared" si="7"/>
        <v>1.0007547169811317</v>
      </c>
      <c r="AH58" s="659"/>
    </row>
    <row r="59" spans="1:34" ht="18" customHeight="1">
      <c r="A59" s="677"/>
      <c r="B59" s="176" t="s">
        <v>247</v>
      </c>
      <c r="C59" s="219"/>
      <c r="D59" s="80" t="s">
        <v>133</v>
      </c>
      <c r="E59" s="81"/>
      <c r="F59" s="82">
        <v>28</v>
      </c>
      <c r="G59" s="184">
        <v>2805</v>
      </c>
      <c r="H59" s="84">
        <f t="shared" si="37"/>
        <v>78540</v>
      </c>
      <c r="I59" s="65"/>
      <c r="J59" s="86">
        <v>6</v>
      </c>
      <c r="K59" s="83">
        <v>1500</v>
      </c>
      <c r="L59" s="131">
        <v>250</v>
      </c>
      <c r="M59" s="88">
        <v>6</v>
      </c>
      <c r="N59" s="83">
        <f t="shared" si="38"/>
        <v>1463.4782608695655</v>
      </c>
      <c r="O59" s="87">
        <f t="shared" si="39"/>
        <v>243.9130434782609</v>
      </c>
      <c r="P59" s="218">
        <f t="shared" si="40"/>
        <v>0</v>
      </c>
      <c r="Q59" s="90">
        <f t="shared" si="41"/>
        <v>-6.0869565217390971</v>
      </c>
      <c r="R59" s="91">
        <f t="shared" si="36"/>
        <v>0.9756521739130436</v>
      </c>
      <c r="S59" s="659"/>
      <c r="T59" s="220">
        <v>0.31111111111111112</v>
      </c>
      <c r="U59" s="220">
        <v>0.39097222222222222</v>
      </c>
      <c r="V59" s="192">
        <v>23</v>
      </c>
      <c r="W59" s="85">
        <f>(U59-T59)*24*60</f>
        <v>114.99999999999999</v>
      </c>
      <c r="X59" s="95">
        <v>0.2986111111111111</v>
      </c>
      <c r="Y59" s="95">
        <v>0.30833333333333335</v>
      </c>
      <c r="Z59" s="96"/>
      <c r="AA59" s="96"/>
      <c r="AB59" s="644"/>
      <c r="AC59" s="644"/>
      <c r="AD59" s="97"/>
      <c r="AE59" s="97"/>
      <c r="AF59" s="89">
        <f t="shared" si="6"/>
        <v>-36.521739130434526</v>
      </c>
      <c r="AG59" s="91">
        <f t="shared" si="7"/>
        <v>0.9756521739130436</v>
      </c>
      <c r="AH59" s="659"/>
    </row>
    <row r="60" spans="1:34" ht="18" customHeight="1">
      <c r="A60" s="677"/>
      <c r="B60" s="176" t="s">
        <v>251</v>
      </c>
      <c r="C60" s="219"/>
      <c r="D60" s="80" t="s">
        <v>129</v>
      </c>
      <c r="E60" s="81"/>
      <c r="F60" s="82">
        <v>10.09</v>
      </c>
      <c r="G60" s="184">
        <v>3624.8800000000006</v>
      </c>
      <c r="H60" s="84">
        <f t="shared" si="37"/>
        <v>36575.039200000007</v>
      </c>
      <c r="I60" s="65"/>
      <c r="J60" s="221">
        <v>6</v>
      </c>
      <c r="K60" s="104">
        <v>1500</v>
      </c>
      <c r="L60" s="131">
        <v>250</v>
      </c>
      <c r="M60" s="106">
        <v>6</v>
      </c>
      <c r="N60" s="83">
        <f t="shared" si="38"/>
        <v>1449.9520000000009</v>
      </c>
      <c r="O60" s="87">
        <f t="shared" si="39"/>
        <v>241.65866666666682</v>
      </c>
      <c r="P60" s="218">
        <f t="shared" si="40"/>
        <v>0</v>
      </c>
      <c r="Q60" s="90">
        <f t="shared" si="41"/>
        <v>-8.3413333333331821</v>
      </c>
      <c r="R60" s="91">
        <f t="shared" si="36"/>
        <v>0.96663466666666731</v>
      </c>
      <c r="S60" s="659"/>
      <c r="T60" s="220">
        <v>0.40625</v>
      </c>
      <c r="U60" s="220">
        <v>0.51041666666666663</v>
      </c>
      <c r="V60" s="192">
        <v>22</v>
      </c>
      <c r="W60" s="85">
        <f>(U60-T60)*24*60</f>
        <v>149.99999999999994</v>
      </c>
      <c r="X60" s="95">
        <v>0.39444444444444443</v>
      </c>
      <c r="Y60" s="95">
        <v>0.40347222222222223</v>
      </c>
      <c r="Z60" s="96"/>
      <c r="AA60" s="96"/>
      <c r="AB60" s="644"/>
      <c r="AC60" s="644"/>
      <c r="AD60" s="97">
        <v>1</v>
      </c>
      <c r="AE60" s="97"/>
      <c r="AF60" s="89">
        <f t="shared" si="6"/>
        <v>-50.047999999999092</v>
      </c>
      <c r="AG60" s="160">
        <f t="shared" si="7"/>
        <v>0.96663466666666731</v>
      </c>
      <c r="AH60" s="659"/>
    </row>
    <row r="61" spans="1:34" ht="18" customHeight="1">
      <c r="A61" s="677"/>
      <c r="B61" s="176" t="s">
        <v>251</v>
      </c>
      <c r="C61" s="219"/>
      <c r="D61" s="80" t="s">
        <v>129</v>
      </c>
      <c r="E61" s="81"/>
      <c r="F61" s="82">
        <v>10.09</v>
      </c>
      <c r="G61" s="184">
        <v>3236.5</v>
      </c>
      <c r="H61" s="84">
        <f t="shared" si="37"/>
        <v>32656.285</v>
      </c>
      <c r="I61" s="65"/>
      <c r="J61" s="86">
        <v>6</v>
      </c>
      <c r="K61" s="83">
        <v>1500</v>
      </c>
      <c r="L61" s="131">
        <v>250</v>
      </c>
      <c r="M61" s="106">
        <v>6</v>
      </c>
      <c r="N61" s="83">
        <f t="shared" si="38"/>
        <v>1460.0751879699246</v>
      </c>
      <c r="O61" s="87">
        <f t="shared" si="39"/>
        <v>243.3458646616541</v>
      </c>
      <c r="P61" s="218">
        <f t="shared" si="40"/>
        <v>0</v>
      </c>
      <c r="Q61" s="90">
        <f t="shared" si="41"/>
        <v>-6.6541353383458954</v>
      </c>
      <c r="R61" s="91">
        <f t="shared" si="36"/>
        <v>0.97338345864661646</v>
      </c>
      <c r="S61" s="659"/>
      <c r="T61" s="220">
        <v>0.55069444444444438</v>
      </c>
      <c r="U61" s="220">
        <v>0.64305555555555549</v>
      </c>
      <c r="V61" s="192">
        <v>5</v>
      </c>
      <c r="W61" s="85">
        <f>(U61-T61)*24*60</f>
        <v>133</v>
      </c>
      <c r="X61" s="95"/>
      <c r="Y61" s="95"/>
      <c r="Z61" s="96"/>
      <c r="AA61" s="96"/>
      <c r="AB61" s="644"/>
      <c r="AC61" s="644"/>
      <c r="AD61" s="97"/>
      <c r="AE61" s="97"/>
      <c r="AF61" s="89">
        <f t="shared" si="6"/>
        <v>-39.924812030075373</v>
      </c>
      <c r="AG61" s="160">
        <f t="shared" si="7"/>
        <v>0.97338345864661646</v>
      </c>
      <c r="AH61" s="659"/>
    </row>
    <row r="62" spans="1:34" ht="18" customHeight="1">
      <c r="A62" s="677"/>
      <c r="B62" s="176">
        <v>0</v>
      </c>
      <c r="C62" s="219"/>
      <c r="D62" s="80"/>
      <c r="E62" s="81"/>
      <c r="F62" s="82" t="s">
        <v>253</v>
      </c>
      <c r="G62" s="184"/>
      <c r="H62" s="84">
        <f t="shared" si="37"/>
        <v>0</v>
      </c>
      <c r="I62" s="65"/>
      <c r="J62" s="221"/>
      <c r="K62" s="104"/>
      <c r="L62" s="131"/>
      <c r="M62" s="106"/>
      <c r="N62" s="83"/>
      <c r="O62" s="87"/>
      <c r="P62" s="218"/>
      <c r="Q62" s="90"/>
      <c r="R62" s="91"/>
      <c r="S62" s="659"/>
      <c r="T62" s="220"/>
      <c r="U62" s="220"/>
      <c r="V62" s="192"/>
      <c r="W62" s="85"/>
      <c r="X62" s="95"/>
      <c r="Y62" s="95"/>
      <c r="Z62" s="96"/>
      <c r="AA62" s="96"/>
      <c r="AB62" s="644"/>
      <c r="AC62" s="644"/>
      <c r="AD62" s="97"/>
      <c r="AE62" s="97"/>
      <c r="AF62" s="89">
        <f t="shared" si="6"/>
        <v>0</v>
      </c>
      <c r="AG62" s="160" t="e">
        <f t="shared" si="7"/>
        <v>#DIV/0!</v>
      </c>
      <c r="AH62" s="659"/>
    </row>
    <row r="63" spans="1:34" ht="18" customHeight="1">
      <c r="A63" s="677"/>
      <c r="B63" s="176">
        <v>0</v>
      </c>
      <c r="C63" s="219"/>
      <c r="D63" s="80"/>
      <c r="E63" s="81"/>
      <c r="F63" s="82" t="s">
        <v>253</v>
      </c>
      <c r="G63" s="184"/>
      <c r="H63" s="84">
        <f t="shared" si="37"/>
        <v>0</v>
      </c>
      <c r="I63" s="65"/>
      <c r="J63" s="86"/>
      <c r="K63" s="83"/>
      <c r="L63" s="131"/>
      <c r="M63" s="106"/>
      <c r="N63" s="83"/>
      <c r="O63" s="87"/>
      <c r="P63" s="218"/>
      <c r="Q63" s="90"/>
      <c r="R63" s="91"/>
      <c r="S63" s="659"/>
      <c r="T63" s="220"/>
      <c r="U63" s="220"/>
      <c r="V63" s="192"/>
      <c r="W63" s="85"/>
      <c r="X63" s="95"/>
      <c r="Y63" s="95"/>
      <c r="Z63" s="96"/>
      <c r="AA63" s="96"/>
      <c r="AB63" s="644"/>
      <c r="AC63" s="644"/>
      <c r="AD63" s="97"/>
      <c r="AE63" s="97"/>
      <c r="AF63" s="89">
        <f t="shared" si="6"/>
        <v>0</v>
      </c>
      <c r="AG63" s="160" t="e">
        <f t="shared" si="7"/>
        <v>#DIV/0!</v>
      </c>
      <c r="AH63" s="659"/>
    </row>
    <row r="64" spans="1:34" ht="18" customHeight="1">
      <c r="A64" s="677"/>
      <c r="B64" s="176">
        <v>0</v>
      </c>
      <c r="C64" s="219"/>
      <c r="D64" s="80"/>
      <c r="E64" s="81"/>
      <c r="F64" s="82" t="s">
        <v>253</v>
      </c>
      <c r="G64" s="184"/>
      <c r="H64" s="84">
        <f t="shared" si="37"/>
        <v>0</v>
      </c>
      <c r="I64" s="65"/>
      <c r="J64" s="221"/>
      <c r="K64" s="104"/>
      <c r="L64" s="131"/>
      <c r="M64" s="106"/>
      <c r="N64" s="83"/>
      <c r="O64" s="87"/>
      <c r="P64" s="218"/>
      <c r="Q64" s="90"/>
      <c r="R64" s="91"/>
      <c r="S64" s="659"/>
      <c r="T64" s="220"/>
      <c r="U64" s="220"/>
      <c r="V64" s="192"/>
      <c r="W64" s="85"/>
      <c r="X64" s="65"/>
      <c r="Y64" s="65"/>
      <c r="Z64" s="96"/>
      <c r="AA64" s="96"/>
      <c r="AB64" s="644"/>
      <c r="AC64" s="644"/>
      <c r="AD64" s="97"/>
      <c r="AE64" s="97"/>
      <c r="AF64" s="89">
        <f t="shared" si="6"/>
        <v>0</v>
      </c>
      <c r="AG64" s="160" t="e">
        <f t="shared" si="7"/>
        <v>#DIV/0!</v>
      </c>
      <c r="AH64" s="659"/>
    </row>
    <row r="65" spans="1:34" ht="18" customHeight="1">
      <c r="A65" s="677"/>
      <c r="B65" s="176">
        <v>0</v>
      </c>
      <c r="C65" s="219"/>
      <c r="D65" s="80"/>
      <c r="E65" s="81"/>
      <c r="F65" s="82" t="s">
        <v>253</v>
      </c>
      <c r="G65" s="184"/>
      <c r="H65" s="84">
        <f t="shared" si="37"/>
        <v>0</v>
      </c>
      <c r="I65" s="65"/>
      <c r="J65" s="221"/>
      <c r="K65" s="104"/>
      <c r="L65" s="131"/>
      <c r="M65" s="106"/>
      <c r="N65" s="104"/>
      <c r="O65" s="122"/>
      <c r="P65" s="89"/>
      <c r="Q65" s="90"/>
      <c r="R65" s="91"/>
      <c r="S65" s="659"/>
      <c r="T65" s="220"/>
      <c r="U65" s="220"/>
      <c r="V65" s="192"/>
      <c r="W65" s="85">
        <f t="shared" ref="W65:W69" si="42">(U65-T65)*24*60</f>
        <v>0</v>
      </c>
      <c r="X65" s="65"/>
      <c r="Y65" s="65"/>
      <c r="Z65" s="96"/>
      <c r="AA65" s="96"/>
      <c r="AB65" s="644"/>
      <c r="AC65" s="644"/>
      <c r="AD65" s="97"/>
      <c r="AE65" s="97"/>
      <c r="AF65" s="89">
        <f t="shared" si="6"/>
        <v>0</v>
      </c>
      <c r="AG65" s="160" t="e">
        <f t="shared" si="7"/>
        <v>#DIV/0!</v>
      </c>
      <c r="AH65" s="659"/>
    </row>
    <row r="66" spans="1:34" ht="18" customHeight="1">
      <c r="A66" s="677"/>
      <c r="B66" s="176">
        <v>0</v>
      </c>
      <c r="C66" s="219"/>
      <c r="D66" s="80"/>
      <c r="E66" s="81"/>
      <c r="F66" s="82" t="s">
        <v>253</v>
      </c>
      <c r="G66" s="184"/>
      <c r="H66" s="84">
        <f t="shared" si="37"/>
        <v>0</v>
      </c>
      <c r="I66" s="65"/>
      <c r="J66" s="221"/>
      <c r="K66" s="104"/>
      <c r="L66" s="131"/>
      <c r="M66" s="106"/>
      <c r="N66" s="104"/>
      <c r="O66" s="122"/>
      <c r="P66" s="89"/>
      <c r="Q66" s="90"/>
      <c r="R66" s="91"/>
      <c r="S66" s="659"/>
      <c r="T66" s="220"/>
      <c r="U66" s="220"/>
      <c r="V66" s="192"/>
      <c r="W66" s="85">
        <f t="shared" si="42"/>
        <v>0</v>
      </c>
      <c r="X66" s="65"/>
      <c r="Y66" s="65"/>
      <c r="Z66" s="96"/>
      <c r="AA66" s="96"/>
      <c r="AB66" s="644"/>
      <c r="AC66" s="644"/>
      <c r="AD66" s="97"/>
      <c r="AE66" s="97"/>
      <c r="AF66" s="89">
        <f t="shared" si="6"/>
        <v>0</v>
      </c>
      <c r="AG66" s="160" t="e">
        <f t="shared" si="7"/>
        <v>#DIV/0!</v>
      </c>
      <c r="AH66" s="659"/>
    </row>
    <row r="67" spans="1:34" ht="18" customHeight="1">
      <c r="A67" s="677"/>
      <c r="B67" s="176">
        <v>0</v>
      </c>
      <c r="C67" s="219"/>
      <c r="D67" s="80"/>
      <c r="E67" s="81"/>
      <c r="F67" s="82" t="s">
        <v>253</v>
      </c>
      <c r="G67" s="184"/>
      <c r="H67" s="84">
        <f>F67*G67</f>
        <v>0</v>
      </c>
      <c r="I67" s="65"/>
      <c r="J67" s="221"/>
      <c r="K67" s="104"/>
      <c r="L67" s="131"/>
      <c r="M67" s="106"/>
      <c r="N67" s="104"/>
      <c r="O67" s="122"/>
      <c r="P67" s="89"/>
      <c r="Q67" s="90"/>
      <c r="R67" s="91"/>
      <c r="S67" s="659"/>
      <c r="T67" s="220"/>
      <c r="U67" s="220"/>
      <c r="V67" s="192"/>
      <c r="W67" s="85">
        <f t="shared" si="42"/>
        <v>0</v>
      </c>
      <c r="X67" s="65"/>
      <c r="Y67" s="65"/>
      <c r="Z67" s="96"/>
      <c r="AA67" s="96"/>
      <c r="AB67" s="644"/>
      <c r="AC67" s="644"/>
      <c r="AD67" s="97"/>
      <c r="AE67" s="97"/>
      <c r="AF67" s="89">
        <f t="shared" si="6"/>
        <v>0</v>
      </c>
      <c r="AG67" s="160" t="e">
        <f t="shared" si="7"/>
        <v>#DIV/0!</v>
      </c>
      <c r="AH67" s="659"/>
    </row>
    <row r="68" spans="1:34" ht="18" customHeight="1">
      <c r="A68" s="677"/>
      <c r="B68" s="65">
        <v>0</v>
      </c>
      <c r="C68" s="219"/>
      <c r="D68" s="80"/>
      <c r="E68" s="81"/>
      <c r="F68" s="183" t="s">
        <v>253</v>
      </c>
      <c r="G68" s="184"/>
      <c r="H68" s="84">
        <f>F68*G68</f>
        <v>0</v>
      </c>
      <c r="I68" s="65"/>
      <c r="J68" s="221"/>
      <c r="K68" s="104"/>
      <c r="L68" s="131"/>
      <c r="M68" s="106"/>
      <c r="N68" s="104"/>
      <c r="O68" s="122"/>
      <c r="P68" s="89"/>
      <c r="Q68" s="90"/>
      <c r="R68" s="91"/>
      <c r="S68" s="659"/>
      <c r="T68" s="220"/>
      <c r="U68" s="220"/>
      <c r="V68" s="192"/>
      <c r="W68" s="85">
        <f t="shared" si="42"/>
        <v>0</v>
      </c>
      <c r="X68" s="65"/>
      <c r="Y68" s="65"/>
      <c r="Z68" s="96"/>
      <c r="AA68" s="96"/>
      <c r="AB68" s="644"/>
      <c r="AC68" s="644"/>
      <c r="AD68" s="97"/>
      <c r="AE68" s="97"/>
      <c r="AF68" s="89"/>
      <c r="AG68" s="91"/>
      <c r="AH68" s="659"/>
    </row>
    <row r="69" spans="1:34" ht="18" customHeight="1">
      <c r="A69" s="677"/>
      <c r="B69" s="222">
        <v>0</v>
      </c>
      <c r="C69" s="12" t="s">
        <v>226</v>
      </c>
      <c r="D69" s="630" t="s">
        <v>220</v>
      </c>
      <c r="E69" s="630"/>
      <c r="F69" s="223"/>
      <c r="G69" s="224"/>
      <c r="H69" s="225"/>
      <c r="I69" s="226"/>
      <c r="J69" s="114">
        <v>6</v>
      </c>
      <c r="K69" s="114">
        <v>1500</v>
      </c>
      <c r="L69" s="117">
        <v>250</v>
      </c>
      <c r="M69" s="114">
        <f t="shared" ref="M69:O69" si="43">AVERAGE(M57:M68)</f>
        <v>6</v>
      </c>
      <c r="N69" s="114">
        <f t="shared" si="43"/>
        <v>1440.2796175382941</v>
      </c>
      <c r="O69" s="117">
        <f t="shared" si="43"/>
        <v>240.04660292304902</v>
      </c>
      <c r="P69" s="89">
        <f>M69-J69</f>
        <v>0</v>
      </c>
      <c r="Q69" s="90">
        <f>N69-K69</f>
        <v>-59.720382461705867</v>
      </c>
      <c r="R69" s="227">
        <f t="shared" ref="R69:R70" si="44">O69/L69</f>
        <v>0.9601864116921961</v>
      </c>
      <c r="S69" s="659"/>
      <c r="T69" s="191"/>
      <c r="U69" s="191"/>
      <c r="V69" s="83"/>
      <c r="W69" s="85">
        <f t="shared" si="42"/>
        <v>0</v>
      </c>
      <c r="X69" s="87"/>
      <c r="Y69" s="87"/>
      <c r="Z69" s="145">
        <f>SUM(Z57:Z68)</f>
        <v>0</v>
      </c>
      <c r="AA69" s="145">
        <f>SUM(AA57:AA68)</f>
        <v>0</v>
      </c>
      <c r="AB69" s="644"/>
      <c r="AC69" s="644"/>
      <c r="AD69" s="146">
        <f>SUM(AD57:AD68)</f>
        <v>1</v>
      </c>
      <c r="AE69" s="146">
        <f>SUM(AE57:AE68)</f>
        <v>0</v>
      </c>
      <c r="AF69" s="89">
        <f t="shared" si="6"/>
        <v>-59.720382461705867</v>
      </c>
      <c r="AG69" s="91">
        <f t="shared" si="7"/>
        <v>0.9601864116921961</v>
      </c>
      <c r="AH69" s="659"/>
    </row>
    <row r="70" spans="1:34" ht="15.65" customHeight="1">
      <c r="A70" s="674" t="s">
        <v>227</v>
      </c>
      <c r="B70" s="65" t="s">
        <v>248</v>
      </c>
      <c r="C70" s="176"/>
      <c r="D70" s="80" t="s">
        <v>134</v>
      </c>
      <c r="E70" s="81"/>
      <c r="F70" s="82">
        <v>62.13</v>
      </c>
      <c r="G70" s="83">
        <v>671</v>
      </c>
      <c r="H70" s="84">
        <f>F70*G70</f>
        <v>41689.230000000003</v>
      </c>
      <c r="I70" s="65"/>
      <c r="J70" s="86">
        <v>14</v>
      </c>
      <c r="K70" s="83">
        <v>1500</v>
      </c>
      <c r="L70" s="87">
        <v>107.14285714285714</v>
      </c>
      <c r="M70" s="88">
        <v>12</v>
      </c>
      <c r="N70" s="83">
        <f t="shared" ref="N70:N77" si="45">G70/W70*60</f>
        <v>1342.0000000000014</v>
      </c>
      <c r="O70" s="87">
        <f t="shared" ref="O70:O77" si="46">N70/M70</f>
        <v>111.83333333333344</v>
      </c>
      <c r="P70" s="89">
        <f t="shared" ref="P70:P77" si="47">M70-J70</f>
        <v>-2</v>
      </c>
      <c r="Q70" s="90">
        <f t="shared" ref="Q70" si="48">O70-L70</f>
        <v>4.6904761904763035</v>
      </c>
      <c r="R70" s="91">
        <f t="shared" si="44"/>
        <v>1.0437777777777788</v>
      </c>
      <c r="S70" s="659">
        <f>R82</f>
        <v>0.86478141864484215</v>
      </c>
      <c r="T70" s="92">
        <v>0.29166666666666669</v>
      </c>
      <c r="U70" s="92">
        <v>0.3125</v>
      </c>
      <c r="V70" s="65">
        <v>5</v>
      </c>
      <c r="W70" s="85">
        <f>(U70-T70)*24*60</f>
        <v>29.999999999999972</v>
      </c>
      <c r="X70" s="65"/>
      <c r="Y70" s="65"/>
      <c r="Z70" s="96"/>
      <c r="AA70" s="96"/>
      <c r="AB70" s="644"/>
      <c r="AC70" s="644"/>
      <c r="AD70" s="97"/>
      <c r="AE70" s="97"/>
      <c r="AF70" s="89">
        <f t="shared" si="6"/>
        <v>-157.99999999999864</v>
      </c>
      <c r="AG70" s="91">
        <f t="shared" si="7"/>
        <v>0.89466666666666761</v>
      </c>
      <c r="AH70" s="659">
        <f>AG82</f>
        <v>0.84488793909778825</v>
      </c>
    </row>
    <row r="71" spans="1:34" ht="17.399999999999999" customHeight="1">
      <c r="A71" s="674"/>
      <c r="B71" s="65" t="s">
        <v>252</v>
      </c>
      <c r="C71" s="79"/>
      <c r="D71" s="228" t="s">
        <v>135</v>
      </c>
      <c r="E71" s="81"/>
      <c r="F71" s="82">
        <v>47.65</v>
      </c>
      <c r="G71" s="83">
        <v>1593.6</v>
      </c>
      <c r="H71" s="84">
        <f>F71*G71</f>
        <v>75935.039999999994</v>
      </c>
      <c r="I71" s="65"/>
      <c r="J71" s="86">
        <v>18</v>
      </c>
      <c r="K71" s="229">
        <v>1440</v>
      </c>
      <c r="L71" s="87">
        <v>80</v>
      </c>
      <c r="M71" s="137">
        <v>18</v>
      </c>
      <c r="N71" s="83">
        <f t="shared" si="45"/>
        <v>1258.1052631578953</v>
      </c>
      <c r="O71" s="87">
        <f t="shared" si="46"/>
        <v>69.894736842105289</v>
      </c>
      <c r="P71" s="89">
        <f t="shared" si="47"/>
        <v>0</v>
      </c>
      <c r="Q71" s="90">
        <f>O71-L71</f>
        <v>-10.105263157894711</v>
      </c>
      <c r="R71" s="91">
        <f>O71/L71</f>
        <v>0.87368421052631606</v>
      </c>
      <c r="S71" s="659"/>
      <c r="T71" s="92">
        <v>0.32777777777777778</v>
      </c>
      <c r="U71" s="92">
        <v>0.38055555555555554</v>
      </c>
      <c r="V71" s="65">
        <v>22</v>
      </c>
      <c r="W71" s="85">
        <f t="shared" ref="W71:W81" si="49">(U71-T71)*24*60</f>
        <v>75.999999999999972</v>
      </c>
      <c r="X71" s="95">
        <v>0.31597222222222221</v>
      </c>
      <c r="Y71" s="95">
        <v>0.32500000000000001</v>
      </c>
      <c r="Z71" s="96"/>
      <c r="AA71" s="96"/>
      <c r="AB71" s="644"/>
      <c r="AC71" s="644"/>
      <c r="AD71" s="97"/>
      <c r="AE71" s="97"/>
      <c r="AF71" s="89">
        <f>N71-K71</f>
        <v>-181.89473684210475</v>
      </c>
      <c r="AG71" s="91">
        <f>N71/K71</f>
        <v>0.87368421052631617</v>
      </c>
      <c r="AH71" s="659"/>
    </row>
    <row r="72" spans="1:34" ht="17.399999999999999" customHeight="1">
      <c r="A72" s="674"/>
      <c r="B72" s="65" t="s">
        <v>252</v>
      </c>
      <c r="C72" s="109"/>
      <c r="D72" s="228" t="s">
        <v>136</v>
      </c>
      <c r="E72" s="81"/>
      <c r="F72" s="82">
        <v>47.51</v>
      </c>
      <c r="G72" s="100">
        <v>2913</v>
      </c>
      <c r="H72" s="84">
        <f t="shared" ref="H72:H80" si="50">F72*G72</f>
        <v>138396.63</v>
      </c>
      <c r="I72" s="65"/>
      <c r="J72" s="130">
        <v>17</v>
      </c>
      <c r="K72" s="100">
        <v>1440</v>
      </c>
      <c r="L72" s="131">
        <v>84.705882352941174</v>
      </c>
      <c r="M72" s="88">
        <v>17</v>
      </c>
      <c r="N72" s="83">
        <f t="shared" si="45"/>
        <v>1257.4100719424459</v>
      </c>
      <c r="O72" s="87">
        <f t="shared" si="46"/>
        <v>73.965298349555638</v>
      </c>
      <c r="P72" s="89">
        <f t="shared" si="47"/>
        <v>0</v>
      </c>
      <c r="Q72" s="90">
        <f>O72-L72</f>
        <v>-10.740584003385536</v>
      </c>
      <c r="R72" s="91">
        <f>O72/L72</f>
        <v>0.87320143884892076</v>
      </c>
      <c r="S72" s="659"/>
      <c r="T72" s="92">
        <v>0.39652777777777776</v>
      </c>
      <c r="U72" s="92">
        <v>0.49305555555555552</v>
      </c>
      <c r="V72" s="65">
        <v>23</v>
      </c>
      <c r="W72" s="85">
        <f t="shared" si="49"/>
        <v>139</v>
      </c>
      <c r="X72" s="95">
        <v>0.3840277777777778</v>
      </c>
      <c r="Y72" s="95">
        <v>0.39374999999999999</v>
      </c>
      <c r="Z72" s="96"/>
      <c r="AA72" s="96"/>
      <c r="AB72" s="644"/>
      <c r="AC72" s="644"/>
      <c r="AD72" s="97"/>
      <c r="AE72" s="97"/>
      <c r="AF72" s="89">
        <f>N72-K72</f>
        <v>-182.58992805755406</v>
      </c>
      <c r="AG72" s="91">
        <f>N72/K72</f>
        <v>0.87320143884892076</v>
      </c>
      <c r="AH72" s="659"/>
    </row>
    <row r="73" spans="1:34" ht="17.399999999999999" customHeight="1">
      <c r="A73" s="674"/>
      <c r="B73" s="65" t="s">
        <v>252</v>
      </c>
      <c r="C73" s="230"/>
      <c r="D73" s="231" t="s">
        <v>137</v>
      </c>
      <c r="E73" s="232"/>
      <c r="F73" s="82">
        <v>64.97</v>
      </c>
      <c r="G73" s="100">
        <v>371</v>
      </c>
      <c r="H73" s="84">
        <f t="shared" si="50"/>
        <v>24103.87</v>
      </c>
      <c r="I73" s="97"/>
      <c r="J73" s="233">
        <v>16</v>
      </c>
      <c r="K73" s="234">
        <v>1440</v>
      </c>
      <c r="L73" s="131">
        <v>90</v>
      </c>
      <c r="M73" s="137">
        <v>17</v>
      </c>
      <c r="N73" s="83">
        <f t="shared" si="45"/>
        <v>1060.0000000000036</v>
      </c>
      <c r="O73" s="87">
        <f t="shared" si="46"/>
        <v>62.3529411764708</v>
      </c>
      <c r="P73" s="89">
        <f t="shared" si="47"/>
        <v>1</v>
      </c>
      <c r="Q73" s="90">
        <f>O73-L73</f>
        <v>-27.6470588235292</v>
      </c>
      <c r="R73" s="91">
        <f>O73/L73</f>
        <v>0.69281045751634218</v>
      </c>
      <c r="S73" s="659"/>
      <c r="T73" s="92">
        <v>0.53472222222222221</v>
      </c>
      <c r="U73" s="92">
        <v>0.54930555555555549</v>
      </c>
      <c r="V73" s="65">
        <v>7</v>
      </c>
      <c r="W73" s="85">
        <f t="shared" si="49"/>
        <v>20.999999999999925</v>
      </c>
      <c r="X73" s="235"/>
      <c r="Y73" s="235"/>
      <c r="Z73" s="167"/>
      <c r="AA73" s="167"/>
      <c r="AB73" s="644"/>
      <c r="AC73" s="644"/>
      <c r="AD73" s="97"/>
      <c r="AE73" s="97"/>
      <c r="AF73" s="89">
        <f>N73-K73</f>
        <v>-379.99999999999636</v>
      </c>
      <c r="AG73" s="91">
        <f>N73/K73</f>
        <v>0.7361111111111136</v>
      </c>
      <c r="AH73" s="659"/>
    </row>
    <row r="74" spans="1:34" ht="17.399999999999999" customHeight="1">
      <c r="A74" s="674"/>
      <c r="B74" s="65" t="s">
        <v>252</v>
      </c>
      <c r="C74" s="230"/>
      <c r="D74" s="231" t="s">
        <v>138</v>
      </c>
      <c r="E74" s="232"/>
      <c r="F74" s="82">
        <v>59.54</v>
      </c>
      <c r="G74" s="229">
        <v>1647</v>
      </c>
      <c r="H74" s="84">
        <f t="shared" si="50"/>
        <v>98062.38</v>
      </c>
      <c r="I74" s="65"/>
      <c r="J74" s="130">
        <v>17</v>
      </c>
      <c r="K74" s="100">
        <v>1385</v>
      </c>
      <c r="L74" s="131">
        <v>81.470588235294116</v>
      </c>
      <c r="M74" s="88">
        <v>17</v>
      </c>
      <c r="N74" s="83">
        <f t="shared" si="45"/>
        <v>1250.8860759493664</v>
      </c>
      <c r="O74" s="87">
        <f t="shared" si="46"/>
        <v>73.58153387937449</v>
      </c>
      <c r="P74" s="89">
        <f t="shared" si="47"/>
        <v>0</v>
      </c>
      <c r="Q74" s="90">
        <f>O74-L74</f>
        <v>-7.889054355919626</v>
      </c>
      <c r="R74" s="91">
        <f>O74/L74</f>
        <v>0.90316684184069773</v>
      </c>
      <c r="S74" s="659"/>
      <c r="T74" s="92">
        <v>0.5527777777777777</v>
      </c>
      <c r="U74" s="92">
        <v>0.60763888888888884</v>
      </c>
      <c r="V74" s="65">
        <v>5</v>
      </c>
      <c r="W74" s="85">
        <f t="shared" si="49"/>
        <v>79.000000000000043</v>
      </c>
      <c r="X74" s="235"/>
      <c r="Y74" s="235"/>
      <c r="Z74" s="167"/>
      <c r="AA74" s="167"/>
      <c r="AB74" s="644"/>
      <c r="AC74" s="644"/>
      <c r="AD74" s="97"/>
      <c r="AE74" s="97"/>
      <c r="AF74" s="89">
        <f>N74-K74</f>
        <v>-134.11392405063361</v>
      </c>
      <c r="AG74" s="91">
        <f>N74/K74</f>
        <v>0.90316684184069773</v>
      </c>
      <c r="AH74" s="659"/>
    </row>
    <row r="75" spans="1:34" ht="17.399999999999999" customHeight="1">
      <c r="A75" s="674"/>
      <c r="B75" s="65" t="s">
        <v>252</v>
      </c>
      <c r="C75" s="109"/>
      <c r="D75" s="228" t="s">
        <v>139</v>
      </c>
      <c r="E75" s="81"/>
      <c r="F75" s="82">
        <v>71.55</v>
      </c>
      <c r="G75" s="100">
        <v>878</v>
      </c>
      <c r="H75" s="84">
        <f t="shared" si="50"/>
        <v>62820.899999999994</v>
      </c>
      <c r="I75" s="65"/>
      <c r="J75" s="233">
        <v>19</v>
      </c>
      <c r="K75" s="234">
        <v>1385</v>
      </c>
      <c r="L75" s="131">
        <v>72.89473684210526</v>
      </c>
      <c r="M75" s="88">
        <v>19</v>
      </c>
      <c r="N75" s="83">
        <f t="shared" si="45"/>
        <v>1225.1162790697672</v>
      </c>
      <c r="O75" s="87">
        <f t="shared" si="46"/>
        <v>64.47980416156669</v>
      </c>
      <c r="P75" s="89">
        <f t="shared" si="47"/>
        <v>0</v>
      </c>
      <c r="Q75" s="90">
        <f>O75-L75</f>
        <v>-8.4149326805385698</v>
      </c>
      <c r="R75" s="91">
        <f>O75/L75</f>
        <v>0.88456049030308104</v>
      </c>
      <c r="S75" s="659"/>
      <c r="T75" s="92">
        <v>0.61249999999999993</v>
      </c>
      <c r="U75" s="92">
        <v>0.64236111111111105</v>
      </c>
      <c r="V75" s="65">
        <v>7</v>
      </c>
      <c r="W75" s="85">
        <f t="shared" si="49"/>
        <v>43.000000000000007</v>
      </c>
      <c r="X75" s="235"/>
      <c r="Y75" s="235"/>
      <c r="Z75" s="167"/>
      <c r="AA75" s="167"/>
      <c r="AB75" s="644"/>
      <c r="AC75" s="644"/>
      <c r="AD75" s="97"/>
      <c r="AE75" s="97"/>
      <c r="AF75" s="89">
        <f>N75-K75</f>
        <v>-159.88372093023281</v>
      </c>
      <c r="AG75" s="91">
        <f>N75/K75</f>
        <v>0.88456049030308104</v>
      </c>
      <c r="AH75" s="659"/>
    </row>
    <row r="76" spans="1:34" ht="17.399999999999999" customHeight="1">
      <c r="A76" s="674"/>
      <c r="B76" s="65" t="s">
        <v>252</v>
      </c>
      <c r="C76" s="230"/>
      <c r="D76" s="231" t="s">
        <v>135</v>
      </c>
      <c r="E76" s="232"/>
      <c r="F76" s="82">
        <v>47.65</v>
      </c>
      <c r="G76" s="229">
        <v>1062.4000000000001</v>
      </c>
      <c r="H76" s="84">
        <f t="shared" si="50"/>
        <v>50623.360000000001</v>
      </c>
      <c r="I76" s="65"/>
      <c r="J76" s="130">
        <v>18</v>
      </c>
      <c r="K76" s="100">
        <v>1440</v>
      </c>
      <c r="L76" s="131">
        <v>80</v>
      </c>
      <c r="M76" s="137">
        <v>18</v>
      </c>
      <c r="N76" s="83">
        <f t="shared" si="45"/>
        <v>1249.882352941177</v>
      </c>
      <c r="O76" s="87">
        <f t="shared" si="46"/>
        <v>69.437908496732064</v>
      </c>
      <c r="P76" s="89">
        <f t="shared" si="47"/>
        <v>0</v>
      </c>
      <c r="Q76" s="90">
        <f t="shared" ref="Q76:Q77" si="51">O76-L76</f>
        <v>-10.562091503267936</v>
      </c>
      <c r="R76" s="91">
        <f t="shared" ref="R76:R77" si="52">O76/L76</f>
        <v>0.8679738562091508</v>
      </c>
      <c r="S76" s="659"/>
      <c r="T76" s="92">
        <v>0.6465277777777777</v>
      </c>
      <c r="U76" s="92">
        <v>0.68194444444444435</v>
      </c>
      <c r="V76" s="65">
        <v>6</v>
      </c>
      <c r="W76" s="85">
        <f t="shared" si="49"/>
        <v>50.999999999999979</v>
      </c>
      <c r="X76" s="235"/>
      <c r="Y76" s="235"/>
      <c r="Z76" s="167"/>
      <c r="AA76" s="167"/>
      <c r="AB76" s="644"/>
      <c r="AC76" s="644"/>
      <c r="AD76" s="97"/>
      <c r="AE76" s="97"/>
      <c r="AF76" s="89">
        <f t="shared" ref="AF76:AF80" si="53">N76-K76</f>
        <v>-190.11764705882297</v>
      </c>
      <c r="AG76" s="91">
        <f t="shared" ref="AG76:AG80" si="54">N76/K76</f>
        <v>0.86797385620915068</v>
      </c>
      <c r="AH76" s="659"/>
    </row>
    <row r="77" spans="1:34" ht="17.399999999999999" customHeight="1">
      <c r="A77" s="674"/>
      <c r="B77" s="65" t="s">
        <v>251</v>
      </c>
      <c r="C77" s="219"/>
      <c r="D77" s="236" t="s">
        <v>140</v>
      </c>
      <c r="E77" s="81"/>
      <c r="F77" s="82">
        <v>53.68</v>
      </c>
      <c r="G77" s="229">
        <v>1391</v>
      </c>
      <c r="H77" s="84">
        <f t="shared" si="50"/>
        <v>74668.88</v>
      </c>
      <c r="I77" s="97"/>
      <c r="J77" s="233">
        <v>20</v>
      </c>
      <c r="K77" s="234">
        <v>1500</v>
      </c>
      <c r="L77" s="131">
        <v>75</v>
      </c>
      <c r="M77" s="88">
        <v>20</v>
      </c>
      <c r="N77" s="83">
        <f t="shared" si="45"/>
        <v>1098.1578947368414</v>
      </c>
      <c r="O77" s="87">
        <f t="shared" si="46"/>
        <v>54.907894736842067</v>
      </c>
      <c r="P77" s="89">
        <f t="shared" si="47"/>
        <v>0</v>
      </c>
      <c r="Q77" s="90">
        <f t="shared" si="51"/>
        <v>-20.092105263157933</v>
      </c>
      <c r="R77" s="91">
        <f t="shared" si="52"/>
        <v>0.73210526315789426</v>
      </c>
      <c r="S77" s="659"/>
      <c r="T77" s="92">
        <v>0.70833333333333337</v>
      </c>
      <c r="U77" s="92">
        <v>0.76111111111111118</v>
      </c>
      <c r="V77" s="65">
        <v>5</v>
      </c>
      <c r="W77" s="85">
        <f t="shared" si="49"/>
        <v>76.000000000000057</v>
      </c>
      <c r="X77" s="235"/>
      <c r="Y77" s="235"/>
      <c r="Z77" s="167"/>
      <c r="AA77" s="167"/>
      <c r="AB77" s="644"/>
      <c r="AC77" s="644"/>
      <c r="AD77" s="97"/>
      <c r="AE77" s="97"/>
      <c r="AF77" s="89">
        <f t="shared" si="53"/>
        <v>-401.8421052631586</v>
      </c>
      <c r="AG77" s="91">
        <f t="shared" si="54"/>
        <v>0.73210526315789426</v>
      </c>
      <c r="AH77" s="659"/>
    </row>
    <row r="78" spans="1:34" ht="17.399999999999999" customHeight="1">
      <c r="A78" s="674"/>
      <c r="B78" s="65">
        <v>0</v>
      </c>
      <c r="C78" s="219"/>
      <c r="D78" s="80"/>
      <c r="E78" s="81"/>
      <c r="F78" s="82" t="s">
        <v>253</v>
      </c>
      <c r="G78" s="100"/>
      <c r="H78" s="84">
        <f t="shared" si="50"/>
        <v>0</v>
      </c>
      <c r="I78" s="97"/>
      <c r="J78" s="130"/>
      <c r="K78" s="100"/>
      <c r="L78" s="131"/>
      <c r="M78" s="137"/>
      <c r="N78" s="83"/>
      <c r="O78" s="87"/>
      <c r="P78" s="89"/>
      <c r="Q78" s="90"/>
      <c r="R78" s="91"/>
      <c r="S78" s="659"/>
      <c r="T78" s="92"/>
      <c r="U78" s="92"/>
      <c r="V78" s="65"/>
      <c r="W78" s="85"/>
      <c r="X78" s="235"/>
      <c r="Y78" s="235"/>
      <c r="Z78" s="167"/>
      <c r="AA78" s="167"/>
      <c r="AB78" s="644"/>
      <c r="AC78" s="644"/>
      <c r="AD78" s="97"/>
      <c r="AE78" s="97"/>
      <c r="AF78" s="89">
        <f t="shared" si="53"/>
        <v>0</v>
      </c>
      <c r="AG78" s="91" t="e">
        <f t="shared" si="54"/>
        <v>#DIV/0!</v>
      </c>
      <c r="AH78" s="659"/>
    </row>
    <row r="79" spans="1:34" ht="17.399999999999999" customHeight="1">
      <c r="A79" s="674"/>
      <c r="B79" s="65">
        <v>0</v>
      </c>
      <c r="C79" s="230"/>
      <c r="D79" s="231"/>
      <c r="E79" s="232"/>
      <c r="F79" s="82" t="s">
        <v>253</v>
      </c>
      <c r="G79" s="100"/>
      <c r="H79" s="84">
        <f t="shared" si="50"/>
        <v>0</v>
      </c>
      <c r="I79" s="97"/>
      <c r="J79" s="130"/>
      <c r="K79" s="100"/>
      <c r="L79" s="131"/>
      <c r="M79" s="137"/>
      <c r="N79" s="100"/>
      <c r="O79" s="237"/>
      <c r="P79" s="238"/>
      <c r="Q79" s="239"/>
      <c r="R79" s="240"/>
      <c r="S79" s="659"/>
      <c r="T79" s="92"/>
      <c r="U79" s="92"/>
      <c r="V79" s="65"/>
      <c r="W79" s="85">
        <f t="shared" si="49"/>
        <v>0</v>
      </c>
      <c r="X79" s="235"/>
      <c r="Y79" s="235"/>
      <c r="Z79" s="167"/>
      <c r="AA79" s="167"/>
      <c r="AB79" s="644"/>
      <c r="AC79" s="644"/>
      <c r="AD79" s="97"/>
      <c r="AE79" s="97"/>
      <c r="AF79" s="89">
        <f t="shared" si="53"/>
        <v>0</v>
      </c>
      <c r="AG79" s="91" t="e">
        <f t="shared" si="54"/>
        <v>#DIV/0!</v>
      </c>
      <c r="AH79" s="659"/>
    </row>
    <row r="80" spans="1:34" ht="17.399999999999999" customHeight="1">
      <c r="A80" s="674"/>
      <c r="B80" s="65">
        <v>0</v>
      </c>
      <c r="C80" s="219"/>
      <c r="D80" s="80"/>
      <c r="E80" s="81"/>
      <c r="F80" s="82"/>
      <c r="G80" s="100"/>
      <c r="H80" s="84">
        <f t="shared" si="50"/>
        <v>0</v>
      </c>
      <c r="I80" s="97"/>
      <c r="J80" s="130"/>
      <c r="K80" s="100"/>
      <c r="L80" s="131"/>
      <c r="M80" s="137"/>
      <c r="N80" s="100"/>
      <c r="O80" s="241"/>
      <c r="P80" s="96"/>
      <c r="Q80" s="132"/>
      <c r="R80" s="242"/>
      <c r="S80" s="659"/>
      <c r="T80" s="92"/>
      <c r="U80" s="92"/>
      <c r="V80" s="65"/>
      <c r="W80" s="85">
        <f t="shared" si="49"/>
        <v>0</v>
      </c>
      <c r="X80" s="235"/>
      <c r="Y80" s="235"/>
      <c r="Z80" s="167"/>
      <c r="AA80" s="167"/>
      <c r="AB80" s="644"/>
      <c r="AC80" s="644"/>
      <c r="AD80" s="97"/>
      <c r="AE80" s="97"/>
      <c r="AF80" s="89">
        <f t="shared" si="53"/>
        <v>0</v>
      </c>
      <c r="AG80" s="91" t="e">
        <f t="shared" si="54"/>
        <v>#DIV/0!</v>
      </c>
      <c r="AH80" s="659"/>
    </row>
    <row r="81" spans="1:34" ht="17.399999999999999" customHeight="1">
      <c r="A81" s="674"/>
      <c r="B81" s="65">
        <v>0</v>
      </c>
      <c r="C81" s="219"/>
      <c r="D81" s="80"/>
      <c r="E81" s="81"/>
      <c r="F81" s="183"/>
      <c r="G81" s="100"/>
      <c r="H81" s="129"/>
      <c r="I81" s="97"/>
      <c r="J81" s="130"/>
      <c r="K81" s="100"/>
      <c r="L81" s="131"/>
      <c r="M81" s="137"/>
      <c r="N81" s="100"/>
      <c r="O81" s="241"/>
      <c r="P81" s="96"/>
      <c r="Q81" s="132"/>
      <c r="R81" s="242"/>
      <c r="S81" s="659"/>
      <c r="T81" s="92"/>
      <c r="U81" s="92"/>
      <c r="V81" s="65"/>
      <c r="W81" s="85">
        <f t="shared" si="49"/>
        <v>0</v>
      </c>
      <c r="X81" s="235"/>
      <c r="Y81" s="235"/>
      <c r="Z81" s="167"/>
      <c r="AA81" s="167"/>
      <c r="AB81" s="644"/>
      <c r="AC81" s="644"/>
      <c r="AD81" s="97"/>
      <c r="AE81" s="97"/>
      <c r="AF81" s="89"/>
      <c r="AG81" s="170"/>
      <c r="AH81" s="659"/>
    </row>
    <row r="82" spans="1:34" ht="18" customHeight="1">
      <c r="A82" s="675"/>
      <c r="B82" s="222">
        <v>0</v>
      </c>
      <c r="C82" s="138" t="s">
        <v>18</v>
      </c>
      <c r="D82" s="630" t="s">
        <v>220</v>
      </c>
      <c r="E82" s="630"/>
      <c r="F82" s="243"/>
      <c r="G82" s="140"/>
      <c r="H82" s="141"/>
      <c r="I82" s="142"/>
      <c r="J82" s="140">
        <v>17.375</v>
      </c>
      <c r="K82" s="140">
        <v>1441.25</v>
      </c>
      <c r="L82" s="143">
        <v>83.901758071649709</v>
      </c>
      <c r="M82" s="140">
        <f t="shared" ref="M82:O82" si="55">AVERAGE(M70:M81)</f>
        <v>17.25</v>
      </c>
      <c r="N82" s="140">
        <f t="shared" si="55"/>
        <v>1217.6947422246874</v>
      </c>
      <c r="O82" s="244">
        <f t="shared" si="55"/>
        <v>72.55668137199757</v>
      </c>
      <c r="P82" s="158">
        <f>M82-J82</f>
        <v>-0.125</v>
      </c>
      <c r="Q82" s="159">
        <f>N82-K82</f>
        <v>-223.55525777531261</v>
      </c>
      <c r="R82" s="227">
        <f>O82/L82</f>
        <v>0.86478141864484215</v>
      </c>
      <c r="S82" s="659"/>
      <c r="T82" s="92"/>
      <c r="U82" s="92"/>
      <c r="V82" s="65"/>
      <c r="W82" s="83"/>
      <c r="X82" s="87"/>
      <c r="Y82" s="87"/>
      <c r="Z82" s="145">
        <f>SUM(Z70:Z81)</f>
        <v>0</v>
      </c>
      <c r="AA82" s="145">
        <f>SUM(AA70:AA81)</f>
        <v>0</v>
      </c>
      <c r="AB82" s="644"/>
      <c r="AC82" s="644"/>
      <c r="AD82" s="146">
        <f>SUM(AD70:AD81)</f>
        <v>0</v>
      </c>
      <c r="AE82" s="146">
        <f>SUM(AE70:AE81)</f>
        <v>0</v>
      </c>
      <c r="AF82" s="89">
        <f>N82-K82</f>
        <v>-223.55525777531261</v>
      </c>
      <c r="AG82" s="91">
        <f>N82/K82</f>
        <v>0.84488793909778825</v>
      </c>
      <c r="AH82" s="659"/>
    </row>
    <row r="83" spans="1:34" ht="18" customHeight="1">
      <c r="A83" s="672" t="s">
        <v>228</v>
      </c>
      <c r="B83" s="147" t="s">
        <v>247</v>
      </c>
      <c r="C83" s="109"/>
      <c r="D83" s="245" t="s">
        <v>141</v>
      </c>
      <c r="E83" s="81"/>
      <c r="F83" s="183">
        <v>57.73</v>
      </c>
      <c r="G83" s="100">
        <v>656</v>
      </c>
      <c r="H83" s="129">
        <f t="shared" ref="H83:H94" si="56">F83*G83</f>
        <v>37870.879999999997</v>
      </c>
      <c r="I83" s="97"/>
      <c r="J83" s="130">
        <v>21</v>
      </c>
      <c r="K83" s="100">
        <v>1385</v>
      </c>
      <c r="L83" s="131">
        <v>65.952380952380949</v>
      </c>
      <c r="M83" s="137">
        <v>20</v>
      </c>
      <c r="N83" s="100">
        <f t="shared" ref="N83:N90" si="57">G83/W83*60</f>
        <v>1063.7837837837828</v>
      </c>
      <c r="O83" s="241">
        <f t="shared" ref="O83:O90" si="58">N83/M83</f>
        <v>53.189189189189143</v>
      </c>
      <c r="P83" s="96">
        <f t="shared" ref="P83:P90" si="59">M83-J83</f>
        <v>-1</v>
      </c>
      <c r="Q83" s="132">
        <f t="shared" ref="Q83:Q90" si="60">O83-L83</f>
        <v>-12.763191763191806</v>
      </c>
      <c r="R83" s="246">
        <f t="shared" ref="R83:R90" si="61">O83/L83</f>
        <v>0.80647868084691121</v>
      </c>
      <c r="S83" s="659">
        <f>R95</f>
        <v>0.79051911817187193</v>
      </c>
      <c r="T83" s="92">
        <v>0.375</v>
      </c>
      <c r="U83" s="92">
        <v>0.40069444444444446</v>
      </c>
      <c r="V83" s="65">
        <v>5</v>
      </c>
      <c r="W83" s="85">
        <f t="shared" ref="W83:W93" si="62">(U83-T83)*24*60</f>
        <v>37.000000000000028</v>
      </c>
      <c r="X83" s="95"/>
      <c r="Y83" s="95"/>
      <c r="Z83" s="96"/>
      <c r="AA83" s="96"/>
      <c r="AB83" s="644"/>
      <c r="AC83" s="644"/>
      <c r="AD83" s="97"/>
      <c r="AE83" s="97"/>
      <c r="AF83" s="89">
        <f t="shared" ref="AF83:AF173" si="63">N83-K83</f>
        <v>-321.21621621621716</v>
      </c>
      <c r="AG83" s="91">
        <f t="shared" ref="AG83:AG173" si="64">N83/K83</f>
        <v>0.76807493413991546</v>
      </c>
      <c r="AH83" s="659">
        <f>AG95</f>
        <v>0.77298784618759797</v>
      </c>
    </row>
    <row r="84" spans="1:34" ht="18" customHeight="1">
      <c r="A84" s="673"/>
      <c r="B84" s="147" t="s">
        <v>247</v>
      </c>
      <c r="C84" s="219"/>
      <c r="D84" s="236" t="s">
        <v>142</v>
      </c>
      <c r="E84" s="81"/>
      <c r="F84" s="183">
        <v>57.73</v>
      </c>
      <c r="G84" s="83">
        <v>476</v>
      </c>
      <c r="H84" s="129">
        <f t="shared" si="56"/>
        <v>27479.48</v>
      </c>
      <c r="I84" s="65"/>
      <c r="J84" s="130">
        <v>21</v>
      </c>
      <c r="K84" s="100">
        <v>1385</v>
      </c>
      <c r="L84" s="131">
        <v>65.952380952380949</v>
      </c>
      <c r="M84" s="137">
        <v>20</v>
      </c>
      <c r="N84" s="100">
        <f t="shared" si="57"/>
        <v>921.29032258064603</v>
      </c>
      <c r="O84" s="241">
        <f t="shared" si="58"/>
        <v>46.064516129032299</v>
      </c>
      <c r="P84" s="96">
        <f t="shared" si="59"/>
        <v>-1</v>
      </c>
      <c r="Q84" s="132">
        <f t="shared" si="60"/>
        <v>-19.88786482334865</v>
      </c>
      <c r="R84" s="246">
        <f t="shared" si="61"/>
        <v>0.69845114708280021</v>
      </c>
      <c r="S84" s="659"/>
      <c r="T84" s="92">
        <v>0.41597222222222224</v>
      </c>
      <c r="U84" s="92">
        <v>0.4375</v>
      </c>
      <c r="V84" s="65">
        <v>22</v>
      </c>
      <c r="W84" s="85">
        <f t="shared" si="62"/>
        <v>30.999999999999972</v>
      </c>
      <c r="X84" s="95">
        <v>0.40416666666666662</v>
      </c>
      <c r="Y84" s="95">
        <v>0.41319444444444442</v>
      </c>
      <c r="Z84" s="96"/>
      <c r="AA84" s="96"/>
      <c r="AB84" s="644"/>
      <c r="AC84" s="644"/>
      <c r="AD84" s="97"/>
      <c r="AE84" s="97"/>
      <c r="AF84" s="89">
        <f t="shared" si="63"/>
        <v>-463.70967741935397</v>
      </c>
      <c r="AG84" s="91">
        <f t="shared" si="64"/>
        <v>0.66519156865028595</v>
      </c>
      <c r="AH84" s="659"/>
    </row>
    <row r="85" spans="1:34" ht="18" customHeight="1">
      <c r="A85" s="673"/>
      <c r="B85" s="147" t="s">
        <v>248</v>
      </c>
      <c r="C85" s="164"/>
      <c r="D85" s="236" t="s">
        <v>143</v>
      </c>
      <c r="E85" s="81"/>
      <c r="F85" s="183">
        <v>71.84</v>
      </c>
      <c r="G85" s="83">
        <v>466</v>
      </c>
      <c r="H85" s="129">
        <f t="shared" si="56"/>
        <v>33477.440000000002</v>
      </c>
      <c r="I85" s="97"/>
      <c r="J85" s="130">
        <v>21</v>
      </c>
      <c r="K85" s="100">
        <v>1385</v>
      </c>
      <c r="L85" s="131">
        <v>65.952380952380949</v>
      </c>
      <c r="M85" s="137">
        <v>20</v>
      </c>
      <c r="N85" s="100">
        <f t="shared" si="57"/>
        <v>964.13793103448347</v>
      </c>
      <c r="O85" s="241">
        <f t="shared" si="58"/>
        <v>48.206896551724171</v>
      </c>
      <c r="P85" s="96">
        <f t="shared" si="59"/>
        <v>-1</v>
      </c>
      <c r="Q85" s="132">
        <f t="shared" si="60"/>
        <v>-17.745484400656778</v>
      </c>
      <c r="R85" s="246">
        <f t="shared" si="61"/>
        <v>0.73093489356404884</v>
      </c>
      <c r="S85" s="659"/>
      <c r="T85" s="92">
        <v>0.44236111111111109</v>
      </c>
      <c r="U85" s="92">
        <v>0.46249999999999997</v>
      </c>
      <c r="V85" s="65">
        <v>7</v>
      </c>
      <c r="W85" s="85">
        <f t="shared" si="62"/>
        <v>28.999999999999979</v>
      </c>
      <c r="X85" s="95"/>
      <c r="Y85" s="95"/>
      <c r="Z85" s="96"/>
      <c r="AA85" s="96"/>
      <c r="AB85" s="641" t="s">
        <v>191</v>
      </c>
      <c r="AC85" s="642"/>
      <c r="AD85" s="97"/>
      <c r="AE85" s="97"/>
      <c r="AF85" s="89">
        <f t="shared" si="63"/>
        <v>-420.86206896551653</v>
      </c>
      <c r="AG85" s="91">
        <f t="shared" si="64"/>
        <v>0.69612847006099887</v>
      </c>
      <c r="AH85" s="659"/>
    </row>
    <row r="86" spans="1:34" ht="18" customHeight="1">
      <c r="A86" s="673"/>
      <c r="B86" s="147" t="s">
        <v>248</v>
      </c>
      <c r="C86" s="176"/>
      <c r="D86" s="236" t="s">
        <v>144</v>
      </c>
      <c r="E86" s="81"/>
      <c r="F86" s="183">
        <v>72.400000000000006</v>
      </c>
      <c r="G86" s="83">
        <v>275</v>
      </c>
      <c r="H86" s="129">
        <f t="shared" si="56"/>
        <v>19910</v>
      </c>
      <c r="I86" s="97"/>
      <c r="J86" s="130">
        <v>21</v>
      </c>
      <c r="K86" s="100">
        <v>1385</v>
      </c>
      <c r="L86" s="131">
        <v>65.952380952380949</v>
      </c>
      <c r="M86" s="137">
        <v>20</v>
      </c>
      <c r="N86" s="100">
        <f t="shared" si="57"/>
        <v>1031.2500000000036</v>
      </c>
      <c r="O86" s="241">
        <f t="shared" si="58"/>
        <v>51.562500000000185</v>
      </c>
      <c r="P86" s="96">
        <f t="shared" si="59"/>
        <v>-1</v>
      </c>
      <c r="Q86" s="132">
        <f t="shared" si="60"/>
        <v>-14.389880952380764</v>
      </c>
      <c r="R86" s="246">
        <f t="shared" si="61"/>
        <v>0.78181407942238557</v>
      </c>
      <c r="S86" s="659"/>
      <c r="T86" s="92">
        <v>0.50347222222222221</v>
      </c>
      <c r="U86" s="92">
        <v>0.51458333333333328</v>
      </c>
      <c r="V86" s="65">
        <v>6</v>
      </c>
      <c r="W86" s="85">
        <f t="shared" si="62"/>
        <v>15.999999999999943</v>
      </c>
      <c r="X86" s="95"/>
      <c r="Y86" s="95"/>
      <c r="Z86" s="96"/>
      <c r="AA86" s="96"/>
      <c r="AB86" s="641" t="s">
        <v>191</v>
      </c>
      <c r="AC86" s="642"/>
      <c r="AD86" s="97"/>
      <c r="AE86" s="97"/>
      <c r="AF86" s="89">
        <f t="shared" si="63"/>
        <v>-353.74999999999636</v>
      </c>
      <c r="AG86" s="91">
        <f t="shared" si="64"/>
        <v>0.74458483754512894</v>
      </c>
      <c r="AH86" s="659"/>
    </row>
    <row r="87" spans="1:34" ht="18" customHeight="1">
      <c r="A87" s="673"/>
      <c r="B87" s="147" t="s">
        <v>248</v>
      </c>
      <c r="C87" s="176"/>
      <c r="D87" s="236" t="s">
        <v>145</v>
      </c>
      <c r="E87" s="81"/>
      <c r="F87" s="183">
        <v>72.400000000000006</v>
      </c>
      <c r="G87" s="83">
        <v>481</v>
      </c>
      <c r="H87" s="129">
        <f t="shared" si="56"/>
        <v>34824.400000000001</v>
      </c>
      <c r="I87" s="97"/>
      <c r="J87" s="130">
        <v>21</v>
      </c>
      <c r="K87" s="100">
        <v>1385</v>
      </c>
      <c r="L87" s="131">
        <v>65.952380952380949</v>
      </c>
      <c r="M87" s="137">
        <v>20</v>
      </c>
      <c r="N87" s="100">
        <f t="shared" si="57"/>
        <v>961.99999999999841</v>
      </c>
      <c r="O87" s="241">
        <f t="shared" si="58"/>
        <v>48.099999999999923</v>
      </c>
      <c r="P87" s="96">
        <f t="shared" si="59"/>
        <v>-1</v>
      </c>
      <c r="Q87" s="132">
        <f t="shared" si="60"/>
        <v>-17.852380952381026</v>
      </c>
      <c r="R87" s="246">
        <f t="shared" si="61"/>
        <v>0.72931407942238158</v>
      </c>
      <c r="S87" s="659"/>
      <c r="T87" s="92">
        <v>0.51805555555555549</v>
      </c>
      <c r="U87" s="92">
        <v>0.53888888888888886</v>
      </c>
      <c r="V87" s="65">
        <v>5</v>
      </c>
      <c r="W87" s="85">
        <f t="shared" si="62"/>
        <v>30.000000000000053</v>
      </c>
      <c r="X87" s="95"/>
      <c r="Y87" s="95"/>
      <c r="Z87" s="96"/>
      <c r="AA87" s="96"/>
      <c r="AB87" s="641" t="s">
        <v>191</v>
      </c>
      <c r="AC87" s="642"/>
      <c r="AD87" s="97"/>
      <c r="AE87" s="97"/>
      <c r="AF87" s="89">
        <f t="shared" si="63"/>
        <v>-423.00000000000159</v>
      </c>
      <c r="AG87" s="91">
        <f t="shared" si="64"/>
        <v>0.69458483754512523</v>
      </c>
      <c r="AH87" s="659"/>
    </row>
    <row r="88" spans="1:34" ht="18" customHeight="1">
      <c r="A88" s="673"/>
      <c r="B88" s="147" t="s">
        <v>251</v>
      </c>
      <c r="C88" s="219"/>
      <c r="D88" s="236" t="s">
        <v>146</v>
      </c>
      <c r="E88" s="81"/>
      <c r="F88" s="183">
        <v>55.56</v>
      </c>
      <c r="G88" s="100">
        <v>885</v>
      </c>
      <c r="H88" s="129">
        <f t="shared" si="56"/>
        <v>49170.6</v>
      </c>
      <c r="I88" s="97"/>
      <c r="J88" s="130">
        <v>16</v>
      </c>
      <c r="K88" s="100">
        <v>1440</v>
      </c>
      <c r="L88" s="131">
        <v>90</v>
      </c>
      <c r="M88" s="137">
        <v>17</v>
      </c>
      <c r="N88" s="100">
        <f t="shared" si="57"/>
        <v>1295.1219512195119</v>
      </c>
      <c r="O88" s="241">
        <f t="shared" si="58"/>
        <v>76.183644189383045</v>
      </c>
      <c r="P88" s="96">
        <f t="shared" si="59"/>
        <v>1</v>
      </c>
      <c r="Q88" s="132">
        <f t="shared" si="60"/>
        <v>-13.816355810616955</v>
      </c>
      <c r="R88" s="246">
        <f t="shared" si="61"/>
        <v>0.8464849354375894</v>
      </c>
      <c r="S88" s="659"/>
      <c r="T88" s="92">
        <v>0.70833333333333337</v>
      </c>
      <c r="U88" s="92">
        <v>0.7368055555555556</v>
      </c>
      <c r="V88" s="65">
        <v>5</v>
      </c>
      <c r="W88" s="85">
        <f t="shared" si="62"/>
        <v>41.000000000000014</v>
      </c>
      <c r="X88" s="95"/>
      <c r="Y88" s="95"/>
      <c r="Z88" s="96"/>
      <c r="AA88" s="96"/>
      <c r="AB88" s="644"/>
      <c r="AC88" s="644"/>
      <c r="AD88" s="97"/>
      <c r="AE88" s="97"/>
      <c r="AF88" s="89">
        <f t="shared" si="63"/>
        <v>-144.87804878048814</v>
      </c>
      <c r="AG88" s="91">
        <f t="shared" si="64"/>
        <v>0.89939024390243882</v>
      </c>
      <c r="AH88" s="659"/>
    </row>
    <row r="89" spans="1:34" ht="18" customHeight="1">
      <c r="A89" s="673"/>
      <c r="B89" s="147" t="s">
        <v>251</v>
      </c>
      <c r="C89" s="219"/>
      <c r="D89" s="80" t="s">
        <v>147</v>
      </c>
      <c r="E89" s="81"/>
      <c r="F89" s="183">
        <v>55.32</v>
      </c>
      <c r="G89" s="156">
        <v>572</v>
      </c>
      <c r="H89" s="129">
        <f t="shared" si="56"/>
        <v>31643.040000000001</v>
      </c>
      <c r="I89" s="247"/>
      <c r="J89" s="130">
        <v>14</v>
      </c>
      <c r="K89" s="100">
        <v>1440</v>
      </c>
      <c r="L89" s="131">
        <v>102.85714285714286</v>
      </c>
      <c r="M89" s="137">
        <v>15</v>
      </c>
      <c r="N89" s="100">
        <f t="shared" si="57"/>
        <v>1107.0967741935465</v>
      </c>
      <c r="O89" s="241">
        <f t="shared" si="58"/>
        <v>73.806451612903103</v>
      </c>
      <c r="P89" s="96">
        <f t="shared" si="59"/>
        <v>1</v>
      </c>
      <c r="Q89" s="132">
        <f t="shared" si="60"/>
        <v>-29.050691244239758</v>
      </c>
      <c r="R89" s="246">
        <f t="shared" si="61"/>
        <v>0.71756272401433574</v>
      </c>
      <c r="S89" s="659"/>
      <c r="T89" s="92">
        <v>0.74097222222222225</v>
      </c>
      <c r="U89" s="92">
        <v>0.76250000000000007</v>
      </c>
      <c r="V89" s="65">
        <v>6</v>
      </c>
      <c r="W89" s="85">
        <f t="shared" si="62"/>
        <v>31.00000000000005</v>
      </c>
      <c r="X89" s="95"/>
      <c r="Y89" s="95"/>
      <c r="Z89" s="96"/>
      <c r="AA89" s="96"/>
      <c r="AB89" s="641" t="s">
        <v>191</v>
      </c>
      <c r="AC89" s="642"/>
      <c r="AD89" s="97"/>
      <c r="AE89" s="97"/>
      <c r="AF89" s="89">
        <f t="shared" si="63"/>
        <v>-332.90322580645352</v>
      </c>
      <c r="AG89" s="91">
        <f t="shared" si="64"/>
        <v>0.76881720430107392</v>
      </c>
      <c r="AH89" s="659"/>
    </row>
    <row r="90" spans="1:34" ht="18" customHeight="1">
      <c r="A90" s="673"/>
      <c r="B90" s="147" t="s">
        <v>251</v>
      </c>
      <c r="C90" s="219"/>
      <c r="D90" s="80" t="s">
        <v>148</v>
      </c>
      <c r="E90" s="81"/>
      <c r="F90" s="183">
        <v>50.98</v>
      </c>
      <c r="G90" s="172">
        <v>1662</v>
      </c>
      <c r="H90" s="129">
        <f t="shared" si="56"/>
        <v>84728.76</v>
      </c>
      <c r="I90" s="248"/>
      <c r="J90" s="130">
        <v>18</v>
      </c>
      <c r="K90" s="100">
        <v>1440</v>
      </c>
      <c r="L90" s="131">
        <v>80</v>
      </c>
      <c r="M90" s="137">
        <v>17</v>
      </c>
      <c r="N90" s="100">
        <f t="shared" si="57"/>
        <v>1347.5675675675666</v>
      </c>
      <c r="O90" s="241">
        <f t="shared" si="58"/>
        <v>79.268680445150977</v>
      </c>
      <c r="P90" s="96">
        <f t="shared" si="59"/>
        <v>-1</v>
      </c>
      <c r="Q90" s="132">
        <f t="shared" si="60"/>
        <v>-0.73131955484902278</v>
      </c>
      <c r="R90" s="246">
        <f t="shared" si="61"/>
        <v>0.99085850556438726</v>
      </c>
      <c r="S90" s="659"/>
      <c r="T90" s="92">
        <v>0.76736111111111116</v>
      </c>
      <c r="U90" s="92">
        <v>0.81875000000000009</v>
      </c>
      <c r="V90" s="65">
        <v>7</v>
      </c>
      <c r="W90" s="85">
        <f t="shared" si="62"/>
        <v>74.000000000000057</v>
      </c>
      <c r="X90" s="249"/>
      <c r="Y90" s="249"/>
      <c r="Z90" s="96"/>
      <c r="AA90" s="96"/>
      <c r="AB90" s="657"/>
      <c r="AC90" s="657"/>
      <c r="AD90" s="97"/>
      <c r="AE90" s="97"/>
      <c r="AF90" s="89">
        <f t="shared" si="63"/>
        <v>-92.432432432433416</v>
      </c>
      <c r="AG90" s="91">
        <f t="shared" si="64"/>
        <v>0.93581081081081008</v>
      </c>
      <c r="AH90" s="659"/>
    </row>
    <row r="91" spans="1:34" ht="18" customHeight="1">
      <c r="A91" s="673"/>
      <c r="B91" s="147">
        <v>0</v>
      </c>
      <c r="C91" s="219"/>
      <c r="D91" s="80"/>
      <c r="E91" s="81"/>
      <c r="F91" s="183" t="s">
        <v>253</v>
      </c>
      <c r="G91" s="83"/>
      <c r="H91" s="129">
        <f t="shared" si="56"/>
        <v>0</v>
      </c>
      <c r="I91" s="250"/>
      <c r="J91" s="130"/>
      <c r="K91" s="100"/>
      <c r="L91" s="131"/>
      <c r="M91" s="137"/>
      <c r="N91" s="100"/>
      <c r="O91" s="241"/>
      <c r="P91" s="96"/>
      <c r="Q91" s="132"/>
      <c r="R91" s="246"/>
      <c r="S91" s="662"/>
      <c r="T91" s="92"/>
      <c r="U91" s="92"/>
      <c r="V91" s="65"/>
      <c r="W91" s="85"/>
      <c r="X91" s="157"/>
      <c r="Y91" s="157"/>
      <c r="Z91" s="96"/>
      <c r="AA91" s="96"/>
      <c r="AB91" s="654"/>
      <c r="AC91" s="654"/>
      <c r="AD91" s="97"/>
      <c r="AE91" s="97"/>
      <c r="AF91" s="89">
        <f t="shared" si="63"/>
        <v>0</v>
      </c>
      <c r="AG91" s="91" t="e">
        <f t="shared" si="64"/>
        <v>#DIV/0!</v>
      </c>
      <c r="AH91" s="662"/>
    </row>
    <row r="92" spans="1:34" ht="18" customHeight="1">
      <c r="A92" s="673"/>
      <c r="B92" s="147">
        <v>0</v>
      </c>
      <c r="C92" s="219"/>
      <c r="D92" s="80"/>
      <c r="E92" s="81"/>
      <c r="F92" s="183" t="s">
        <v>253</v>
      </c>
      <c r="G92" s="83"/>
      <c r="H92" s="129">
        <f t="shared" si="56"/>
        <v>0</v>
      </c>
      <c r="I92" s="250"/>
      <c r="J92" s="251"/>
      <c r="K92" s="252"/>
      <c r="L92" s="253"/>
      <c r="M92" s="106"/>
      <c r="N92" s="252"/>
      <c r="O92" s="253"/>
      <c r="P92" s="254"/>
      <c r="Q92" s="255"/>
      <c r="R92" s="256"/>
      <c r="S92" s="662"/>
      <c r="T92" s="92"/>
      <c r="U92" s="92"/>
      <c r="V92" s="65"/>
      <c r="W92" s="85">
        <f t="shared" si="62"/>
        <v>0</v>
      </c>
      <c r="X92" s="235"/>
      <c r="Y92" s="235"/>
      <c r="Z92" s="167"/>
      <c r="AA92" s="167"/>
      <c r="AB92" s="644"/>
      <c r="AC92" s="644"/>
      <c r="AD92" s="97"/>
      <c r="AE92" s="97"/>
      <c r="AF92" s="89">
        <f t="shared" si="63"/>
        <v>0</v>
      </c>
      <c r="AG92" s="91" t="e">
        <f t="shared" si="64"/>
        <v>#DIV/0!</v>
      </c>
      <c r="AH92" s="662"/>
    </row>
    <row r="93" spans="1:34" ht="18" customHeight="1">
      <c r="A93" s="673"/>
      <c r="B93" s="105">
        <v>0</v>
      </c>
      <c r="C93" s="257"/>
      <c r="D93" s="102"/>
      <c r="E93" s="103"/>
      <c r="F93" s="183" t="s">
        <v>253</v>
      </c>
      <c r="G93" s="83"/>
      <c r="H93" s="129">
        <f t="shared" si="56"/>
        <v>0</v>
      </c>
      <c r="I93" s="258"/>
      <c r="J93" s="130"/>
      <c r="K93" s="100"/>
      <c r="L93" s="253"/>
      <c r="M93" s="137"/>
      <c r="N93" s="100"/>
      <c r="O93" s="131"/>
      <c r="P93" s="96"/>
      <c r="Q93" s="132"/>
      <c r="R93" s="133"/>
      <c r="S93" s="670"/>
      <c r="T93" s="107"/>
      <c r="U93" s="107"/>
      <c r="V93" s="105"/>
      <c r="W93" s="85">
        <f t="shared" si="62"/>
        <v>0</v>
      </c>
      <c r="X93" s="259"/>
      <c r="Y93" s="259"/>
      <c r="Z93" s="167"/>
      <c r="AA93" s="167"/>
      <c r="AB93" s="644"/>
      <c r="AC93" s="644"/>
      <c r="AD93" s="97"/>
      <c r="AE93" s="97"/>
      <c r="AF93" s="89">
        <f t="shared" si="63"/>
        <v>0</v>
      </c>
      <c r="AG93" s="91" t="e">
        <f t="shared" si="64"/>
        <v>#DIV/0!</v>
      </c>
      <c r="AH93" s="662"/>
    </row>
    <row r="94" spans="1:34" ht="18" customHeight="1">
      <c r="A94" s="673"/>
      <c r="B94" s="105">
        <v>0</v>
      </c>
      <c r="C94" s="257"/>
      <c r="D94" s="80"/>
      <c r="E94" s="81"/>
      <c r="F94" s="183" t="s">
        <v>253</v>
      </c>
      <c r="G94" s="83"/>
      <c r="H94" s="129">
        <f t="shared" si="56"/>
        <v>0</v>
      </c>
      <c r="I94" s="250"/>
      <c r="J94" s="130"/>
      <c r="K94" s="260"/>
      <c r="L94" s="87"/>
      <c r="M94" s="261"/>
      <c r="N94" s="100"/>
      <c r="O94" s="131"/>
      <c r="P94" s="96"/>
      <c r="Q94" s="132"/>
      <c r="R94" s="133"/>
      <c r="S94" s="670"/>
      <c r="T94" s="107"/>
      <c r="U94" s="107"/>
      <c r="V94" s="105"/>
      <c r="W94" s="85">
        <f>(U94-T94)*24*60</f>
        <v>0</v>
      </c>
      <c r="X94" s="259"/>
      <c r="Y94" s="259"/>
      <c r="Z94" s="167"/>
      <c r="AA94" s="167"/>
      <c r="AB94" s="644"/>
      <c r="AC94" s="644"/>
      <c r="AD94" s="97"/>
      <c r="AE94" s="97"/>
      <c r="AF94" s="89">
        <f t="shared" si="63"/>
        <v>0</v>
      </c>
      <c r="AG94" s="91" t="e">
        <f t="shared" si="64"/>
        <v>#DIV/0!</v>
      </c>
      <c r="AH94" s="662"/>
    </row>
    <row r="95" spans="1:34" ht="18" customHeight="1">
      <c r="A95" s="673"/>
      <c r="B95" s="262">
        <v>0</v>
      </c>
      <c r="C95" s="138" t="s">
        <v>19</v>
      </c>
      <c r="D95" s="630" t="s">
        <v>220</v>
      </c>
      <c r="E95" s="630"/>
      <c r="F95" s="113"/>
      <c r="G95" s="114"/>
      <c r="H95" s="263"/>
      <c r="I95" s="142"/>
      <c r="J95" s="264">
        <v>19.125</v>
      </c>
      <c r="K95" s="264">
        <v>1405.625</v>
      </c>
      <c r="L95" s="265">
        <v>75.327380952380949</v>
      </c>
      <c r="M95" s="264">
        <f t="shared" ref="M95:O95" si="65">AVERAGE(M83:M94)</f>
        <v>18.625</v>
      </c>
      <c r="N95" s="264">
        <f t="shared" si="65"/>
        <v>1086.5310412974425</v>
      </c>
      <c r="O95" s="265">
        <f t="shared" si="65"/>
        <v>59.547734764672853</v>
      </c>
      <c r="P95" s="266">
        <f>M95-J95</f>
        <v>-0.5</v>
      </c>
      <c r="Q95" s="267">
        <f t="shared" ref="Q95:Q104" si="66">O95-L95</f>
        <v>-15.779646187708096</v>
      </c>
      <c r="R95" s="268">
        <f>O95/L95</f>
        <v>0.79051911817187193</v>
      </c>
      <c r="S95" s="662"/>
      <c r="T95" s="107"/>
      <c r="U95" s="107"/>
      <c r="V95" s="104"/>
      <c r="W95" s="104"/>
      <c r="X95" s="122"/>
      <c r="Y95" s="122"/>
      <c r="Z95" s="145">
        <f>SUM(Z83:Z94)</f>
        <v>0</v>
      </c>
      <c r="AA95" s="145">
        <f>SUM(AA83:AA94)</f>
        <v>0</v>
      </c>
      <c r="AB95" s="637"/>
      <c r="AC95" s="637"/>
      <c r="AD95" s="146">
        <f>SUM(AD83:AD94)</f>
        <v>0</v>
      </c>
      <c r="AE95" s="146">
        <f>SUM(AE83:AE94)</f>
        <v>0</v>
      </c>
      <c r="AF95" s="118">
        <f t="shared" si="63"/>
        <v>-319.09395870255753</v>
      </c>
      <c r="AG95" s="125">
        <f t="shared" si="64"/>
        <v>0.77298784618759797</v>
      </c>
      <c r="AH95" s="662"/>
    </row>
    <row r="96" spans="1:34" ht="18" customHeight="1">
      <c r="A96" s="669" t="s">
        <v>229</v>
      </c>
      <c r="B96" s="65" t="s">
        <v>247</v>
      </c>
      <c r="C96" s="176"/>
      <c r="D96" s="80" t="s">
        <v>149</v>
      </c>
      <c r="E96" s="81"/>
      <c r="F96" s="82">
        <v>28.47</v>
      </c>
      <c r="G96" s="83">
        <v>1044</v>
      </c>
      <c r="H96" s="84">
        <f t="shared" ref="H96:H106" si="67">F96*G96</f>
        <v>29722.68</v>
      </c>
      <c r="I96" s="65"/>
      <c r="J96" s="86">
        <v>19</v>
      </c>
      <c r="K96" s="83">
        <v>1440</v>
      </c>
      <c r="L96" s="87">
        <v>75.78947368421052</v>
      </c>
      <c r="M96" s="88">
        <v>18</v>
      </c>
      <c r="N96" s="83">
        <f t="shared" ref="N96:N104" si="68">G96/W96*60</f>
        <v>1252.8000000000004</v>
      </c>
      <c r="O96" s="87">
        <f t="shared" ref="O96:O104" si="69">N96/M96</f>
        <v>69.600000000000023</v>
      </c>
      <c r="P96" s="89">
        <f t="shared" ref="P96:P104" si="70">M96-J96</f>
        <v>-1</v>
      </c>
      <c r="Q96" s="90">
        <f t="shared" si="66"/>
        <v>-6.1894736842104976</v>
      </c>
      <c r="R96" s="91">
        <f t="shared" ref="R96:R104" si="71">O96/L96</f>
        <v>0.91833333333333367</v>
      </c>
      <c r="S96" s="659">
        <f>R108</f>
        <v>0.86766712979977034</v>
      </c>
      <c r="T96" s="134">
        <v>0.375</v>
      </c>
      <c r="U96" s="134">
        <v>0.40972222222222221</v>
      </c>
      <c r="V96" s="97">
        <v>5</v>
      </c>
      <c r="W96" s="135">
        <f t="shared" ref="W96:W122" si="72">(U96-T96)*24*60</f>
        <v>49.999999999999986</v>
      </c>
      <c r="X96" s="136"/>
      <c r="Y96" s="136"/>
      <c r="Z96" s="96"/>
      <c r="AA96" s="96"/>
      <c r="AB96" s="629"/>
      <c r="AC96" s="629"/>
      <c r="AD96" s="97"/>
      <c r="AE96" s="97"/>
      <c r="AF96" s="96">
        <f t="shared" si="63"/>
        <v>-187.19999999999959</v>
      </c>
      <c r="AG96" s="133">
        <f t="shared" si="64"/>
        <v>0.87000000000000033</v>
      </c>
      <c r="AH96" s="632">
        <f>AG108</f>
        <v>0.85887987056019877</v>
      </c>
    </row>
    <row r="97" spans="1:34" s="282" customFormat="1" ht="18" customHeight="1">
      <c r="A97" s="669"/>
      <c r="B97" s="65" t="s">
        <v>251</v>
      </c>
      <c r="C97" s="269"/>
      <c r="D97" s="270" t="s">
        <v>150</v>
      </c>
      <c r="E97" s="99"/>
      <c r="F97" s="271">
        <v>53.27</v>
      </c>
      <c r="G97" s="272">
        <v>1564</v>
      </c>
      <c r="H97" s="273">
        <f t="shared" si="67"/>
        <v>83314.28</v>
      </c>
      <c r="I97" s="192"/>
      <c r="J97" s="274">
        <v>17</v>
      </c>
      <c r="K97" s="100">
        <v>1500</v>
      </c>
      <c r="L97" s="87">
        <v>88.235294117647058</v>
      </c>
      <c r="M97" s="130">
        <v>17</v>
      </c>
      <c r="N97" s="100">
        <f t="shared" si="68"/>
        <v>1340.5714285714289</v>
      </c>
      <c r="O97" s="131">
        <f t="shared" si="69"/>
        <v>78.857142857142875</v>
      </c>
      <c r="P97" s="275">
        <f t="shared" si="70"/>
        <v>0</v>
      </c>
      <c r="Q97" s="276">
        <f t="shared" si="66"/>
        <v>-9.3781512605041826</v>
      </c>
      <c r="R97" s="277">
        <f t="shared" si="71"/>
        <v>0.89371428571428591</v>
      </c>
      <c r="S97" s="659"/>
      <c r="T97" s="278">
        <v>0.41388888888888886</v>
      </c>
      <c r="U97" s="278">
        <v>0.46249999999999997</v>
      </c>
      <c r="V97" s="279">
        <v>6</v>
      </c>
      <c r="W97" s="135">
        <f t="shared" si="72"/>
        <v>69.999999999999986</v>
      </c>
      <c r="X97" s="95"/>
      <c r="Y97" s="95"/>
      <c r="Z97" s="96"/>
      <c r="AA97" s="96"/>
      <c r="AB97" s="671"/>
      <c r="AC97" s="671"/>
      <c r="AD97" s="279"/>
      <c r="AE97" s="279"/>
      <c r="AF97" s="280">
        <f t="shared" si="63"/>
        <v>-159.4285714285711</v>
      </c>
      <c r="AG97" s="281">
        <f t="shared" si="64"/>
        <v>0.89371428571428591</v>
      </c>
      <c r="AH97" s="632"/>
    </row>
    <row r="98" spans="1:34" s="286" customFormat="1" ht="18" customHeight="1">
      <c r="A98" s="669"/>
      <c r="B98" s="65" t="s">
        <v>251</v>
      </c>
      <c r="C98" s="98"/>
      <c r="D98" s="80" t="s">
        <v>151</v>
      </c>
      <c r="E98" s="169"/>
      <c r="F98" s="271">
        <v>53.68</v>
      </c>
      <c r="G98" s="100">
        <v>1098</v>
      </c>
      <c r="H98" s="273">
        <f t="shared" si="67"/>
        <v>58940.639999999999</v>
      </c>
      <c r="I98" s="97"/>
      <c r="J98" s="274">
        <v>16</v>
      </c>
      <c r="K98" s="100">
        <v>1500</v>
      </c>
      <c r="L98" s="87">
        <v>93.75</v>
      </c>
      <c r="M98" s="130">
        <v>16</v>
      </c>
      <c r="N98" s="100">
        <f t="shared" si="68"/>
        <v>1344.4897959183677</v>
      </c>
      <c r="O98" s="131">
        <f t="shared" si="69"/>
        <v>84.030612244897981</v>
      </c>
      <c r="P98" s="96">
        <f t="shared" si="70"/>
        <v>0</v>
      </c>
      <c r="Q98" s="132">
        <f t="shared" si="66"/>
        <v>-9.7193877551020194</v>
      </c>
      <c r="R98" s="91">
        <f t="shared" si="71"/>
        <v>0.8963265306122451</v>
      </c>
      <c r="S98" s="659"/>
      <c r="T98" s="134">
        <v>0.47777777777777775</v>
      </c>
      <c r="U98" s="134">
        <v>0.51180555555555551</v>
      </c>
      <c r="V98" s="97">
        <v>22</v>
      </c>
      <c r="W98" s="135">
        <f t="shared" si="72"/>
        <v>48.999999999999986</v>
      </c>
      <c r="X98" s="283">
        <v>0.46597222222222223</v>
      </c>
      <c r="Y98" s="283">
        <v>0.47500000000000003</v>
      </c>
      <c r="Z98" s="284"/>
      <c r="AA98" s="284"/>
      <c r="AB98" s="644"/>
      <c r="AC98" s="644"/>
      <c r="AD98" s="97"/>
      <c r="AE98" s="97"/>
      <c r="AF98" s="285">
        <f t="shared" si="63"/>
        <v>-155.51020408163231</v>
      </c>
      <c r="AG98" s="91">
        <f t="shared" si="64"/>
        <v>0.8963265306122451</v>
      </c>
      <c r="AH98" s="632"/>
    </row>
    <row r="99" spans="1:34" ht="18" customHeight="1">
      <c r="A99" s="669"/>
      <c r="B99" s="65" t="s">
        <v>252</v>
      </c>
      <c r="C99" s="127"/>
      <c r="D99" s="168" t="s">
        <v>152</v>
      </c>
      <c r="E99" s="169"/>
      <c r="F99" s="271">
        <v>59.34</v>
      </c>
      <c r="G99" s="100">
        <v>618</v>
      </c>
      <c r="H99" s="273">
        <f t="shared" si="67"/>
        <v>36672.120000000003</v>
      </c>
      <c r="I99" s="97"/>
      <c r="J99" s="86">
        <v>17</v>
      </c>
      <c r="K99" s="83">
        <v>1440</v>
      </c>
      <c r="L99" s="87">
        <v>84.705882352941174</v>
      </c>
      <c r="M99" s="88">
        <v>18</v>
      </c>
      <c r="N99" s="100">
        <f t="shared" si="68"/>
        <v>1278.6206896551698</v>
      </c>
      <c r="O99" s="131">
        <f t="shared" si="69"/>
        <v>71.034482758620541</v>
      </c>
      <c r="P99" s="275">
        <f t="shared" si="70"/>
        <v>1</v>
      </c>
      <c r="Q99" s="276">
        <f t="shared" si="66"/>
        <v>-13.671399594320633</v>
      </c>
      <c r="R99" s="277">
        <f t="shared" si="71"/>
        <v>0.83860153256704806</v>
      </c>
      <c r="S99" s="659"/>
      <c r="T99" s="134">
        <v>0.55347222222222214</v>
      </c>
      <c r="U99" s="134">
        <v>0.57361111111111107</v>
      </c>
      <c r="V99" s="97">
        <v>7</v>
      </c>
      <c r="W99" s="135">
        <f t="shared" si="72"/>
        <v>29.000000000000057</v>
      </c>
      <c r="X99" s="235"/>
      <c r="Y99" s="235"/>
      <c r="Z99" s="167"/>
      <c r="AA99" s="167"/>
      <c r="AB99" s="644"/>
      <c r="AC99" s="644"/>
      <c r="AD99" s="97"/>
      <c r="AE99" s="97"/>
      <c r="AF99" s="89">
        <f t="shared" si="63"/>
        <v>-161.37931034483017</v>
      </c>
      <c r="AG99" s="170">
        <f t="shared" si="64"/>
        <v>0.88793103448275679</v>
      </c>
      <c r="AH99" s="632"/>
    </row>
    <row r="100" spans="1:34" s="286" customFormat="1" ht="18" customHeight="1">
      <c r="A100" s="669"/>
      <c r="B100" s="65" t="s">
        <v>252</v>
      </c>
      <c r="C100" s="98"/>
      <c r="D100" s="80" t="s">
        <v>153</v>
      </c>
      <c r="E100" s="169"/>
      <c r="F100" s="271">
        <v>47.37</v>
      </c>
      <c r="G100" s="100">
        <v>554</v>
      </c>
      <c r="H100" s="273">
        <f t="shared" si="67"/>
        <v>26242.98</v>
      </c>
      <c r="I100" s="97"/>
      <c r="J100" s="274">
        <v>17</v>
      </c>
      <c r="K100" s="100">
        <v>1636</v>
      </c>
      <c r="L100" s="87">
        <v>96.235294117647058</v>
      </c>
      <c r="M100" s="130">
        <v>17</v>
      </c>
      <c r="N100" s="100">
        <f t="shared" si="68"/>
        <v>1231.1111111111081</v>
      </c>
      <c r="O100" s="131">
        <f t="shared" si="69"/>
        <v>72.418300653594599</v>
      </c>
      <c r="P100" s="96">
        <f t="shared" si="70"/>
        <v>0</v>
      </c>
      <c r="Q100" s="132">
        <f t="shared" si="66"/>
        <v>-23.816993464052459</v>
      </c>
      <c r="R100" s="91">
        <f t="shared" si="71"/>
        <v>0.75251290410214433</v>
      </c>
      <c r="S100" s="659"/>
      <c r="T100" s="278">
        <v>0.57916666666666661</v>
      </c>
      <c r="U100" s="278">
        <v>0.59791666666666665</v>
      </c>
      <c r="V100" s="279">
        <v>8</v>
      </c>
      <c r="W100" s="135">
        <f t="shared" si="72"/>
        <v>27.000000000000064</v>
      </c>
      <c r="X100" s="287"/>
      <c r="Y100" s="287"/>
      <c r="Z100" s="284"/>
      <c r="AA100" s="284"/>
      <c r="AB100" s="637"/>
      <c r="AC100" s="637"/>
      <c r="AD100" s="97"/>
      <c r="AE100" s="97"/>
      <c r="AF100" s="285">
        <f t="shared" si="63"/>
        <v>-404.88888888889187</v>
      </c>
      <c r="AG100" s="91">
        <f t="shared" si="64"/>
        <v>0.75251290410214433</v>
      </c>
      <c r="AH100" s="632"/>
    </row>
    <row r="101" spans="1:34" s="286" customFormat="1" ht="18" customHeight="1">
      <c r="A101" s="669"/>
      <c r="B101" s="65" t="s">
        <v>252</v>
      </c>
      <c r="C101" s="98"/>
      <c r="D101" s="168" t="s">
        <v>154</v>
      </c>
      <c r="E101" s="169"/>
      <c r="F101" s="271">
        <v>77.34</v>
      </c>
      <c r="G101" s="100">
        <v>693</v>
      </c>
      <c r="H101" s="273">
        <f t="shared" si="67"/>
        <v>53596.62</v>
      </c>
      <c r="I101" s="97"/>
      <c r="J101" s="274">
        <v>19</v>
      </c>
      <c r="K101" s="100">
        <v>1440</v>
      </c>
      <c r="L101" s="87">
        <v>75.78947368421052</v>
      </c>
      <c r="M101" s="130">
        <v>18</v>
      </c>
      <c r="N101" s="100">
        <f t="shared" si="68"/>
        <v>1259.9999999999982</v>
      </c>
      <c r="O101" s="131">
        <f t="shared" si="69"/>
        <v>69.999999999999901</v>
      </c>
      <c r="P101" s="275">
        <f t="shared" si="70"/>
        <v>-1</v>
      </c>
      <c r="Q101" s="276">
        <f t="shared" si="66"/>
        <v>-5.7894736842106198</v>
      </c>
      <c r="R101" s="277">
        <f t="shared" si="71"/>
        <v>0.92361111111110983</v>
      </c>
      <c r="S101" s="659"/>
      <c r="T101" s="278">
        <v>0.60138888888888886</v>
      </c>
      <c r="U101" s="134">
        <v>0.62430555555555556</v>
      </c>
      <c r="V101" s="279">
        <v>5</v>
      </c>
      <c r="W101" s="135">
        <f t="shared" si="72"/>
        <v>33.000000000000043</v>
      </c>
      <c r="X101" s="288"/>
      <c r="Y101" s="288"/>
      <c r="Z101" s="284"/>
      <c r="AA101" s="284"/>
      <c r="AB101" s="637"/>
      <c r="AC101" s="637"/>
      <c r="AD101" s="97"/>
      <c r="AE101" s="97"/>
      <c r="AF101" s="89">
        <f t="shared" si="63"/>
        <v>-180.00000000000182</v>
      </c>
      <c r="AG101" s="170">
        <f t="shared" si="64"/>
        <v>0.87499999999999878</v>
      </c>
      <c r="AH101" s="632"/>
    </row>
    <row r="102" spans="1:34" s="286" customFormat="1" ht="18" customHeight="1">
      <c r="A102" s="669"/>
      <c r="B102" s="65" t="s">
        <v>251</v>
      </c>
      <c r="C102" s="230"/>
      <c r="D102" s="231" t="s">
        <v>155</v>
      </c>
      <c r="E102" s="232"/>
      <c r="F102" s="271">
        <v>56.43</v>
      </c>
      <c r="G102" s="100">
        <v>1191</v>
      </c>
      <c r="H102" s="273">
        <f t="shared" si="67"/>
        <v>67208.13</v>
      </c>
      <c r="I102" s="65"/>
      <c r="J102" s="86">
        <v>19</v>
      </c>
      <c r="K102" s="83">
        <v>1500</v>
      </c>
      <c r="L102" s="87">
        <v>78.94736842105263</v>
      </c>
      <c r="M102" s="130">
        <v>18</v>
      </c>
      <c r="N102" s="100">
        <f t="shared" si="68"/>
        <v>1348.3018867924536</v>
      </c>
      <c r="O102" s="131">
        <f t="shared" si="69"/>
        <v>74.905660377358529</v>
      </c>
      <c r="P102" s="275">
        <f t="shared" si="70"/>
        <v>-1</v>
      </c>
      <c r="Q102" s="276">
        <f t="shared" si="66"/>
        <v>-4.0417080436941006</v>
      </c>
      <c r="R102" s="277">
        <f t="shared" si="71"/>
        <v>0.94880503144654138</v>
      </c>
      <c r="S102" s="659"/>
      <c r="T102" s="278">
        <v>0.62847222222222221</v>
      </c>
      <c r="U102" s="278">
        <v>0.66527777777777775</v>
      </c>
      <c r="V102" s="279">
        <v>6</v>
      </c>
      <c r="W102" s="135">
        <f t="shared" si="72"/>
        <v>52.999999999999972</v>
      </c>
      <c r="X102" s="288"/>
      <c r="Y102" s="288"/>
      <c r="Z102" s="284"/>
      <c r="AA102" s="284"/>
      <c r="AB102" s="637"/>
      <c r="AC102" s="637"/>
      <c r="AD102" s="97"/>
      <c r="AE102" s="97"/>
      <c r="AF102" s="285">
        <f t="shared" si="63"/>
        <v>-151.69811320754638</v>
      </c>
      <c r="AG102" s="91">
        <f t="shared" si="64"/>
        <v>0.89886792452830244</v>
      </c>
      <c r="AH102" s="632"/>
    </row>
    <row r="103" spans="1:34" s="286" customFormat="1" ht="18" customHeight="1">
      <c r="A103" s="669"/>
      <c r="B103" s="65" t="s">
        <v>251</v>
      </c>
      <c r="C103" s="289"/>
      <c r="D103" s="168" t="s">
        <v>156</v>
      </c>
      <c r="E103" s="169"/>
      <c r="F103" s="271">
        <v>50.67</v>
      </c>
      <c r="G103" s="100">
        <v>533</v>
      </c>
      <c r="H103" s="273">
        <f t="shared" si="67"/>
        <v>27007.11</v>
      </c>
      <c r="I103" s="290"/>
      <c r="J103" s="274">
        <v>17</v>
      </c>
      <c r="K103" s="100">
        <v>1440</v>
      </c>
      <c r="L103" s="87">
        <v>84.705882352941174</v>
      </c>
      <c r="M103" s="130">
        <v>17</v>
      </c>
      <c r="N103" s="100">
        <f t="shared" si="68"/>
        <v>1102.7586206896531</v>
      </c>
      <c r="O103" s="131">
        <f t="shared" si="69"/>
        <v>64.868154158214892</v>
      </c>
      <c r="P103" s="275">
        <f t="shared" si="70"/>
        <v>0</v>
      </c>
      <c r="Q103" s="276">
        <f t="shared" si="66"/>
        <v>-19.837728194726282</v>
      </c>
      <c r="R103" s="277">
        <f t="shared" si="71"/>
        <v>0.76580459770114806</v>
      </c>
      <c r="S103" s="659"/>
      <c r="T103" s="278">
        <v>0.70833333333333337</v>
      </c>
      <c r="U103" s="278">
        <v>0.7284722222222223</v>
      </c>
      <c r="V103" s="279">
        <v>5</v>
      </c>
      <c r="W103" s="135">
        <f t="shared" si="72"/>
        <v>29.000000000000057</v>
      </c>
      <c r="X103" s="288"/>
      <c r="Y103" s="288"/>
      <c r="Z103" s="284"/>
      <c r="AA103" s="284"/>
      <c r="AB103" s="637"/>
      <c r="AC103" s="637"/>
      <c r="AD103" s="97"/>
      <c r="AE103" s="97"/>
      <c r="AF103" s="89">
        <f t="shared" si="63"/>
        <v>-337.24137931034693</v>
      </c>
      <c r="AG103" s="170">
        <f t="shared" si="64"/>
        <v>0.76580459770114795</v>
      </c>
      <c r="AH103" s="632"/>
    </row>
    <row r="104" spans="1:34" s="286" customFormat="1" ht="18" customHeight="1">
      <c r="A104" s="669"/>
      <c r="B104" s="65" t="s">
        <v>251</v>
      </c>
      <c r="C104" s="291"/>
      <c r="D104" s="168" t="s">
        <v>157</v>
      </c>
      <c r="E104" s="169"/>
      <c r="F104" s="271">
        <v>54.09</v>
      </c>
      <c r="G104" s="272">
        <v>2051</v>
      </c>
      <c r="H104" s="273">
        <f t="shared" si="67"/>
        <v>110938.59000000001</v>
      </c>
      <c r="I104" s="289"/>
      <c r="J104" s="86">
        <v>17</v>
      </c>
      <c r="K104" s="83">
        <v>1440</v>
      </c>
      <c r="L104" s="87">
        <v>84.705882352941174</v>
      </c>
      <c r="M104" s="130">
        <v>17</v>
      </c>
      <c r="N104" s="100">
        <f t="shared" si="68"/>
        <v>1295.3684210526317</v>
      </c>
      <c r="O104" s="131">
        <f t="shared" si="69"/>
        <v>76.198142414860683</v>
      </c>
      <c r="P104" s="275">
        <f t="shared" si="70"/>
        <v>0</v>
      </c>
      <c r="Q104" s="276">
        <f t="shared" si="66"/>
        <v>-8.5077399380804906</v>
      </c>
      <c r="R104" s="277">
        <f t="shared" si="71"/>
        <v>0.89956140350877201</v>
      </c>
      <c r="S104" s="662"/>
      <c r="T104" s="278">
        <v>0.73333333333333339</v>
      </c>
      <c r="U104" s="278">
        <v>0.7993055555555556</v>
      </c>
      <c r="V104" s="279">
        <v>7</v>
      </c>
      <c r="W104" s="135">
        <f t="shared" si="72"/>
        <v>94.999999999999986</v>
      </c>
      <c r="X104" s="288"/>
      <c r="Y104" s="288"/>
      <c r="Z104" s="284"/>
      <c r="AA104" s="284"/>
      <c r="AB104" s="637"/>
      <c r="AC104" s="637"/>
      <c r="AD104" s="97"/>
      <c r="AE104" s="97"/>
      <c r="AF104" s="285">
        <f t="shared" si="63"/>
        <v>-144.63157894736833</v>
      </c>
      <c r="AG104" s="91">
        <f t="shared" si="64"/>
        <v>0.89956140350877201</v>
      </c>
      <c r="AH104" s="632"/>
    </row>
    <row r="105" spans="1:34" s="286" customFormat="1" ht="18" customHeight="1">
      <c r="A105" s="669"/>
      <c r="B105" s="65">
        <v>0</v>
      </c>
      <c r="C105" s="291"/>
      <c r="D105" s="168"/>
      <c r="E105" s="169"/>
      <c r="F105" s="271" t="s">
        <v>253</v>
      </c>
      <c r="G105" s="272"/>
      <c r="H105" s="273">
        <f t="shared" si="67"/>
        <v>0</v>
      </c>
      <c r="I105" s="289"/>
      <c r="J105" s="274"/>
      <c r="K105" s="100"/>
      <c r="L105" s="87"/>
      <c r="M105" s="130"/>
      <c r="N105" s="100"/>
      <c r="O105" s="131"/>
      <c r="P105" s="96"/>
      <c r="Q105" s="132"/>
      <c r="R105" s="91"/>
      <c r="S105" s="662"/>
      <c r="T105" s="278"/>
      <c r="U105" s="278"/>
      <c r="V105" s="279"/>
      <c r="W105" s="135">
        <f t="shared" si="72"/>
        <v>0</v>
      </c>
      <c r="X105" s="288"/>
      <c r="Y105" s="288"/>
      <c r="Z105" s="284"/>
      <c r="AA105" s="284"/>
      <c r="AB105" s="637"/>
      <c r="AC105" s="637"/>
      <c r="AD105" s="97"/>
      <c r="AE105" s="97"/>
      <c r="AF105" s="284"/>
      <c r="AG105" s="133"/>
      <c r="AH105" s="632"/>
    </row>
    <row r="106" spans="1:34" s="286" customFormat="1" ht="18" customHeight="1">
      <c r="A106" s="669"/>
      <c r="B106" s="65">
        <v>0</v>
      </c>
      <c r="C106" s="291"/>
      <c r="D106" s="168"/>
      <c r="E106" s="169"/>
      <c r="F106" s="82" t="s">
        <v>253</v>
      </c>
      <c r="G106" s="272"/>
      <c r="H106" s="273">
        <f t="shared" si="67"/>
        <v>0</v>
      </c>
      <c r="I106" s="289"/>
      <c r="J106" s="233"/>
      <c r="K106" s="234"/>
      <c r="L106" s="122"/>
      <c r="M106" s="130"/>
      <c r="N106" s="234"/>
      <c r="O106" s="292"/>
      <c r="P106" s="96"/>
      <c r="Q106" s="132"/>
      <c r="R106" s="133"/>
      <c r="S106" s="670"/>
      <c r="T106" s="278"/>
      <c r="U106" s="278"/>
      <c r="V106" s="279"/>
      <c r="W106" s="135">
        <f t="shared" si="72"/>
        <v>0</v>
      </c>
      <c r="X106" s="288"/>
      <c r="Y106" s="288"/>
      <c r="Z106" s="284"/>
      <c r="AA106" s="284"/>
      <c r="AB106" s="637"/>
      <c r="AC106" s="637"/>
      <c r="AD106" s="97"/>
      <c r="AE106" s="97"/>
      <c r="AF106" s="284"/>
      <c r="AG106" s="133"/>
      <c r="AH106" s="632"/>
    </row>
    <row r="107" spans="1:34" s="286" customFormat="1" ht="18" customHeight="1">
      <c r="A107" s="669"/>
      <c r="B107" s="289">
        <v>0</v>
      </c>
      <c r="C107" s="291"/>
      <c r="D107" s="168"/>
      <c r="E107" s="169"/>
      <c r="F107" s="82" t="s">
        <v>253</v>
      </c>
      <c r="G107" s="272"/>
      <c r="H107" s="293">
        <f>F107*G107</f>
        <v>0</v>
      </c>
      <c r="I107" s="289"/>
      <c r="J107" s="233"/>
      <c r="K107" s="234"/>
      <c r="L107" s="122"/>
      <c r="M107" s="130"/>
      <c r="N107" s="234"/>
      <c r="O107" s="292"/>
      <c r="P107" s="96"/>
      <c r="Q107" s="132"/>
      <c r="R107" s="133"/>
      <c r="S107" s="670"/>
      <c r="T107" s="278"/>
      <c r="U107" s="278"/>
      <c r="V107" s="279"/>
      <c r="W107" s="135">
        <f t="shared" si="72"/>
        <v>0</v>
      </c>
      <c r="X107" s="288"/>
      <c r="Y107" s="288"/>
      <c r="Z107" s="284"/>
      <c r="AA107" s="284"/>
      <c r="AB107" s="637"/>
      <c r="AC107" s="637"/>
      <c r="AD107" s="97"/>
      <c r="AE107" s="97"/>
      <c r="AF107" s="284"/>
      <c r="AG107" s="133"/>
      <c r="AH107" s="632"/>
    </row>
    <row r="108" spans="1:34" ht="18" customHeight="1">
      <c r="A108" s="669"/>
      <c r="B108" s="147">
        <v>0</v>
      </c>
      <c r="C108" s="138" t="s">
        <v>20</v>
      </c>
      <c r="D108" s="630" t="s">
        <v>220</v>
      </c>
      <c r="E108" s="630"/>
      <c r="F108" s="294"/>
      <c r="G108" s="140"/>
      <c r="H108" s="141"/>
      <c r="I108" s="142"/>
      <c r="J108" s="140">
        <v>17.555555555555557</v>
      </c>
      <c r="K108" s="140">
        <v>1481.7777777777778</v>
      </c>
      <c r="L108" s="143">
        <v>84.76272789817682</v>
      </c>
      <c r="M108" s="140">
        <f t="shared" ref="M108:O108" si="73">AVERAGE(M96:M107)</f>
        <v>17.333333333333332</v>
      </c>
      <c r="N108" s="140">
        <f t="shared" si="73"/>
        <v>1272.6691059767568</v>
      </c>
      <c r="O108" s="143">
        <f t="shared" si="73"/>
        <v>73.545832829410003</v>
      </c>
      <c r="P108" s="96">
        <f t="shared" ref="P108:P113" si="74">M108-J108</f>
        <v>-0.22222222222222499</v>
      </c>
      <c r="Q108" s="132">
        <f t="shared" ref="Q108:Q113" si="75">O108-L108</f>
        <v>-11.216895068766817</v>
      </c>
      <c r="R108" s="144">
        <f t="shared" ref="R108:R113" si="76">O108/L108</f>
        <v>0.86766712979977034</v>
      </c>
      <c r="S108" s="662"/>
      <c r="T108" s="134"/>
      <c r="U108" s="134"/>
      <c r="V108" s="100"/>
      <c r="W108" s="135">
        <f t="shared" si="72"/>
        <v>0</v>
      </c>
      <c r="X108" s="131"/>
      <c r="Y108" s="131"/>
      <c r="Z108" s="145">
        <f>SUM(Z96:Z107)</f>
        <v>0</v>
      </c>
      <c r="AA108" s="145">
        <f>SUM(AA96:AA107)</f>
        <v>0</v>
      </c>
      <c r="AB108" s="629"/>
      <c r="AC108" s="629"/>
      <c r="AD108" s="146">
        <f>SUM(AD96:AD107)</f>
        <v>0</v>
      </c>
      <c r="AE108" s="146">
        <f>SUM(AE96:AE107)</f>
        <v>0</v>
      </c>
      <c r="AF108" s="96">
        <f t="shared" si="63"/>
        <v>-209.10867180102105</v>
      </c>
      <c r="AG108" s="133">
        <f t="shared" si="64"/>
        <v>0.85887987056019877</v>
      </c>
      <c r="AH108" s="632"/>
    </row>
    <row r="109" spans="1:34" ht="18" customHeight="1">
      <c r="A109" s="665" t="s">
        <v>230</v>
      </c>
      <c r="B109" s="65" t="s">
        <v>252</v>
      </c>
      <c r="C109" s="219"/>
      <c r="D109" s="231" t="s">
        <v>159</v>
      </c>
      <c r="E109" s="81"/>
      <c r="F109" s="82">
        <v>53.76</v>
      </c>
      <c r="G109" s="83">
        <v>2689</v>
      </c>
      <c r="H109" s="84">
        <f t="shared" ref="H109:H118" si="77">F109*G109</f>
        <v>144560.63999999998</v>
      </c>
      <c r="I109" s="65"/>
      <c r="J109" s="86">
        <v>16</v>
      </c>
      <c r="K109" s="83">
        <v>1440</v>
      </c>
      <c r="L109" s="87">
        <v>90</v>
      </c>
      <c r="M109" s="88">
        <v>16</v>
      </c>
      <c r="N109" s="83">
        <f t="shared" ref="N109:N113" si="78">G109/W109*60</f>
        <v>1250.6976744186045</v>
      </c>
      <c r="O109" s="87">
        <f t="shared" ref="O109:O113" si="79">N109/M109</f>
        <v>78.168604651162781</v>
      </c>
      <c r="P109" s="89">
        <f t="shared" si="74"/>
        <v>0</v>
      </c>
      <c r="Q109" s="90">
        <f t="shared" si="75"/>
        <v>-11.831395348837219</v>
      </c>
      <c r="R109" s="91">
        <f t="shared" si="76"/>
        <v>0.86854005167958648</v>
      </c>
      <c r="S109" s="668">
        <f>R121</f>
        <v>0.84825650755593474</v>
      </c>
      <c r="T109" s="295">
        <v>0.5</v>
      </c>
      <c r="U109" s="295">
        <v>0.58958333333333335</v>
      </c>
      <c r="V109" s="296">
        <v>5</v>
      </c>
      <c r="W109" s="85">
        <f t="shared" si="72"/>
        <v>129.00000000000003</v>
      </c>
      <c r="X109" s="95"/>
      <c r="Y109" s="95"/>
      <c r="Z109" s="96"/>
      <c r="AA109" s="96"/>
      <c r="AB109" s="644"/>
      <c r="AC109" s="644"/>
      <c r="AD109" s="97"/>
      <c r="AE109" s="97"/>
      <c r="AF109" s="89">
        <f t="shared" si="63"/>
        <v>-189.30232558139551</v>
      </c>
      <c r="AG109" s="170">
        <f t="shared" si="64"/>
        <v>0.86854005167958648</v>
      </c>
      <c r="AH109" s="632">
        <f>AG121</f>
        <v>0.83798401789515453</v>
      </c>
    </row>
    <row r="110" spans="1:34" ht="18" customHeight="1">
      <c r="A110" s="666"/>
      <c r="B110" s="65" t="s">
        <v>251</v>
      </c>
      <c r="C110" s="230"/>
      <c r="D110" s="80" t="s">
        <v>150</v>
      </c>
      <c r="E110" s="232"/>
      <c r="F110" s="82">
        <v>53.27</v>
      </c>
      <c r="G110" s="229">
        <v>312.8</v>
      </c>
      <c r="H110" s="84">
        <f t="shared" si="77"/>
        <v>16662.856</v>
      </c>
      <c r="I110" s="65"/>
      <c r="J110" s="86">
        <v>17</v>
      </c>
      <c r="K110" s="83">
        <v>1500</v>
      </c>
      <c r="L110" s="87">
        <v>88.235294117647058</v>
      </c>
      <c r="M110" s="88">
        <v>17</v>
      </c>
      <c r="N110" s="83">
        <f t="shared" si="78"/>
        <v>1340.5714285714334</v>
      </c>
      <c r="O110" s="87">
        <f t="shared" si="79"/>
        <v>78.857142857143145</v>
      </c>
      <c r="P110" s="89">
        <f t="shared" si="74"/>
        <v>0</v>
      </c>
      <c r="Q110" s="90">
        <f t="shared" si="75"/>
        <v>-9.3781512605039126</v>
      </c>
      <c r="R110" s="91">
        <f t="shared" si="76"/>
        <v>0.89371428571428901</v>
      </c>
      <c r="S110" s="651"/>
      <c r="T110" s="295">
        <v>0.60486111111111107</v>
      </c>
      <c r="U110" s="295">
        <v>0.61458333333333326</v>
      </c>
      <c r="V110" s="296">
        <v>22</v>
      </c>
      <c r="W110" s="85">
        <f t="shared" si="72"/>
        <v>13.99999999999995</v>
      </c>
      <c r="X110" s="249">
        <v>0.59305555555555556</v>
      </c>
      <c r="Y110" s="249">
        <v>0.6020833333333333</v>
      </c>
      <c r="Z110" s="96"/>
      <c r="AA110" s="96"/>
      <c r="AB110" s="657"/>
      <c r="AC110" s="657"/>
      <c r="AD110" s="97"/>
      <c r="AE110" s="97"/>
      <c r="AF110" s="238">
        <f t="shared" si="63"/>
        <v>-159.42857142856656</v>
      </c>
      <c r="AG110" s="170">
        <f t="shared" si="64"/>
        <v>0.89371428571428901</v>
      </c>
      <c r="AH110" s="632"/>
    </row>
    <row r="111" spans="1:34" ht="18" customHeight="1">
      <c r="A111" s="666"/>
      <c r="B111" s="65" t="s">
        <v>247</v>
      </c>
      <c r="C111" s="230"/>
      <c r="D111" s="80" t="s">
        <v>122</v>
      </c>
      <c r="E111" s="232"/>
      <c r="F111" s="82">
        <v>29.113149847094796</v>
      </c>
      <c r="G111" s="100">
        <v>347.76</v>
      </c>
      <c r="H111" s="84">
        <f t="shared" si="77"/>
        <v>10124.388990825686</v>
      </c>
      <c r="I111" s="65"/>
      <c r="J111" s="86">
        <v>19</v>
      </c>
      <c r="K111" s="83">
        <v>1500</v>
      </c>
      <c r="L111" s="87">
        <v>78.94736842105263</v>
      </c>
      <c r="M111" s="155">
        <v>18</v>
      </c>
      <c r="N111" s="83">
        <f t="shared" si="78"/>
        <v>1227.3882352941218</v>
      </c>
      <c r="O111" s="87">
        <f t="shared" si="79"/>
        <v>68.188235294117874</v>
      </c>
      <c r="P111" s="89">
        <f t="shared" si="74"/>
        <v>-1</v>
      </c>
      <c r="Q111" s="90">
        <f t="shared" si="75"/>
        <v>-10.759133126934756</v>
      </c>
      <c r="R111" s="91">
        <f t="shared" si="76"/>
        <v>0.86371764705882637</v>
      </c>
      <c r="S111" s="651"/>
      <c r="T111" s="295">
        <v>0.61944444444444435</v>
      </c>
      <c r="U111" s="295">
        <v>0.63124999999999987</v>
      </c>
      <c r="V111" s="296">
        <v>7</v>
      </c>
      <c r="W111" s="85">
        <f t="shared" si="72"/>
        <v>16.99999999999994</v>
      </c>
      <c r="X111" s="95"/>
      <c r="Y111" s="95"/>
      <c r="Z111" s="96"/>
      <c r="AA111" s="96"/>
      <c r="AB111" s="644"/>
      <c r="AC111" s="644"/>
      <c r="AD111" s="97"/>
      <c r="AE111" s="97"/>
      <c r="AF111" s="89">
        <f t="shared" si="63"/>
        <v>-272.61176470587816</v>
      </c>
      <c r="AG111" s="170">
        <f t="shared" si="64"/>
        <v>0.81825882352941459</v>
      </c>
      <c r="AH111" s="632"/>
    </row>
    <row r="112" spans="1:34" ht="18" customHeight="1">
      <c r="A112" s="666"/>
      <c r="B112" s="65" t="s">
        <v>251</v>
      </c>
      <c r="C112" s="230"/>
      <c r="D112" s="231" t="s">
        <v>160</v>
      </c>
      <c r="E112" s="232"/>
      <c r="F112" s="82">
        <v>58.17</v>
      </c>
      <c r="G112" s="100">
        <v>1599.2</v>
      </c>
      <c r="H112" s="84">
        <f t="shared" si="77"/>
        <v>93025.464000000007</v>
      </c>
      <c r="I112" s="97"/>
      <c r="J112" s="86">
        <v>18</v>
      </c>
      <c r="K112" s="83">
        <v>1385</v>
      </c>
      <c r="L112" s="87">
        <v>76.944444444444443</v>
      </c>
      <c r="M112" s="155">
        <v>18</v>
      </c>
      <c r="N112" s="83">
        <f t="shared" si="78"/>
        <v>1102.8965517241379</v>
      </c>
      <c r="O112" s="87">
        <f t="shared" si="79"/>
        <v>61.272030651340998</v>
      </c>
      <c r="P112" s="89">
        <f t="shared" si="74"/>
        <v>0</v>
      </c>
      <c r="Q112" s="90">
        <f t="shared" si="75"/>
        <v>-15.672413793103445</v>
      </c>
      <c r="R112" s="91">
        <f t="shared" si="76"/>
        <v>0.79631519980082166</v>
      </c>
      <c r="S112" s="651"/>
      <c r="T112" s="295">
        <v>0.70833333333333337</v>
      </c>
      <c r="U112" s="295">
        <v>0.76875000000000004</v>
      </c>
      <c r="V112" s="296">
        <v>5</v>
      </c>
      <c r="W112" s="85">
        <f t="shared" si="72"/>
        <v>87.000000000000014</v>
      </c>
      <c r="X112" s="95"/>
      <c r="Y112" s="95"/>
      <c r="Z112" s="96"/>
      <c r="AA112" s="96"/>
      <c r="AB112" s="644"/>
      <c r="AC112" s="644"/>
      <c r="AD112" s="97"/>
      <c r="AE112" s="97"/>
      <c r="AF112" s="89">
        <f t="shared" si="63"/>
        <v>-282.10344827586209</v>
      </c>
      <c r="AG112" s="170">
        <f t="shared" si="64"/>
        <v>0.79631519980082155</v>
      </c>
      <c r="AH112" s="632"/>
    </row>
    <row r="113" spans="1:34" s="286" customFormat="1" ht="18" customHeight="1">
      <c r="A113" s="666"/>
      <c r="B113" s="65" t="s">
        <v>251</v>
      </c>
      <c r="C113" s="230"/>
      <c r="D113" s="231" t="s">
        <v>161</v>
      </c>
      <c r="E113" s="232"/>
      <c r="F113" s="82">
        <v>57.73</v>
      </c>
      <c r="G113" s="100">
        <v>972</v>
      </c>
      <c r="H113" s="84">
        <f t="shared" si="77"/>
        <v>56113.56</v>
      </c>
      <c r="I113" s="97"/>
      <c r="J113" s="86">
        <v>18</v>
      </c>
      <c r="K113" s="83">
        <v>1440</v>
      </c>
      <c r="L113" s="87">
        <v>80</v>
      </c>
      <c r="M113" s="88">
        <v>18</v>
      </c>
      <c r="N113" s="83">
        <f t="shared" si="78"/>
        <v>1166.4000000000003</v>
      </c>
      <c r="O113" s="87">
        <f t="shared" si="79"/>
        <v>64.800000000000011</v>
      </c>
      <c r="P113" s="89">
        <f t="shared" si="74"/>
        <v>0</v>
      </c>
      <c r="Q113" s="90">
        <f t="shared" si="75"/>
        <v>-15.199999999999989</v>
      </c>
      <c r="R113" s="91">
        <f t="shared" si="76"/>
        <v>0.81000000000000016</v>
      </c>
      <c r="S113" s="651"/>
      <c r="T113" s="295">
        <v>0.77361111111111114</v>
      </c>
      <c r="U113" s="295">
        <v>0.80833333333333335</v>
      </c>
      <c r="V113" s="296">
        <v>7</v>
      </c>
      <c r="W113" s="85">
        <f t="shared" si="72"/>
        <v>49.999999999999986</v>
      </c>
      <c r="X113" s="283"/>
      <c r="Y113" s="283"/>
      <c r="Z113" s="284"/>
      <c r="AA113" s="284"/>
      <c r="AB113" s="633"/>
      <c r="AC113" s="633"/>
      <c r="AD113" s="289"/>
      <c r="AE113" s="289"/>
      <c r="AF113" s="238">
        <f t="shared" si="63"/>
        <v>-273.59999999999968</v>
      </c>
      <c r="AG113" s="170">
        <f t="shared" si="64"/>
        <v>0.81000000000000028</v>
      </c>
      <c r="AH113" s="632"/>
    </row>
    <row r="114" spans="1:34" s="286" customFormat="1" ht="18" customHeight="1">
      <c r="A114" s="666"/>
      <c r="B114" s="65">
        <v>0</v>
      </c>
      <c r="C114" s="230"/>
      <c r="D114" s="231"/>
      <c r="E114" s="232"/>
      <c r="F114" s="82" t="s">
        <v>253</v>
      </c>
      <c r="G114" s="100"/>
      <c r="H114" s="84">
        <f t="shared" si="77"/>
        <v>0</v>
      </c>
      <c r="I114" s="97"/>
      <c r="J114" s="86"/>
      <c r="K114" s="83"/>
      <c r="L114" s="87"/>
      <c r="M114" s="155"/>
      <c r="N114" s="83"/>
      <c r="O114" s="87"/>
      <c r="P114" s="89"/>
      <c r="Q114" s="90"/>
      <c r="R114" s="91"/>
      <c r="S114" s="651"/>
      <c r="T114" s="295"/>
      <c r="U114" s="295"/>
      <c r="V114" s="296"/>
      <c r="W114" s="85"/>
      <c r="X114" s="283"/>
      <c r="Y114" s="283"/>
      <c r="Z114" s="284"/>
      <c r="AA114" s="284"/>
      <c r="AB114" s="633"/>
      <c r="AC114" s="633"/>
      <c r="AD114" s="289"/>
      <c r="AE114" s="289"/>
      <c r="AF114" s="89">
        <f t="shared" si="63"/>
        <v>0</v>
      </c>
      <c r="AG114" s="170" t="e">
        <f t="shared" si="64"/>
        <v>#DIV/0!</v>
      </c>
      <c r="AH114" s="632"/>
    </row>
    <row r="115" spans="1:34" s="286" customFormat="1" ht="18" customHeight="1">
      <c r="A115" s="666"/>
      <c r="B115" s="65">
        <v>0</v>
      </c>
      <c r="C115" s="230"/>
      <c r="D115" s="231"/>
      <c r="E115" s="232"/>
      <c r="F115" s="82" t="s">
        <v>253</v>
      </c>
      <c r="G115" s="229"/>
      <c r="H115" s="84">
        <f t="shared" si="77"/>
        <v>0</v>
      </c>
      <c r="I115" s="97"/>
      <c r="J115" s="86"/>
      <c r="K115" s="83"/>
      <c r="L115" s="87"/>
      <c r="M115" s="88"/>
      <c r="N115" s="83"/>
      <c r="O115" s="87"/>
      <c r="P115" s="89"/>
      <c r="Q115" s="90"/>
      <c r="R115" s="91"/>
      <c r="S115" s="651"/>
      <c r="T115" s="295"/>
      <c r="U115" s="295"/>
      <c r="V115" s="296"/>
      <c r="W115" s="85">
        <f t="shared" si="72"/>
        <v>0</v>
      </c>
      <c r="X115" s="283"/>
      <c r="Y115" s="283"/>
      <c r="Z115" s="284"/>
      <c r="AA115" s="284"/>
      <c r="AB115" s="633"/>
      <c r="AC115" s="633"/>
      <c r="AD115" s="289"/>
      <c r="AE115" s="289"/>
      <c r="AF115" s="89">
        <f t="shared" si="63"/>
        <v>0</v>
      </c>
      <c r="AG115" s="170" t="e">
        <f t="shared" si="64"/>
        <v>#DIV/0!</v>
      </c>
      <c r="AH115" s="632"/>
    </row>
    <row r="116" spans="1:34" s="286" customFormat="1" ht="18" customHeight="1">
      <c r="A116" s="666"/>
      <c r="B116" s="65">
        <v>0</v>
      </c>
      <c r="C116" s="98"/>
      <c r="D116" s="168"/>
      <c r="E116" s="169"/>
      <c r="F116" s="82"/>
      <c r="G116" s="100"/>
      <c r="H116" s="84">
        <f t="shared" si="77"/>
        <v>0</v>
      </c>
      <c r="I116" s="97"/>
      <c r="J116" s="86"/>
      <c r="K116" s="83"/>
      <c r="L116" s="87"/>
      <c r="M116" s="137"/>
      <c r="N116" s="83"/>
      <c r="O116" s="87"/>
      <c r="P116" s="89"/>
      <c r="Q116" s="90"/>
      <c r="R116" s="91"/>
      <c r="S116" s="651"/>
      <c r="T116" s="295"/>
      <c r="U116" s="295"/>
      <c r="V116" s="296"/>
      <c r="W116" s="85">
        <f t="shared" si="72"/>
        <v>0</v>
      </c>
      <c r="X116" s="283"/>
      <c r="Y116" s="283"/>
      <c r="Z116" s="284"/>
      <c r="AA116" s="284"/>
      <c r="AB116" s="633"/>
      <c r="AC116" s="633"/>
      <c r="AD116" s="289"/>
      <c r="AE116" s="289"/>
      <c r="AF116" s="238">
        <f t="shared" si="63"/>
        <v>0</v>
      </c>
      <c r="AG116" s="170" t="e">
        <f t="shared" si="64"/>
        <v>#DIV/0!</v>
      </c>
      <c r="AH116" s="632"/>
    </row>
    <row r="117" spans="1:34" s="286" customFormat="1" ht="18" customHeight="1">
      <c r="A117" s="666"/>
      <c r="B117" s="65">
        <v>0</v>
      </c>
      <c r="C117" s="98"/>
      <c r="D117" s="231"/>
      <c r="E117" s="169"/>
      <c r="F117" s="82" t="s">
        <v>253</v>
      </c>
      <c r="G117" s="100"/>
      <c r="H117" s="84">
        <f t="shared" si="77"/>
        <v>0</v>
      </c>
      <c r="I117" s="97"/>
      <c r="J117" s="86"/>
      <c r="K117" s="83"/>
      <c r="L117" s="131"/>
      <c r="M117" s="137"/>
      <c r="N117" s="100"/>
      <c r="O117" s="131"/>
      <c r="P117" s="96"/>
      <c r="Q117" s="132"/>
      <c r="R117" s="133"/>
      <c r="S117" s="651"/>
      <c r="T117" s="295"/>
      <c r="U117" s="295"/>
      <c r="V117" s="296"/>
      <c r="W117" s="85">
        <f t="shared" si="72"/>
        <v>0</v>
      </c>
      <c r="X117" s="283"/>
      <c r="Y117" s="283"/>
      <c r="Z117" s="284"/>
      <c r="AA117" s="284"/>
      <c r="AB117" s="633"/>
      <c r="AC117" s="633"/>
      <c r="AD117" s="289"/>
      <c r="AE117" s="289"/>
      <c r="AF117" s="89">
        <f t="shared" si="63"/>
        <v>0</v>
      </c>
      <c r="AG117" s="170" t="e">
        <f t="shared" si="64"/>
        <v>#DIV/0!</v>
      </c>
      <c r="AH117" s="632"/>
    </row>
    <row r="118" spans="1:34" s="286" customFormat="1" ht="18" customHeight="1">
      <c r="A118" s="666"/>
      <c r="B118" s="65">
        <v>0</v>
      </c>
      <c r="C118" s="216"/>
      <c r="D118" s="231"/>
      <c r="E118" s="81"/>
      <c r="F118" s="183" t="s">
        <v>253</v>
      </c>
      <c r="G118" s="83"/>
      <c r="H118" s="84">
        <f t="shared" si="77"/>
        <v>0</v>
      </c>
      <c r="I118" s="97"/>
      <c r="J118" s="86"/>
      <c r="K118" s="83"/>
      <c r="L118" s="87"/>
      <c r="M118" s="137"/>
      <c r="N118" s="83"/>
      <c r="O118" s="87"/>
      <c r="P118" s="89"/>
      <c r="Q118" s="90"/>
      <c r="R118" s="91"/>
      <c r="S118" s="651"/>
      <c r="T118" s="295"/>
      <c r="U118" s="295"/>
      <c r="V118" s="296"/>
      <c r="W118" s="85">
        <f t="shared" si="72"/>
        <v>0</v>
      </c>
      <c r="X118" s="283"/>
      <c r="Y118" s="283"/>
      <c r="Z118" s="284"/>
      <c r="AA118" s="284"/>
      <c r="AB118" s="633"/>
      <c r="AC118" s="633"/>
      <c r="AD118" s="289"/>
      <c r="AE118" s="289"/>
      <c r="AF118" s="285"/>
      <c r="AG118" s="170"/>
      <c r="AH118" s="632"/>
    </row>
    <row r="119" spans="1:34" s="286" customFormat="1" ht="18" customHeight="1">
      <c r="A119" s="666"/>
      <c r="B119" s="289">
        <v>0</v>
      </c>
      <c r="C119" s="291"/>
      <c r="D119" s="168"/>
      <c r="E119" s="169"/>
      <c r="F119" s="183" t="s">
        <v>253</v>
      </c>
      <c r="G119" s="297"/>
      <c r="H119" s="298">
        <f>F119*G119</f>
        <v>0</v>
      </c>
      <c r="I119" s="97"/>
      <c r="J119" s="233"/>
      <c r="K119" s="299"/>
      <c r="L119" s="87"/>
      <c r="M119" s="137"/>
      <c r="N119" s="234"/>
      <c r="O119" s="292"/>
      <c r="P119" s="218"/>
      <c r="Q119" s="90"/>
      <c r="R119" s="91"/>
      <c r="S119" s="651"/>
      <c r="T119" s="295"/>
      <c r="U119" s="295"/>
      <c r="V119" s="296"/>
      <c r="W119" s="85">
        <f t="shared" si="72"/>
        <v>0</v>
      </c>
      <c r="X119" s="283"/>
      <c r="Y119" s="283"/>
      <c r="Z119" s="284"/>
      <c r="AA119" s="284"/>
      <c r="AB119" s="633"/>
      <c r="AC119" s="633"/>
      <c r="AD119" s="289"/>
      <c r="AE119" s="289"/>
      <c r="AF119" s="285"/>
      <c r="AG119" s="170"/>
      <c r="AH119" s="632"/>
    </row>
    <row r="120" spans="1:34" s="286" customFormat="1" ht="18" customHeight="1">
      <c r="A120" s="666"/>
      <c r="B120" s="289">
        <v>0</v>
      </c>
      <c r="C120" s="291"/>
      <c r="D120" s="168"/>
      <c r="E120" s="169"/>
      <c r="F120" s="183" t="s">
        <v>253</v>
      </c>
      <c r="G120" s="297"/>
      <c r="H120" s="298">
        <f>F120*G120</f>
        <v>0</v>
      </c>
      <c r="I120" s="97"/>
      <c r="J120" s="233"/>
      <c r="K120" s="299"/>
      <c r="L120" s="87"/>
      <c r="M120" s="137"/>
      <c r="N120" s="234"/>
      <c r="O120" s="292"/>
      <c r="P120" s="218"/>
      <c r="Q120" s="90"/>
      <c r="R120" s="91"/>
      <c r="S120" s="651"/>
      <c r="T120" s="295"/>
      <c r="U120" s="295"/>
      <c r="V120" s="296"/>
      <c r="W120" s="85">
        <f t="shared" si="72"/>
        <v>0</v>
      </c>
      <c r="X120" s="283"/>
      <c r="Y120" s="283"/>
      <c r="Z120" s="284"/>
      <c r="AA120" s="284"/>
      <c r="AB120" s="633"/>
      <c r="AC120" s="633"/>
      <c r="AD120" s="289"/>
      <c r="AE120" s="289"/>
      <c r="AF120" s="285"/>
      <c r="AG120" s="170"/>
      <c r="AH120" s="632"/>
    </row>
    <row r="121" spans="1:34" ht="18" customHeight="1">
      <c r="A121" s="667"/>
      <c r="B121" s="126">
        <v>0</v>
      </c>
      <c r="C121" s="138" t="s">
        <v>21</v>
      </c>
      <c r="D121" s="300" t="s">
        <v>220</v>
      </c>
      <c r="E121" s="301"/>
      <c r="F121" s="223"/>
      <c r="G121" s="302"/>
      <c r="H121" s="303"/>
      <c r="I121" s="304"/>
      <c r="J121" s="264">
        <v>17.600000000000001</v>
      </c>
      <c r="K121" s="264">
        <v>1453</v>
      </c>
      <c r="L121" s="265">
        <v>82.825421396628826</v>
      </c>
      <c r="M121" s="264">
        <f t="shared" ref="M121:O121" si="80">AVERAGE(M109:M120)</f>
        <v>17.399999999999999</v>
      </c>
      <c r="N121" s="264">
        <f t="shared" si="80"/>
        <v>1217.5907780016596</v>
      </c>
      <c r="O121" s="265">
        <f t="shared" si="80"/>
        <v>70.257202690752962</v>
      </c>
      <c r="P121" s="89">
        <f t="shared" ref="P121:P128" si="81">M121-J121</f>
        <v>-0.20000000000000284</v>
      </c>
      <c r="Q121" s="90">
        <f t="shared" ref="Q121:Q128" si="82">O121-L121</f>
        <v>-12.568218705875864</v>
      </c>
      <c r="R121" s="227">
        <f t="shared" ref="R121:R128" si="83">O121/L121</f>
        <v>0.84825650755593474</v>
      </c>
      <c r="S121" s="661"/>
      <c r="T121" s="92"/>
      <c r="U121" s="92"/>
      <c r="V121" s="83"/>
      <c r="W121" s="85">
        <f t="shared" si="72"/>
        <v>0</v>
      </c>
      <c r="X121" s="87"/>
      <c r="Y121" s="87"/>
      <c r="Z121" s="145">
        <f>SUM(Z109:Z120)</f>
        <v>0</v>
      </c>
      <c r="AA121" s="145">
        <f>SUM(AA109:AA120)</f>
        <v>0</v>
      </c>
      <c r="AB121" s="663"/>
      <c r="AC121" s="664"/>
      <c r="AD121" s="146">
        <f>SUM(AD109:AD120)</f>
        <v>0</v>
      </c>
      <c r="AE121" s="146">
        <f>SUM(AE109:AE120)</f>
        <v>0</v>
      </c>
      <c r="AF121" s="89">
        <f>N121-K121</f>
        <v>-235.4092219983404</v>
      </c>
      <c r="AG121" s="170">
        <f>N121/K121</f>
        <v>0.83798401789515453</v>
      </c>
      <c r="AH121" s="632"/>
    </row>
    <row r="122" spans="1:34" ht="18" customHeight="1">
      <c r="A122" s="658" t="s">
        <v>231</v>
      </c>
      <c r="B122" s="175" t="s">
        <v>252</v>
      </c>
      <c r="C122" s="216"/>
      <c r="D122" s="231" t="s">
        <v>163</v>
      </c>
      <c r="E122" s="81"/>
      <c r="F122" s="82">
        <v>59.52</v>
      </c>
      <c r="G122" s="83">
        <v>2193</v>
      </c>
      <c r="H122" s="84">
        <f t="shared" ref="H122:H132" si="84">F122*G122</f>
        <v>130527.36</v>
      </c>
      <c r="I122" s="65"/>
      <c r="J122" s="86">
        <v>19</v>
      </c>
      <c r="K122" s="83">
        <v>1385</v>
      </c>
      <c r="L122" s="87">
        <v>72.89473684210526</v>
      </c>
      <c r="M122" s="88">
        <v>19</v>
      </c>
      <c r="N122" s="229">
        <f t="shared" ref="N122:N128" si="85">G122/W122*60</f>
        <v>1218.3333333333342</v>
      </c>
      <c r="O122" s="305">
        <f t="shared" ref="O122:O128" si="86">N122/M122</f>
        <v>64.122807017543906</v>
      </c>
      <c r="P122" s="238">
        <f t="shared" si="81"/>
        <v>0</v>
      </c>
      <c r="Q122" s="239">
        <f t="shared" si="82"/>
        <v>-8.7719298245613544</v>
      </c>
      <c r="R122" s="240">
        <f t="shared" si="83"/>
        <v>0.87966305655836408</v>
      </c>
      <c r="S122" s="659">
        <f>R134</f>
        <v>0.82582318690098133</v>
      </c>
      <c r="T122" s="92">
        <v>0.5</v>
      </c>
      <c r="U122" s="92">
        <v>0.57499999999999996</v>
      </c>
      <c r="V122" s="296">
        <v>5</v>
      </c>
      <c r="W122" s="85">
        <f t="shared" si="72"/>
        <v>107.99999999999994</v>
      </c>
      <c r="X122" s="95"/>
      <c r="Y122" s="95"/>
      <c r="Z122" s="96"/>
      <c r="AA122" s="96"/>
      <c r="AB122" s="644"/>
      <c r="AC122" s="644"/>
      <c r="AD122" s="97"/>
      <c r="AE122" s="97"/>
      <c r="AF122" s="89">
        <f t="shared" si="63"/>
        <v>-166.66666666666583</v>
      </c>
      <c r="AG122" s="91">
        <f t="shared" si="64"/>
        <v>0.87966305655836396</v>
      </c>
      <c r="AH122" s="661">
        <f>AG134</f>
        <v>0.8142931547172545</v>
      </c>
    </row>
    <row r="123" spans="1:34" ht="18" customHeight="1">
      <c r="A123" s="658"/>
      <c r="B123" s="175" t="s">
        <v>252</v>
      </c>
      <c r="C123" s="176"/>
      <c r="D123" s="80" t="s">
        <v>164</v>
      </c>
      <c r="E123" s="232"/>
      <c r="F123" s="82">
        <v>58.67</v>
      </c>
      <c r="G123" s="83">
        <v>1526</v>
      </c>
      <c r="H123" s="84">
        <f t="shared" si="84"/>
        <v>89530.42</v>
      </c>
      <c r="I123" s="97"/>
      <c r="J123" s="130">
        <v>19</v>
      </c>
      <c r="K123" s="100">
        <v>1440</v>
      </c>
      <c r="L123" s="131">
        <v>75.78947368421052</v>
      </c>
      <c r="M123" s="137">
        <v>19</v>
      </c>
      <c r="N123" s="100">
        <f t="shared" si="85"/>
        <v>1271.6666666666656</v>
      </c>
      <c r="O123" s="131">
        <f t="shared" si="86"/>
        <v>66.92982456140345</v>
      </c>
      <c r="P123" s="96">
        <f t="shared" si="81"/>
        <v>0</v>
      </c>
      <c r="Q123" s="132">
        <f t="shared" si="82"/>
        <v>-8.8596491228070704</v>
      </c>
      <c r="R123" s="133">
        <f t="shared" si="83"/>
        <v>0.88310185185185119</v>
      </c>
      <c r="S123" s="659"/>
      <c r="T123" s="92">
        <v>0.59027777777777768</v>
      </c>
      <c r="U123" s="92">
        <v>0.64027777777777772</v>
      </c>
      <c r="V123" s="296">
        <v>22</v>
      </c>
      <c r="W123" s="85">
        <f>(U123-T123)*24*60</f>
        <v>72.000000000000057</v>
      </c>
      <c r="X123" s="95">
        <v>0.57847222222222217</v>
      </c>
      <c r="Y123" s="95">
        <v>0.58750000000000002</v>
      </c>
      <c r="Z123" s="96"/>
      <c r="AA123" s="96"/>
      <c r="AB123" s="644"/>
      <c r="AC123" s="644"/>
      <c r="AD123" s="97"/>
      <c r="AE123" s="97"/>
      <c r="AF123" s="89">
        <f t="shared" si="63"/>
        <v>-168.33333333333439</v>
      </c>
      <c r="AG123" s="91">
        <f t="shared" si="64"/>
        <v>0.88310185185185108</v>
      </c>
      <c r="AH123" s="659"/>
    </row>
    <row r="124" spans="1:34" ht="18" customHeight="1">
      <c r="A124" s="658"/>
      <c r="B124" s="175" t="s">
        <v>251</v>
      </c>
      <c r="C124" s="230"/>
      <c r="D124" s="231" t="s">
        <v>165</v>
      </c>
      <c r="E124" s="232"/>
      <c r="F124" s="82">
        <v>56.79</v>
      </c>
      <c r="G124" s="229">
        <v>1165</v>
      </c>
      <c r="H124" s="84">
        <f t="shared" si="84"/>
        <v>66160.350000000006</v>
      </c>
      <c r="I124" s="306"/>
      <c r="J124" s="130">
        <v>18</v>
      </c>
      <c r="K124" s="100">
        <v>1636</v>
      </c>
      <c r="L124" s="131">
        <v>90.888888888888886</v>
      </c>
      <c r="M124" s="88">
        <v>18</v>
      </c>
      <c r="N124" s="229">
        <f t="shared" si="85"/>
        <v>1248.2142857142867</v>
      </c>
      <c r="O124" s="305">
        <f t="shared" si="86"/>
        <v>69.345238095238145</v>
      </c>
      <c r="P124" s="238">
        <f t="shared" si="81"/>
        <v>0</v>
      </c>
      <c r="Q124" s="239">
        <f t="shared" si="82"/>
        <v>-21.543650793650741</v>
      </c>
      <c r="R124" s="240">
        <f t="shared" si="83"/>
        <v>0.76296716730702119</v>
      </c>
      <c r="S124" s="660"/>
      <c r="T124" s="92">
        <v>0.70833333333333337</v>
      </c>
      <c r="U124" s="92">
        <v>0.74722222222222223</v>
      </c>
      <c r="V124" s="296">
        <v>5</v>
      </c>
      <c r="W124" s="307">
        <f>(U124-T124)*24*60</f>
        <v>55.999999999999957</v>
      </c>
      <c r="X124" s="249"/>
      <c r="Y124" s="249"/>
      <c r="Z124" s="96"/>
      <c r="AA124" s="96"/>
      <c r="AB124" s="657"/>
      <c r="AC124" s="657"/>
      <c r="AD124" s="97"/>
      <c r="AE124" s="97"/>
      <c r="AF124" s="238">
        <f t="shared" si="63"/>
        <v>-387.78571428571331</v>
      </c>
      <c r="AG124" s="240">
        <f t="shared" si="64"/>
        <v>0.76296716730702119</v>
      </c>
      <c r="AH124" s="659"/>
    </row>
    <row r="125" spans="1:34" ht="18" customHeight="1">
      <c r="A125" s="658"/>
      <c r="B125" s="175" t="s">
        <v>251</v>
      </c>
      <c r="C125" s="176"/>
      <c r="D125" s="80" t="s">
        <v>166</v>
      </c>
      <c r="E125" s="81"/>
      <c r="F125" s="82">
        <v>56.87</v>
      </c>
      <c r="G125" s="83">
        <v>887</v>
      </c>
      <c r="H125" s="84">
        <f t="shared" si="84"/>
        <v>50443.689999999995</v>
      </c>
      <c r="I125" s="65"/>
      <c r="J125" s="130">
        <v>18</v>
      </c>
      <c r="K125" s="100">
        <v>1636</v>
      </c>
      <c r="L125" s="131">
        <v>90.888888888888886</v>
      </c>
      <c r="M125" s="88">
        <v>18</v>
      </c>
      <c r="N125" s="100">
        <f t="shared" si="85"/>
        <v>1298.0487804878044</v>
      </c>
      <c r="O125" s="131">
        <f t="shared" si="86"/>
        <v>72.11382113821135</v>
      </c>
      <c r="P125" s="96">
        <f t="shared" si="81"/>
        <v>0</v>
      </c>
      <c r="Q125" s="132">
        <f t="shared" si="82"/>
        <v>-18.775067750677536</v>
      </c>
      <c r="R125" s="133">
        <f t="shared" si="83"/>
        <v>0.79342834993142075</v>
      </c>
      <c r="S125" s="660"/>
      <c r="T125" s="92">
        <v>0.75069444444444444</v>
      </c>
      <c r="U125" s="92">
        <v>0.77916666666666667</v>
      </c>
      <c r="V125" s="296">
        <v>5</v>
      </c>
      <c r="W125" s="307">
        <f t="shared" ref="W125:W133" si="87">(U125-T125)*24*60</f>
        <v>41.000000000000014</v>
      </c>
      <c r="X125" s="108"/>
      <c r="Y125" s="108"/>
      <c r="Z125" s="96"/>
      <c r="AA125" s="96"/>
      <c r="AB125" s="657"/>
      <c r="AC125" s="657"/>
      <c r="AD125" s="97"/>
      <c r="AE125" s="97"/>
      <c r="AF125" s="89">
        <f t="shared" si="63"/>
        <v>-337.95121951219562</v>
      </c>
      <c r="AG125" s="91">
        <f t="shared" si="64"/>
        <v>0.79342834993142075</v>
      </c>
      <c r="AH125" s="662"/>
    </row>
    <row r="126" spans="1:34" ht="18" customHeight="1">
      <c r="A126" s="658"/>
      <c r="B126" s="175" t="s">
        <v>251</v>
      </c>
      <c r="C126" s="97"/>
      <c r="D126" s="80" t="s">
        <v>167</v>
      </c>
      <c r="E126" s="232"/>
      <c r="F126" s="82">
        <v>47.6</v>
      </c>
      <c r="G126" s="100">
        <v>1208</v>
      </c>
      <c r="H126" s="84">
        <f t="shared" si="84"/>
        <v>57500.800000000003</v>
      </c>
      <c r="I126" s="97"/>
      <c r="J126" s="130">
        <v>18</v>
      </c>
      <c r="K126" s="100">
        <v>1440</v>
      </c>
      <c r="L126" s="131">
        <v>80</v>
      </c>
      <c r="M126" s="137">
        <v>17</v>
      </c>
      <c r="N126" s="100">
        <f t="shared" si="85"/>
        <v>1249.6551724137939</v>
      </c>
      <c r="O126" s="131">
        <f t="shared" si="86"/>
        <v>73.509127789046701</v>
      </c>
      <c r="P126" s="96">
        <f t="shared" si="81"/>
        <v>-1</v>
      </c>
      <c r="Q126" s="132">
        <f t="shared" si="82"/>
        <v>-6.4908722109532988</v>
      </c>
      <c r="R126" s="133">
        <f t="shared" si="83"/>
        <v>0.91886409736308372</v>
      </c>
      <c r="S126" s="660"/>
      <c r="T126" s="92">
        <v>0.78402777777777777</v>
      </c>
      <c r="U126" s="92">
        <v>0.82430555555555551</v>
      </c>
      <c r="V126" s="296">
        <v>7</v>
      </c>
      <c r="W126" s="307">
        <f t="shared" si="87"/>
        <v>57.999999999999957</v>
      </c>
      <c r="X126" s="108"/>
      <c r="Y126" s="108"/>
      <c r="Z126" s="96"/>
      <c r="AA126" s="96"/>
      <c r="AB126" s="657"/>
      <c r="AC126" s="657"/>
      <c r="AD126" s="97"/>
      <c r="AE126" s="97"/>
      <c r="AF126" s="238">
        <f t="shared" si="63"/>
        <v>-190.34482758620607</v>
      </c>
      <c r="AG126" s="240">
        <f t="shared" si="64"/>
        <v>0.86781609195402354</v>
      </c>
      <c r="AH126" s="662"/>
    </row>
    <row r="127" spans="1:34" ht="18" customHeight="1">
      <c r="A127" s="658"/>
      <c r="B127" s="175" t="s">
        <v>251</v>
      </c>
      <c r="C127" s="291"/>
      <c r="D127" s="168" t="s">
        <v>168</v>
      </c>
      <c r="E127" s="169"/>
      <c r="F127" s="82">
        <v>44.3</v>
      </c>
      <c r="G127" s="272">
        <v>499</v>
      </c>
      <c r="H127" s="84">
        <f t="shared" si="84"/>
        <v>22105.699999999997</v>
      </c>
      <c r="I127" s="289"/>
      <c r="J127" s="130">
        <v>17</v>
      </c>
      <c r="K127" s="100">
        <v>1636</v>
      </c>
      <c r="L127" s="131">
        <v>96.235294117647058</v>
      </c>
      <c r="M127" s="88">
        <v>17</v>
      </c>
      <c r="N127" s="100">
        <f t="shared" si="85"/>
        <v>1108.8888888888864</v>
      </c>
      <c r="O127" s="131">
        <f t="shared" si="86"/>
        <v>65.228758169934494</v>
      </c>
      <c r="P127" s="96">
        <f t="shared" si="81"/>
        <v>0</v>
      </c>
      <c r="Q127" s="132">
        <f t="shared" si="82"/>
        <v>-31.006535947712564</v>
      </c>
      <c r="R127" s="133">
        <f t="shared" si="83"/>
        <v>0.67780494430861027</v>
      </c>
      <c r="S127" s="660"/>
      <c r="T127" s="92">
        <v>0.82847222222222217</v>
      </c>
      <c r="U127" s="92">
        <v>0.84722222222222221</v>
      </c>
      <c r="V127" s="65">
        <v>6</v>
      </c>
      <c r="W127" s="307">
        <f t="shared" si="87"/>
        <v>27.000000000000064</v>
      </c>
      <c r="X127" s="108"/>
      <c r="Y127" s="108"/>
      <c r="Z127" s="96"/>
      <c r="AA127" s="96"/>
      <c r="AB127" s="657"/>
      <c r="AC127" s="657"/>
      <c r="AD127" s="97"/>
      <c r="AE127" s="97"/>
      <c r="AF127" s="238">
        <f t="shared" si="63"/>
        <v>-527.11111111111359</v>
      </c>
      <c r="AG127" s="240">
        <f t="shared" si="64"/>
        <v>0.67780494430861027</v>
      </c>
      <c r="AH127" s="662"/>
    </row>
    <row r="128" spans="1:34" ht="18" customHeight="1">
      <c r="A128" s="658"/>
      <c r="B128" s="175" t="s">
        <v>251</v>
      </c>
      <c r="C128" s="209"/>
      <c r="D128" s="102" t="s">
        <v>169</v>
      </c>
      <c r="E128" s="169"/>
      <c r="F128" s="82">
        <v>57.3</v>
      </c>
      <c r="G128" s="100">
        <v>962</v>
      </c>
      <c r="H128" s="84">
        <f t="shared" si="84"/>
        <v>55122.6</v>
      </c>
      <c r="I128" s="97"/>
      <c r="J128" s="130">
        <v>18</v>
      </c>
      <c r="K128" s="100">
        <v>1385</v>
      </c>
      <c r="L128" s="131">
        <v>76.944444444444443</v>
      </c>
      <c r="M128" s="130">
        <v>17</v>
      </c>
      <c r="N128" s="100">
        <f t="shared" si="85"/>
        <v>1202.5000000000002</v>
      </c>
      <c r="O128" s="131">
        <f t="shared" si="86"/>
        <v>70.735294117647072</v>
      </c>
      <c r="P128" s="96">
        <f t="shared" si="81"/>
        <v>-1</v>
      </c>
      <c r="Q128" s="132">
        <f t="shared" si="82"/>
        <v>-6.2091503267973707</v>
      </c>
      <c r="R128" s="133">
        <f t="shared" si="83"/>
        <v>0.9193034614567851</v>
      </c>
      <c r="S128" s="660"/>
      <c r="T128" s="92">
        <v>0.8520833333333333</v>
      </c>
      <c r="U128" s="92">
        <v>0.88541666666666663</v>
      </c>
      <c r="V128" s="65">
        <v>7</v>
      </c>
      <c r="W128" s="307">
        <f t="shared" si="87"/>
        <v>47.999999999999986</v>
      </c>
      <c r="X128" s="108"/>
      <c r="Y128" s="108"/>
      <c r="Z128" s="96"/>
      <c r="AA128" s="96"/>
      <c r="AB128" s="657"/>
      <c r="AC128" s="657"/>
      <c r="AD128" s="97"/>
      <c r="AE128" s="97"/>
      <c r="AF128" s="238">
        <f t="shared" si="63"/>
        <v>-182.49999999999977</v>
      </c>
      <c r="AG128" s="240">
        <f t="shared" si="64"/>
        <v>0.86823104693140807</v>
      </c>
      <c r="AH128" s="662"/>
    </row>
    <row r="129" spans="1:34" ht="18" customHeight="1">
      <c r="A129" s="658"/>
      <c r="B129" s="175">
        <v>0</v>
      </c>
      <c r="C129" s="209"/>
      <c r="D129" s="102"/>
      <c r="E129" s="103"/>
      <c r="F129" s="82" t="s">
        <v>253</v>
      </c>
      <c r="G129" s="100"/>
      <c r="H129" s="84">
        <f t="shared" si="84"/>
        <v>0</v>
      </c>
      <c r="I129" s="97"/>
      <c r="J129" s="130"/>
      <c r="K129" s="100"/>
      <c r="L129" s="131"/>
      <c r="M129" s="137"/>
      <c r="N129" s="100"/>
      <c r="O129" s="131"/>
      <c r="P129" s="96"/>
      <c r="Q129" s="132"/>
      <c r="R129" s="133"/>
      <c r="S129" s="660"/>
      <c r="T129" s="92"/>
      <c r="U129" s="92"/>
      <c r="V129" s="65"/>
      <c r="W129" s="307"/>
      <c r="X129" s="108"/>
      <c r="Y129" s="108"/>
      <c r="Z129" s="96"/>
      <c r="AA129" s="96"/>
      <c r="AB129" s="657"/>
      <c r="AC129" s="657"/>
      <c r="AD129" s="97"/>
      <c r="AE129" s="97"/>
      <c r="AF129" s="238"/>
      <c r="AG129" s="240"/>
      <c r="AH129" s="662"/>
    </row>
    <row r="130" spans="1:34" ht="18" customHeight="1">
      <c r="A130" s="658"/>
      <c r="B130" s="262">
        <v>0</v>
      </c>
      <c r="C130" s="209"/>
      <c r="D130" s="102"/>
      <c r="E130" s="103"/>
      <c r="F130" s="82" t="s">
        <v>253</v>
      </c>
      <c r="G130" s="100"/>
      <c r="H130" s="84">
        <f t="shared" si="84"/>
        <v>0</v>
      </c>
      <c r="I130" s="97"/>
      <c r="J130" s="86"/>
      <c r="K130" s="100"/>
      <c r="L130" s="131"/>
      <c r="M130" s="137"/>
      <c r="N130" s="83"/>
      <c r="O130" s="87"/>
      <c r="P130" s="89"/>
      <c r="Q130" s="90"/>
      <c r="R130" s="91"/>
      <c r="S130" s="660"/>
      <c r="T130" s="92"/>
      <c r="U130" s="92"/>
      <c r="V130" s="65"/>
      <c r="W130" s="307">
        <f t="shared" si="87"/>
        <v>0</v>
      </c>
      <c r="X130" s="108"/>
      <c r="Y130" s="108"/>
      <c r="Z130" s="96"/>
      <c r="AA130" s="96"/>
      <c r="AB130" s="657"/>
      <c r="AC130" s="657"/>
      <c r="AD130" s="97"/>
      <c r="AE130" s="97"/>
      <c r="AF130" s="118"/>
      <c r="AG130" s="125"/>
      <c r="AH130" s="662"/>
    </row>
    <row r="131" spans="1:34" ht="18" customHeight="1">
      <c r="A131" s="658"/>
      <c r="B131" s="262">
        <v>0</v>
      </c>
      <c r="C131" s="209"/>
      <c r="D131" s="102"/>
      <c r="E131" s="169"/>
      <c r="F131" s="82" t="s">
        <v>253</v>
      </c>
      <c r="G131" s="272"/>
      <c r="H131" s="84">
        <f t="shared" si="84"/>
        <v>0</v>
      </c>
      <c r="I131" s="289"/>
      <c r="J131" s="86"/>
      <c r="K131" s="83"/>
      <c r="L131" s="87"/>
      <c r="M131" s="130"/>
      <c r="N131" s="83"/>
      <c r="O131" s="87"/>
      <c r="P131" s="89"/>
      <c r="Q131" s="90"/>
      <c r="R131" s="91"/>
      <c r="S131" s="660"/>
      <c r="T131" s="92"/>
      <c r="U131" s="92"/>
      <c r="V131" s="65"/>
      <c r="W131" s="307">
        <f t="shared" si="87"/>
        <v>0</v>
      </c>
      <c r="X131" s="108"/>
      <c r="Y131" s="108"/>
      <c r="Z131" s="96"/>
      <c r="AA131" s="96"/>
      <c r="AB131" s="657"/>
      <c r="AC131" s="657"/>
      <c r="AD131" s="97"/>
      <c r="AE131" s="97"/>
      <c r="AF131" s="118"/>
      <c r="AG131" s="125"/>
      <c r="AH131" s="662"/>
    </row>
    <row r="132" spans="1:34" ht="18" customHeight="1">
      <c r="A132" s="658"/>
      <c r="B132" s="262">
        <v>0</v>
      </c>
      <c r="C132" s="209"/>
      <c r="D132" s="102"/>
      <c r="E132" s="103"/>
      <c r="F132" s="82" t="s">
        <v>253</v>
      </c>
      <c r="G132" s="100"/>
      <c r="H132" s="84">
        <f t="shared" si="84"/>
        <v>0</v>
      </c>
      <c r="I132" s="97"/>
      <c r="J132" s="130"/>
      <c r="K132" s="100"/>
      <c r="L132" s="131"/>
      <c r="M132" s="137"/>
      <c r="N132" s="100"/>
      <c r="O132" s="131"/>
      <c r="P132" s="96"/>
      <c r="Q132" s="132"/>
      <c r="R132" s="133"/>
      <c r="S132" s="660"/>
      <c r="T132" s="92"/>
      <c r="U132" s="92"/>
      <c r="V132" s="65"/>
      <c r="W132" s="307">
        <f t="shared" si="87"/>
        <v>0</v>
      </c>
      <c r="X132" s="108"/>
      <c r="Y132" s="108"/>
      <c r="Z132" s="96"/>
      <c r="AA132" s="96"/>
      <c r="AB132" s="657"/>
      <c r="AC132" s="657"/>
      <c r="AD132" s="97"/>
      <c r="AE132" s="97"/>
      <c r="AF132" s="118"/>
      <c r="AG132" s="125"/>
      <c r="AH132" s="662"/>
    </row>
    <row r="133" spans="1:34" ht="18" customHeight="1">
      <c r="A133" s="658"/>
      <c r="B133" s="262">
        <v>0</v>
      </c>
      <c r="C133" s="209"/>
      <c r="D133" s="102"/>
      <c r="E133" s="103"/>
      <c r="F133" s="308" t="s">
        <v>253</v>
      </c>
      <c r="G133" s="100"/>
      <c r="H133" s="309">
        <f>F133*G133</f>
        <v>0</v>
      </c>
      <c r="I133" s="97"/>
      <c r="J133" s="130"/>
      <c r="K133" s="100"/>
      <c r="L133" s="131"/>
      <c r="M133" s="137"/>
      <c r="N133" s="100"/>
      <c r="O133" s="131"/>
      <c r="P133" s="96"/>
      <c r="Q133" s="132"/>
      <c r="R133" s="133"/>
      <c r="S133" s="660"/>
      <c r="T133" s="92"/>
      <c r="U133" s="92"/>
      <c r="V133" s="65"/>
      <c r="W133" s="307">
        <f t="shared" si="87"/>
        <v>0</v>
      </c>
      <c r="X133" s="108"/>
      <c r="Y133" s="108"/>
      <c r="Z133" s="96"/>
      <c r="AA133" s="96"/>
      <c r="AB133" s="657"/>
      <c r="AC133" s="657"/>
      <c r="AD133" s="97"/>
      <c r="AE133" s="97"/>
      <c r="AF133" s="118"/>
      <c r="AG133" s="125"/>
      <c r="AH133" s="662"/>
    </row>
    <row r="134" spans="1:34" ht="18" customHeight="1">
      <c r="A134" s="658"/>
      <c r="B134" s="222">
        <v>0</v>
      </c>
      <c r="C134" s="138" t="s">
        <v>22</v>
      </c>
      <c r="D134" s="630" t="s">
        <v>220</v>
      </c>
      <c r="E134" s="630"/>
      <c r="F134" s="243"/>
      <c r="G134" s="140"/>
      <c r="H134" s="141"/>
      <c r="I134" s="310"/>
      <c r="J134" s="311">
        <v>18.142857142857142</v>
      </c>
      <c r="K134" s="311">
        <v>1508.2857142857142</v>
      </c>
      <c r="L134" s="312">
        <v>83.377389552312152</v>
      </c>
      <c r="M134" s="311">
        <f t="shared" ref="M134:O134" si="88">AVERAGE(M122:M133)</f>
        <v>17.857142857142858</v>
      </c>
      <c r="N134" s="311">
        <f t="shared" si="88"/>
        <v>1228.1867325006817</v>
      </c>
      <c r="O134" s="312">
        <f t="shared" si="88"/>
        <v>68.854981555575009</v>
      </c>
      <c r="P134" s="93">
        <f t="shared" ref="P134:P142" si="89">M134-J134</f>
        <v>-0.2857142857142847</v>
      </c>
      <c r="Q134" s="189">
        <f t="shared" ref="Q134:Q142" si="90">O134-L134</f>
        <v>-14.522407996737144</v>
      </c>
      <c r="R134" s="313">
        <f t="shared" ref="R134:R142" si="91">O134/L134</f>
        <v>0.82582318690098133</v>
      </c>
      <c r="S134" s="659"/>
      <c r="T134" s="92"/>
      <c r="U134" s="92"/>
      <c r="V134" s="65"/>
      <c r="W134" s="65"/>
      <c r="X134" s="95"/>
      <c r="Y134" s="95"/>
      <c r="Z134" s="145">
        <f>SUM(Z122:Z133)</f>
        <v>0</v>
      </c>
      <c r="AA134" s="145">
        <f>SUM(AA122:AA133)</f>
        <v>0</v>
      </c>
      <c r="AB134" s="644"/>
      <c r="AC134" s="644"/>
      <c r="AD134" s="146">
        <f>SUM(AD122:AD133)</f>
        <v>0</v>
      </c>
      <c r="AE134" s="146">
        <f>SUM(AE122:AE133)</f>
        <v>0</v>
      </c>
      <c r="AF134" s="89">
        <f t="shared" si="63"/>
        <v>-280.09898178503249</v>
      </c>
      <c r="AG134" s="91">
        <f t="shared" si="64"/>
        <v>0.8142931547172545</v>
      </c>
      <c r="AH134" s="662"/>
    </row>
    <row r="135" spans="1:34" ht="18" customHeight="1">
      <c r="A135" s="647" t="s">
        <v>232</v>
      </c>
      <c r="B135" s="65" t="s">
        <v>251</v>
      </c>
      <c r="C135" s="97"/>
      <c r="D135" s="168" t="s">
        <v>170</v>
      </c>
      <c r="E135" s="169"/>
      <c r="F135" s="82">
        <v>49.91</v>
      </c>
      <c r="G135" s="100">
        <v>439</v>
      </c>
      <c r="H135" s="314">
        <f t="shared" ref="H135:H146" si="92">F135*G135</f>
        <v>21910.489999999998</v>
      </c>
      <c r="I135" s="97"/>
      <c r="J135" s="86">
        <v>16</v>
      </c>
      <c r="K135" s="100">
        <v>1500</v>
      </c>
      <c r="L135" s="131">
        <v>93.75</v>
      </c>
      <c r="M135" s="155">
        <v>16</v>
      </c>
      <c r="N135" s="100">
        <f t="shared" ref="N135:N142" si="93">G135/W135*60</f>
        <v>1097.4999999999966</v>
      </c>
      <c r="O135" s="157">
        <f t="shared" ref="O135:O142" si="94">N135/M135</f>
        <v>68.593749999999787</v>
      </c>
      <c r="P135" s="96">
        <f t="shared" si="89"/>
        <v>0</v>
      </c>
      <c r="Q135" s="132">
        <f t="shared" si="90"/>
        <v>-25.156250000000213</v>
      </c>
      <c r="R135" s="133">
        <f t="shared" si="91"/>
        <v>0.73166666666666436</v>
      </c>
      <c r="S135" s="651">
        <f>R147</f>
        <v>0.83180435866840785</v>
      </c>
      <c r="T135" s="315">
        <v>0.5</v>
      </c>
      <c r="U135" s="92">
        <v>0.51666666666666672</v>
      </c>
      <c r="V135" s="192">
        <v>5</v>
      </c>
      <c r="W135" s="316">
        <f t="shared" ref="W135:W147" si="95">(U135-T135)*24*60</f>
        <v>24.000000000000075</v>
      </c>
      <c r="X135" s="213"/>
      <c r="Y135" s="213"/>
      <c r="Z135" s="96"/>
      <c r="AA135" s="96"/>
      <c r="AB135" s="654"/>
      <c r="AC135" s="654"/>
      <c r="AD135" s="97"/>
      <c r="AE135" s="97"/>
      <c r="AF135" s="158">
        <f t="shared" si="63"/>
        <v>-402.50000000000341</v>
      </c>
      <c r="AG135" s="163">
        <f t="shared" si="64"/>
        <v>0.73166666666666436</v>
      </c>
      <c r="AH135" s="632">
        <f>AG147</f>
        <v>0.8438562568057244</v>
      </c>
    </row>
    <row r="136" spans="1:34" ht="20.399999999999999" customHeight="1">
      <c r="A136" s="648"/>
      <c r="B136" s="65" t="s">
        <v>251</v>
      </c>
      <c r="C136" s="97"/>
      <c r="D136" s="168" t="s">
        <v>171</v>
      </c>
      <c r="E136" s="317"/>
      <c r="F136" s="82">
        <v>57.734999999999999</v>
      </c>
      <c r="G136" s="100">
        <v>2055</v>
      </c>
      <c r="H136" s="129">
        <f t="shared" si="92"/>
        <v>118645.425</v>
      </c>
      <c r="I136" s="97"/>
      <c r="J136" s="86">
        <v>16</v>
      </c>
      <c r="K136" s="100">
        <v>1565</v>
      </c>
      <c r="L136" s="131">
        <v>97.8125</v>
      </c>
      <c r="M136" s="137">
        <v>15</v>
      </c>
      <c r="N136" s="100">
        <f t="shared" si="93"/>
        <v>1401.1363636363635</v>
      </c>
      <c r="O136" s="131">
        <f t="shared" si="94"/>
        <v>93.409090909090907</v>
      </c>
      <c r="P136" s="96">
        <f t="shared" si="89"/>
        <v>-1</v>
      </c>
      <c r="Q136" s="132">
        <f t="shared" si="90"/>
        <v>-4.4034090909090935</v>
      </c>
      <c r="R136" s="133">
        <f t="shared" si="91"/>
        <v>0.95498112111530642</v>
      </c>
      <c r="S136" s="651"/>
      <c r="T136" s="315">
        <v>0.52152777777777781</v>
      </c>
      <c r="U136" s="92">
        <v>0.58263888888888893</v>
      </c>
      <c r="V136" s="192">
        <v>7</v>
      </c>
      <c r="W136" s="85">
        <f t="shared" si="95"/>
        <v>88</v>
      </c>
      <c r="X136" s="95"/>
      <c r="Y136" s="95"/>
      <c r="Z136" s="96"/>
      <c r="AA136" s="96"/>
      <c r="AB136" s="644"/>
      <c r="AC136" s="644"/>
      <c r="AD136" s="97"/>
      <c r="AE136" s="97"/>
      <c r="AF136" s="89">
        <f t="shared" si="63"/>
        <v>-163.86363636363649</v>
      </c>
      <c r="AG136" s="170">
        <f t="shared" si="64"/>
        <v>0.89529480104559966</v>
      </c>
      <c r="AH136" s="632"/>
    </row>
    <row r="137" spans="1:34" ht="18" customHeight="1">
      <c r="A137" s="648"/>
      <c r="B137" s="65" t="s">
        <v>251</v>
      </c>
      <c r="C137" s="97"/>
      <c r="D137" s="168" t="s">
        <v>172</v>
      </c>
      <c r="E137" s="169"/>
      <c r="F137" s="82">
        <v>50.67</v>
      </c>
      <c r="G137" s="272">
        <v>813</v>
      </c>
      <c r="H137" s="129">
        <f t="shared" si="92"/>
        <v>41194.71</v>
      </c>
      <c r="I137" s="289"/>
      <c r="J137" s="86">
        <v>17</v>
      </c>
      <c r="K137" s="83">
        <v>1500</v>
      </c>
      <c r="L137" s="87">
        <v>88.235294117647058</v>
      </c>
      <c r="M137" s="130">
        <v>18</v>
      </c>
      <c r="N137" s="100">
        <f t="shared" si="93"/>
        <v>1283.6842105263147</v>
      </c>
      <c r="O137" s="131">
        <f t="shared" si="94"/>
        <v>71.315789473684148</v>
      </c>
      <c r="P137" s="96">
        <f t="shared" si="89"/>
        <v>1</v>
      </c>
      <c r="Q137" s="132">
        <f t="shared" si="90"/>
        <v>-16.91950464396291</v>
      </c>
      <c r="R137" s="133">
        <f t="shared" si="91"/>
        <v>0.80824561403508699</v>
      </c>
      <c r="S137" s="651"/>
      <c r="T137" s="92">
        <v>0.70833333333333337</v>
      </c>
      <c r="U137" s="92">
        <v>0.73472222222222228</v>
      </c>
      <c r="V137" s="318">
        <v>5</v>
      </c>
      <c r="W137" s="85">
        <f t="shared" si="95"/>
        <v>38.000000000000028</v>
      </c>
      <c r="X137" s="95"/>
      <c r="Y137" s="95"/>
      <c r="Z137" s="96"/>
      <c r="AA137" s="96"/>
      <c r="AB137" s="644"/>
      <c r="AC137" s="644"/>
      <c r="AD137" s="97"/>
      <c r="AE137" s="97"/>
      <c r="AF137" s="89">
        <f t="shared" si="63"/>
        <v>-216.3157894736853</v>
      </c>
      <c r="AG137" s="170">
        <f t="shared" si="64"/>
        <v>0.85578947368420977</v>
      </c>
      <c r="AH137" s="632"/>
    </row>
    <row r="138" spans="1:34" ht="18" customHeight="1">
      <c r="A138" s="648"/>
      <c r="B138" s="65" t="s">
        <v>251</v>
      </c>
      <c r="C138" s="291"/>
      <c r="D138" s="168" t="s">
        <v>173</v>
      </c>
      <c r="E138" s="169"/>
      <c r="F138" s="82">
        <v>54.09</v>
      </c>
      <c r="G138" s="100">
        <v>1062</v>
      </c>
      <c r="H138" s="129">
        <f t="shared" si="92"/>
        <v>57443.58</v>
      </c>
      <c r="I138" s="97"/>
      <c r="J138" s="130">
        <v>18</v>
      </c>
      <c r="K138" s="100">
        <v>1500</v>
      </c>
      <c r="L138" s="131">
        <v>83.333333333333329</v>
      </c>
      <c r="M138" s="155">
        <v>18</v>
      </c>
      <c r="N138" s="100">
        <f t="shared" si="93"/>
        <v>1300.4081632653065</v>
      </c>
      <c r="O138" s="131">
        <f t="shared" si="94"/>
        <v>72.244897959183689</v>
      </c>
      <c r="P138" s="96">
        <f t="shared" si="89"/>
        <v>0</v>
      </c>
      <c r="Q138" s="132">
        <f t="shared" si="90"/>
        <v>-11.08843537414964</v>
      </c>
      <c r="R138" s="242">
        <f t="shared" si="91"/>
        <v>0.86693877551020426</v>
      </c>
      <c r="S138" s="651"/>
      <c r="T138" s="92">
        <v>0.73888888888888893</v>
      </c>
      <c r="U138" s="92">
        <v>0.7729166666666667</v>
      </c>
      <c r="V138" s="318">
        <v>6</v>
      </c>
      <c r="W138" s="85">
        <f t="shared" si="95"/>
        <v>48.999999999999986</v>
      </c>
      <c r="X138" s="95"/>
      <c r="Y138" s="95"/>
      <c r="Z138" s="96"/>
      <c r="AA138" s="96"/>
      <c r="AB138" s="644"/>
      <c r="AC138" s="644"/>
      <c r="AD138" s="97"/>
      <c r="AE138" s="97"/>
      <c r="AF138" s="89">
        <f t="shared" si="63"/>
        <v>-199.59183673469352</v>
      </c>
      <c r="AG138" s="170">
        <f t="shared" si="64"/>
        <v>0.86693877551020437</v>
      </c>
      <c r="AH138" s="632"/>
    </row>
    <row r="139" spans="1:34" ht="18" customHeight="1">
      <c r="A139" s="648"/>
      <c r="B139" s="65" t="s">
        <v>251</v>
      </c>
      <c r="C139" s="219"/>
      <c r="D139" s="80" t="s">
        <v>174</v>
      </c>
      <c r="E139" s="81"/>
      <c r="F139" s="82">
        <v>50.67</v>
      </c>
      <c r="G139" s="100">
        <v>1073</v>
      </c>
      <c r="H139" s="129">
        <f t="shared" si="92"/>
        <v>54368.91</v>
      </c>
      <c r="I139" s="97"/>
      <c r="J139" s="86">
        <v>18</v>
      </c>
      <c r="K139" s="83">
        <v>1440</v>
      </c>
      <c r="L139" s="87">
        <v>80</v>
      </c>
      <c r="M139" s="155">
        <v>18</v>
      </c>
      <c r="N139" s="100">
        <f t="shared" si="93"/>
        <v>1287.6000000000004</v>
      </c>
      <c r="O139" s="131">
        <f t="shared" si="94"/>
        <v>71.53333333333336</v>
      </c>
      <c r="P139" s="96">
        <f t="shared" si="89"/>
        <v>0</v>
      </c>
      <c r="Q139" s="132">
        <f t="shared" si="90"/>
        <v>-8.4666666666666401</v>
      </c>
      <c r="R139" s="133">
        <f t="shared" si="91"/>
        <v>0.894166666666667</v>
      </c>
      <c r="S139" s="651"/>
      <c r="T139" s="92">
        <v>0.77777777777777779</v>
      </c>
      <c r="U139" s="92">
        <v>0.8125</v>
      </c>
      <c r="V139" s="319">
        <v>7</v>
      </c>
      <c r="W139" s="85">
        <f t="shared" si="95"/>
        <v>49.999999999999986</v>
      </c>
      <c r="X139" s="95"/>
      <c r="Y139" s="95"/>
      <c r="Z139" s="96"/>
      <c r="AA139" s="96"/>
      <c r="AB139" s="654"/>
      <c r="AC139" s="654"/>
      <c r="AD139" s="97"/>
      <c r="AE139" s="97"/>
      <c r="AF139" s="89">
        <f t="shared" si="63"/>
        <v>-152.39999999999964</v>
      </c>
      <c r="AG139" s="170">
        <f t="shared" si="64"/>
        <v>0.89416666666666689</v>
      </c>
      <c r="AH139" s="632"/>
    </row>
    <row r="140" spans="1:34" ht="18" customHeight="1">
      <c r="A140" s="649"/>
      <c r="B140" s="65" t="s">
        <v>251</v>
      </c>
      <c r="C140" s="219"/>
      <c r="D140" s="320" t="s">
        <v>175</v>
      </c>
      <c r="E140" s="169"/>
      <c r="F140" s="82">
        <v>57.3</v>
      </c>
      <c r="G140" s="100">
        <v>1658</v>
      </c>
      <c r="H140" s="129">
        <f t="shared" si="92"/>
        <v>95003.4</v>
      </c>
      <c r="I140" s="97"/>
      <c r="J140" s="130">
        <v>15</v>
      </c>
      <c r="K140" s="100">
        <v>1500</v>
      </c>
      <c r="L140" s="131">
        <v>100</v>
      </c>
      <c r="M140" s="155">
        <v>16</v>
      </c>
      <c r="N140" s="100">
        <f t="shared" si="93"/>
        <v>1291.9480519480512</v>
      </c>
      <c r="O140" s="131">
        <f t="shared" si="94"/>
        <v>80.746753246753201</v>
      </c>
      <c r="P140" s="96">
        <f t="shared" si="89"/>
        <v>1</v>
      </c>
      <c r="Q140" s="132">
        <f t="shared" si="90"/>
        <v>-19.253246753246799</v>
      </c>
      <c r="R140" s="242">
        <f t="shared" si="91"/>
        <v>0.807467532467532</v>
      </c>
      <c r="S140" s="652"/>
      <c r="T140" s="107">
        <v>0.82847222222222228</v>
      </c>
      <c r="U140" s="321">
        <v>0.88194444444444453</v>
      </c>
      <c r="V140" s="322">
        <v>23</v>
      </c>
      <c r="W140" s="85">
        <f t="shared" si="95"/>
        <v>77.000000000000043</v>
      </c>
      <c r="X140" s="95">
        <v>0.81597222222222221</v>
      </c>
      <c r="Y140" s="95">
        <v>0.8256944444444444</v>
      </c>
      <c r="Z140" s="96"/>
      <c r="AA140" s="96"/>
      <c r="AB140" s="645"/>
      <c r="AC140" s="646"/>
      <c r="AD140" s="97"/>
      <c r="AE140" s="97"/>
      <c r="AF140" s="89">
        <f t="shared" si="63"/>
        <v>-208.05194805194878</v>
      </c>
      <c r="AG140" s="170">
        <f t="shared" si="64"/>
        <v>0.86129870129870079</v>
      </c>
      <c r="AH140" s="632"/>
    </row>
    <row r="141" spans="1:34" ht="18" customHeight="1">
      <c r="A141" s="649"/>
      <c r="B141" s="65" t="s">
        <v>251</v>
      </c>
      <c r="C141" s="219"/>
      <c r="D141" s="80" t="s">
        <v>176</v>
      </c>
      <c r="E141" s="323"/>
      <c r="F141" s="82">
        <v>50.49</v>
      </c>
      <c r="G141" s="100">
        <v>1235</v>
      </c>
      <c r="H141" s="129">
        <f t="shared" si="92"/>
        <v>62355.15</v>
      </c>
      <c r="I141" s="97"/>
      <c r="J141" s="86">
        <v>15</v>
      </c>
      <c r="K141" s="83">
        <v>1440</v>
      </c>
      <c r="L141" s="87">
        <v>96</v>
      </c>
      <c r="M141" s="155">
        <v>16</v>
      </c>
      <c r="N141" s="100">
        <f t="shared" si="93"/>
        <v>1277.5862068965528</v>
      </c>
      <c r="O141" s="131">
        <f t="shared" si="94"/>
        <v>79.849137931034548</v>
      </c>
      <c r="P141" s="96">
        <f t="shared" si="89"/>
        <v>1</v>
      </c>
      <c r="Q141" s="132">
        <f t="shared" si="90"/>
        <v>-16.150862068965452</v>
      </c>
      <c r="R141" s="133">
        <f t="shared" si="91"/>
        <v>0.83176185344827658</v>
      </c>
      <c r="S141" s="652"/>
      <c r="T141" s="107">
        <v>0.88541666666666674</v>
      </c>
      <c r="U141" s="321">
        <v>0.92569444444444449</v>
      </c>
      <c r="V141" s="98">
        <v>5</v>
      </c>
      <c r="W141" s="85">
        <f t="shared" si="95"/>
        <v>57.999999999999957</v>
      </c>
      <c r="X141" s="95"/>
      <c r="Y141" s="95"/>
      <c r="Z141" s="96"/>
      <c r="AA141" s="96"/>
      <c r="AB141" s="655"/>
      <c r="AC141" s="656"/>
      <c r="AD141" s="97"/>
      <c r="AE141" s="97"/>
      <c r="AF141" s="89">
        <f t="shared" si="63"/>
        <v>-162.41379310344723</v>
      </c>
      <c r="AG141" s="170">
        <f t="shared" si="64"/>
        <v>0.88721264367816166</v>
      </c>
      <c r="AH141" s="632"/>
    </row>
    <row r="142" spans="1:34" ht="18" customHeight="1">
      <c r="A142" s="649"/>
      <c r="B142" s="65" t="s">
        <v>251</v>
      </c>
      <c r="C142" s="219"/>
      <c r="D142" s="80" t="s">
        <v>160</v>
      </c>
      <c r="E142" s="323"/>
      <c r="F142" s="82">
        <v>58.17</v>
      </c>
      <c r="G142" s="100">
        <v>399.8</v>
      </c>
      <c r="H142" s="129">
        <f t="shared" si="92"/>
        <v>23256.366000000002</v>
      </c>
      <c r="I142" s="97">
        <v>2</v>
      </c>
      <c r="J142" s="130">
        <v>18</v>
      </c>
      <c r="K142" s="100">
        <v>1385</v>
      </c>
      <c r="L142" s="131">
        <v>76.944444444444443</v>
      </c>
      <c r="M142" s="155">
        <v>18</v>
      </c>
      <c r="N142" s="100">
        <f t="shared" si="93"/>
        <v>1042.9565217391341</v>
      </c>
      <c r="O142" s="131">
        <f t="shared" si="94"/>
        <v>57.942028985507449</v>
      </c>
      <c r="P142" s="96">
        <f t="shared" si="89"/>
        <v>0</v>
      </c>
      <c r="Q142" s="132">
        <f t="shared" si="90"/>
        <v>-19.002415458936994</v>
      </c>
      <c r="R142" s="242">
        <f t="shared" si="91"/>
        <v>0.75303719981164918</v>
      </c>
      <c r="S142" s="652"/>
      <c r="T142" s="107">
        <v>0.92986111111111114</v>
      </c>
      <c r="U142" s="321">
        <v>0.9458333333333333</v>
      </c>
      <c r="V142" s="98">
        <v>6</v>
      </c>
      <c r="W142" s="85">
        <f t="shared" si="95"/>
        <v>22.999999999999918</v>
      </c>
      <c r="X142" s="95"/>
      <c r="Y142" s="95"/>
      <c r="Z142" s="96"/>
      <c r="AA142" s="96"/>
      <c r="AB142" s="645"/>
      <c r="AC142" s="646"/>
      <c r="AD142" s="97"/>
      <c r="AE142" s="97"/>
      <c r="AF142" s="89">
        <f t="shared" si="63"/>
        <v>-342.04347826086587</v>
      </c>
      <c r="AG142" s="170">
        <f t="shared" si="64"/>
        <v>0.75303719981164918</v>
      </c>
      <c r="AH142" s="632"/>
    </row>
    <row r="143" spans="1:34" ht="18" customHeight="1">
      <c r="A143" s="649"/>
      <c r="B143" s="65">
        <v>0</v>
      </c>
      <c r="C143" s="324"/>
      <c r="D143" s="168"/>
      <c r="E143" s="169"/>
      <c r="F143" s="82"/>
      <c r="G143" s="100"/>
      <c r="H143" s="129"/>
      <c r="I143" s="97"/>
      <c r="J143" s="130"/>
      <c r="K143" s="100"/>
      <c r="L143" s="131"/>
      <c r="M143" s="155"/>
      <c r="N143" s="100"/>
      <c r="O143" s="131"/>
      <c r="P143" s="96"/>
      <c r="Q143" s="132"/>
      <c r="R143" s="242"/>
      <c r="S143" s="652"/>
      <c r="T143" s="107"/>
      <c r="U143" s="321"/>
      <c r="V143" s="98"/>
      <c r="W143" s="85">
        <f t="shared" si="95"/>
        <v>0</v>
      </c>
      <c r="X143" s="95"/>
      <c r="Y143" s="95"/>
      <c r="Z143" s="96"/>
      <c r="AA143" s="96"/>
      <c r="AB143" s="645"/>
      <c r="AC143" s="646"/>
      <c r="AD143" s="97"/>
      <c r="AE143" s="97"/>
      <c r="AF143" s="89">
        <f t="shared" si="63"/>
        <v>0</v>
      </c>
      <c r="AG143" s="170" t="e">
        <f t="shared" si="64"/>
        <v>#DIV/0!</v>
      </c>
      <c r="AH143" s="632"/>
    </row>
    <row r="144" spans="1:34" ht="18" customHeight="1">
      <c r="A144" s="649"/>
      <c r="B144" s="65">
        <v>0</v>
      </c>
      <c r="C144" s="219"/>
      <c r="D144" s="80"/>
      <c r="E144" s="323"/>
      <c r="F144" s="82" t="s">
        <v>253</v>
      </c>
      <c r="G144" s="100"/>
      <c r="H144" s="129">
        <f t="shared" si="92"/>
        <v>0</v>
      </c>
      <c r="I144" s="97"/>
      <c r="J144" s="130"/>
      <c r="K144" s="100"/>
      <c r="L144" s="131"/>
      <c r="M144" s="137"/>
      <c r="N144" s="100"/>
      <c r="O144" s="131"/>
      <c r="P144" s="96"/>
      <c r="Q144" s="132"/>
      <c r="R144" s="133"/>
      <c r="S144" s="652"/>
      <c r="T144" s="107"/>
      <c r="U144" s="321"/>
      <c r="V144" s="98"/>
      <c r="W144" s="85">
        <f t="shared" si="95"/>
        <v>0</v>
      </c>
      <c r="X144" s="95"/>
      <c r="Y144" s="95"/>
      <c r="Z144" s="96"/>
      <c r="AA144" s="96"/>
      <c r="AB144" s="645"/>
      <c r="AC144" s="646"/>
      <c r="AD144" s="97"/>
      <c r="AE144" s="97"/>
      <c r="AF144" s="89">
        <f t="shared" si="63"/>
        <v>0</v>
      </c>
      <c r="AG144" s="170" t="e">
        <f t="shared" si="64"/>
        <v>#DIV/0!</v>
      </c>
      <c r="AH144" s="632"/>
    </row>
    <row r="145" spans="1:34" ht="18" customHeight="1">
      <c r="A145" s="649"/>
      <c r="B145" s="65">
        <v>0</v>
      </c>
      <c r="C145" s="219"/>
      <c r="D145" s="80"/>
      <c r="E145" s="323"/>
      <c r="F145" s="82" t="s">
        <v>253</v>
      </c>
      <c r="G145" s="100"/>
      <c r="H145" s="129">
        <f t="shared" si="92"/>
        <v>0</v>
      </c>
      <c r="I145" s="97"/>
      <c r="J145" s="130"/>
      <c r="K145" s="100"/>
      <c r="L145" s="131"/>
      <c r="M145" s="137"/>
      <c r="N145" s="100"/>
      <c r="O145" s="131"/>
      <c r="P145" s="96"/>
      <c r="Q145" s="132"/>
      <c r="R145" s="133"/>
      <c r="S145" s="652"/>
      <c r="T145" s="107"/>
      <c r="U145" s="321"/>
      <c r="V145" s="98"/>
      <c r="W145" s="85">
        <f t="shared" si="95"/>
        <v>0</v>
      </c>
      <c r="X145" s="95"/>
      <c r="Y145" s="95"/>
      <c r="Z145" s="96"/>
      <c r="AA145" s="96"/>
      <c r="AB145" s="645"/>
      <c r="AC145" s="646"/>
      <c r="AD145" s="97"/>
      <c r="AE145" s="97"/>
      <c r="AF145" s="89">
        <f t="shared" si="63"/>
        <v>0</v>
      </c>
      <c r="AG145" s="170" t="e">
        <f t="shared" si="64"/>
        <v>#DIV/0!</v>
      </c>
      <c r="AH145" s="632"/>
    </row>
    <row r="146" spans="1:34" ht="18" customHeight="1">
      <c r="A146" s="649"/>
      <c r="B146" s="213">
        <v>0</v>
      </c>
      <c r="C146" s="324"/>
      <c r="D146" s="325"/>
      <c r="E146" s="323"/>
      <c r="F146" s="180" t="s">
        <v>253</v>
      </c>
      <c r="G146" s="100"/>
      <c r="H146" s="129">
        <f t="shared" si="92"/>
        <v>0</v>
      </c>
      <c r="I146" s="97"/>
      <c r="J146" s="130"/>
      <c r="K146" s="100"/>
      <c r="L146" s="131"/>
      <c r="M146" s="137"/>
      <c r="N146" s="100"/>
      <c r="O146" s="131"/>
      <c r="P146" s="96"/>
      <c r="Q146" s="132"/>
      <c r="R146" s="133"/>
      <c r="S146" s="652"/>
      <c r="T146" s="107"/>
      <c r="U146" s="321"/>
      <c r="V146" s="98"/>
      <c r="W146" s="85">
        <f t="shared" si="95"/>
        <v>0</v>
      </c>
      <c r="X146" s="95"/>
      <c r="Y146" s="95"/>
      <c r="Z146" s="96"/>
      <c r="AA146" s="96"/>
      <c r="AB146" s="645"/>
      <c r="AC146" s="646"/>
      <c r="AD146" s="97"/>
      <c r="AE146" s="97"/>
      <c r="AF146" s="96"/>
      <c r="AG146" s="133"/>
      <c r="AH146" s="632"/>
    </row>
    <row r="147" spans="1:34" ht="18" customHeight="1">
      <c r="A147" s="650"/>
      <c r="B147" s="326">
        <v>0</v>
      </c>
      <c r="C147" s="138" t="s">
        <v>23</v>
      </c>
      <c r="D147" s="630" t="s">
        <v>220</v>
      </c>
      <c r="E147" s="630"/>
      <c r="F147" s="327"/>
      <c r="G147" s="140"/>
      <c r="H147" s="141"/>
      <c r="I147" s="142"/>
      <c r="J147" s="140">
        <v>16.625</v>
      </c>
      <c r="K147" s="140">
        <v>1478.75</v>
      </c>
      <c r="L147" s="143">
        <v>89.509446486928098</v>
      </c>
      <c r="M147" s="311">
        <f t="shared" ref="M147:O147" si="96">AVERAGE(M135:M146)</f>
        <v>16.875</v>
      </c>
      <c r="N147" s="311">
        <f t="shared" si="96"/>
        <v>1247.852439751465</v>
      </c>
      <c r="O147" s="312">
        <f t="shared" si="96"/>
        <v>74.454347729823397</v>
      </c>
      <c r="P147" s="93">
        <f t="shared" ref="P147:P150" si="97">M147-J147</f>
        <v>0.25</v>
      </c>
      <c r="Q147" s="189">
        <f t="shared" ref="Q147:Q150" si="98">O147-L147</f>
        <v>-15.055098757104702</v>
      </c>
      <c r="R147" s="328">
        <f t="shared" ref="R147:R150" si="99">O147/L147</f>
        <v>0.83180435866840785</v>
      </c>
      <c r="S147" s="653"/>
      <c r="T147" s="107"/>
      <c r="U147" s="107"/>
      <c r="V147" s="98"/>
      <c r="W147" s="85">
        <f t="shared" si="95"/>
        <v>0</v>
      </c>
      <c r="X147" s="95"/>
      <c r="Y147" s="95"/>
      <c r="Z147" s="145">
        <f>SUM(Z135:Z146)</f>
        <v>0</v>
      </c>
      <c r="AA147" s="145">
        <f>SUM(AA135:AA146)</f>
        <v>0</v>
      </c>
      <c r="AB147" s="637"/>
      <c r="AC147" s="637"/>
      <c r="AD147" s="146">
        <f>SUM(AD135:AD146)</f>
        <v>0</v>
      </c>
      <c r="AE147" s="146">
        <f>SUM(AE135:AE146)</f>
        <v>0</v>
      </c>
      <c r="AF147" s="266">
        <f t="shared" si="63"/>
        <v>-230.897560248535</v>
      </c>
      <c r="AG147" s="329">
        <f t="shared" si="64"/>
        <v>0.8438562568057244</v>
      </c>
      <c r="AH147" s="632"/>
    </row>
    <row r="148" spans="1:34" ht="18" customHeight="1">
      <c r="A148" s="638" t="s">
        <v>233</v>
      </c>
      <c r="B148" s="97" t="s">
        <v>251</v>
      </c>
      <c r="C148" s="126"/>
      <c r="D148" s="228" t="s">
        <v>178</v>
      </c>
      <c r="E148" s="81"/>
      <c r="F148" s="183">
        <v>50.92</v>
      </c>
      <c r="G148" s="100">
        <v>1943</v>
      </c>
      <c r="H148" s="129">
        <f t="shared" ref="H148:H172" si="100">F148*G148</f>
        <v>98937.56</v>
      </c>
      <c r="I148" s="330"/>
      <c r="J148" s="130">
        <v>17</v>
      </c>
      <c r="K148" s="100">
        <v>1440</v>
      </c>
      <c r="L148" s="131">
        <v>84.705882352941174</v>
      </c>
      <c r="M148" s="155">
        <v>16</v>
      </c>
      <c r="N148" s="83">
        <f>G148/W148*60</f>
        <v>1339.9999999999998</v>
      </c>
      <c r="O148" s="87">
        <f>N148/M148</f>
        <v>83.749999999999986</v>
      </c>
      <c r="P148" s="89">
        <f t="shared" si="97"/>
        <v>-1</v>
      </c>
      <c r="Q148" s="90">
        <f t="shared" si="98"/>
        <v>-0.95588235294118817</v>
      </c>
      <c r="R148" s="91">
        <f t="shared" si="99"/>
        <v>0.98871527777777768</v>
      </c>
      <c r="S148" s="639">
        <f>R160</f>
        <v>0.96671357222134091</v>
      </c>
      <c r="T148" s="315">
        <v>0.70833333333333337</v>
      </c>
      <c r="U148" s="92">
        <v>0.76875000000000004</v>
      </c>
      <c r="V148" s="65">
        <v>5</v>
      </c>
      <c r="W148" s="85">
        <f>(U148-T148)*24*60</f>
        <v>87.000000000000014</v>
      </c>
      <c r="X148" s="95"/>
      <c r="Y148" s="95"/>
      <c r="Z148" s="96"/>
      <c r="AA148" s="96"/>
      <c r="AB148" s="641"/>
      <c r="AC148" s="642"/>
      <c r="AD148" s="97"/>
      <c r="AE148" s="97"/>
      <c r="AF148" s="89">
        <f t="shared" si="63"/>
        <v>-100.00000000000023</v>
      </c>
      <c r="AG148" s="170">
        <f t="shared" si="64"/>
        <v>0.93055555555555536</v>
      </c>
      <c r="AH148" s="632">
        <f>AG160</f>
        <v>0.94657932617491392</v>
      </c>
    </row>
    <row r="149" spans="1:34" ht="18" customHeight="1">
      <c r="A149" s="638"/>
      <c r="B149" s="97" t="s">
        <v>251</v>
      </c>
      <c r="C149" s="289"/>
      <c r="D149" s="320" t="s">
        <v>177</v>
      </c>
      <c r="E149" s="103"/>
      <c r="F149" s="183">
        <v>50.29</v>
      </c>
      <c r="G149" s="100">
        <v>1245</v>
      </c>
      <c r="H149" s="129">
        <f t="shared" si="100"/>
        <v>62611.049999999996</v>
      </c>
      <c r="I149" s="330"/>
      <c r="J149" s="130">
        <v>18</v>
      </c>
      <c r="K149" s="100">
        <v>1440</v>
      </c>
      <c r="L149" s="131">
        <v>80</v>
      </c>
      <c r="M149" s="155">
        <v>18</v>
      </c>
      <c r="N149" s="83">
        <f>G149/W149*60</f>
        <v>1333.9285714285725</v>
      </c>
      <c r="O149" s="87">
        <f>N149/M149</f>
        <v>74.107142857142918</v>
      </c>
      <c r="P149" s="89">
        <f t="shared" si="97"/>
        <v>0</v>
      </c>
      <c r="Q149" s="90">
        <f t="shared" si="98"/>
        <v>-5.892857142857082</v>
      </c>
      <c r="R149" s="91">
        <f t="shared" si="99"/>
        <v>0.92633928571428648</v>
      </c>
      <c r="S149" s="640"/>
      <c r="T149" s="315">
        <v>0.77361111111111114</v>
      </c>
      <c r="U149" s="92">
        <v>0.8125</v>
      </c>
      <c r="V149" s="65">
        <v>7</v>
      </c>
      <c r="W149" s="85">
        <f t="shared" ref="W149:W151" si="101">(U149-T149)*24*60</f>
        <v>55.999999999999957</v>
      </c>
      <c r="X149" s="95"/>
      <c r="Y149" s="95"/>
      <c r="Z149" s="96"/>
      <c r="AA149" s="96"/>
      <c r="AB149" s="644"/>
      <c r="AC149" s="644"/>
      <c r="AD149" s="97"/>
      <c r="AE149" s="97"/>
      <c r="AF149" s="89">
        <f t="shared" si="63"/>
        <v>-106.07142857142753</v>
      </c>
      <c r="AG149" s="170">
        <f t="shared" si="64"/>
        <v>0.92633928571428648</v>
      </c>
      <c r="AH149" s="643"/>
    </row>
    <row r="150" spans="1:34" ht="16.25" customHeight="1">
      <c r="A150" s="638"/>
      <c r="B150" s="97" t="s">
        <v>251</v>
      </c>
      <c r="C150" s="289"/>
      <c r="D150" s="231" t="s">
        <v>234</v>
      </c>
      <c r="E150" s="103"/>
      <c r="F150" s="183">
        <v>54.29</v>
      </c>
      <c r="G150" s="100">
        <v>2005</v>
      </c>
      <c r="H150" s="129">
        <f t="shared" si="100"/>
        <v>108851.45</v>
      </c>
      <c r="I150" s="330"/>
      <c r="J150" s="130">
        <v>17</v>
      </c>
      <c r="K150" s="100">
        <v>1440</v>
      </c>
      <c r="L150" s="131">
        <v>84.705882352941174</v>
      </c>
      <c r="M150" s="155">
        <v>17</v>
      </c>
      <c r="N150" s="83">
        <f>G150/W150*60</f>
        <v>1415.2941176470558</v>
      </c>
      <c r="O150" s="87">
        <f>N150/M150</f>
        <v>83.252595155709173</v>
      </c>
      <c r="P150" s="89">
        <f t="shared" si="97"/>
        <v>0</v>
      </c>
      <c r="Q150" s="90">
        <f t="shared" si="98"/>
        <v>-1.4532871972320009</v>
      </c>
      <c r="R150" s="91">
        <f t="shared" si="99"/>
        <v>0.98284313725490002</v>
      </c>
      <c r="S150" s="640"/>
      <c r="T150" s="315">
        <v>0.81736111111111109</v>
      </c>
      <c r="U150" s="92">
        <v>0.87638888888888899</v>
      </c>
      <c r="V150" s="65">
        <v>7</v>
      </c>
      <c r="W150" s="85">
        <f t="shared" si="101"/>
        <v>85.000000000000171</v>
      </c>
      <c r="X150" s="283"/>
      <c r="Y150" s="283"/>
      <c r="Z150" s="284"/>
      <c r="AA150" s="284"/>
      <c r="AB150" s="644"/>
      <c r="AC150" s="644"/>
      <c r="AD150" s="97"/>
      <c r="AE150" s="97"/>
      <c r="AF150" s="89">
        <f t="shared" si="63"/>
        <v>-24.705882352944172</v>
      </c>
      <c r="AG150" s="170">
        <f t="shared" si="64"/>
        <v>0.98284313725489991</v>
      </c>
      <c r="AH150" s="643"/>
    </row>
    <row r="151" spans="1:34" s="286" customFormat="1" ht="18" customHeight="1">
      <c r="A151" s="638"/>
      <c r="B151" s="97">
        <v>0</v>
      </c>
      <c r="C151" s="289"/>
      <c r="D151" s="102"/>
      <c r="E151" s="103"/>
      <c r="F151" s="183" t="s">
        <v>253</v>
      </c>
      <c r="G151" s="100"/>
      <c r="H151" s="129">
        <f t="shared" si="100"/>
        <v>0</v>
      </c>
      <c r="I151" s="330"/>
      <c r="J151" s="130"/>
      <c r="K151" s="100"/>
      <c r="L151" s="131"/>
      <c r="M151" s="155"/>
      <c r="N151" s="83"/>
      <c r="O151" s="87"/>
      <c r="P151" s="89"/>
      <c r="Q151" s="90"/>
      <c r="R151" s="91"/>
      <c r="S151" s="640"/>
      <c r="T151" s="315"/>
      <c r="U151" s="92"/>
      <c r="V151" s="65"/>
      <c r="W151" s="85">
        <f t="shared" si="101"/>
        <v>0</v>
      </c>
      <c r="X151" s="283"/>
      <c r="Y151" s="283"/>
      <c r="Z151" s="284"/>
      <c r="AA151" s="284"/>
      <c r="AB151" s="633"/>
      <c r="AC151" s="633"/>
      <c r="AD151" s="289"/>
      <c r="AE151" s="289"/>
      <c r="AF151" s="89">
        <f t="shared" si="63"/>
        <v>0</v>
      </c>
      <c r="AG151" s="170" t="e">
        <f t="shared" si="64"/>
        <v>#DIV/0!</v>
      </c>
      <c r="AH151" s="643"/>
    </row>
    <row r="152" spans="1:34" s="286" customFormat="1" ht="18" customHeight="1">
      <c r="A152" s="638"/>
      <c r="B152" s="97">
        <v>0</v>
      </c>
      <c r="C152" s="289"/>
      <c r="D152" s="320"/>
      <c r="E152" s="103"/>
      <c r="F152" s="183" t="s">
        <v>253</v>
      </c>
      <c r="G152" s="100"/>
      <c r="H152" s="129">
        <f t="shared" si="100"/>
        <v>0</v>
      </c>
      <c r="I152" s="330"/>
      <c r="J152" s="130"/>
      <c r="K152" s="100"/>
      <c r="L152" s="131"/>
      <c r="M152" s="155"/>
      <c r="N152" s="83"/>
      <c r="O152" s="87"/>
      <c r="P152" s="89"/>
      <c r="Q152" s="90"/>
      <c r="R152" s="91"/>
      <c r="S152" s="640"/>
      <c r="T152" s="331"/>
      <c r="U152" s="107"/>
      <c r="V152" s="105"/>
      <c r="W152" s="85"/>
      <c r="X152" s="287"/>
      <c r="Y152" s="287"/>
      <c r="Z152" s="284"/>
      <c r="AA152" s="284"/>
      <c r="AB152" s="633"/>
      <c r="AC152" s="633"/>
      <c r="AD152" s="289"/>
      <c r="AE152" s="289"/>
      <c r="AF152" s="89">
        <f t="shared" si="63"/>
        <v>0</v>
      </c>
      <c r="AG152" s="170" t="e">
        <f t="shared" si="64"/>
        <v>#DIV/0!</v>
      </c>
      <c r="AH152" s="643"/>
    </row>
    <row r="153" spans="1:34" s="286" customFormat="1" ht="18" customHeight="1">
      <c r="A153" s="638"/>
      <c r="B153" s="97">
        <v>0</v>
      </c>
      <c r="C153" s="289"/>
      <c r="D153" s="320"/>
      <c r="E153" s="103"/>
      <c r="F153" s="183" t="s">
        <v>253</v>
      </c>
      <c r="G153" s="100"/>
      <c r="H153" s="129">
        <f t="shared" si="100"/>
        <v>0</v>
      </c>
      <c r="I153" s="330"/>
      <c r="J153" s="130"/>
      <c r="K153" s="100"/>
      <c r="L153" s="131"/>
      <c r="M153" s="261"/>
      <c r="N153" s="83"/>
      <c r="O153" s="87"/>
      <c r="P153" s="89"/>
      <c r="Q153" s="90"/>
      <c r="R153" s="91"/>
      <c r="S153" s="640"/>
      <c r="T153" s="331"/>
      <c r="U153" s="107"/>
      <c r="V153" s="105"/>
      <c r="W153" s="85">
        <f t="shared" ref="W153:W159" si="102">(U153-T153)*24*60</f>
        <v>0</v>
      </c>
      <c r="X153" s="287"/>
      <c r="Y153" s="287"/>
      <c r="Z153" s="284"/>
      <c r="AA153" s="284"/>
      <c r="AB153" s="633"/>
      <c r="AC153" s="633"/>
      <c r="AD153" s="289"/>
      <c r="AE153" s="289"/>
      <c r="AF153" s="89">
        <f t="shared" si="63"/>
        <v>0</v>
      </c>
      <c r="AG153" s="170" t="e">
        <f t="shared" si="64"/>
        <v>#DIV/0!</v>
      </c>
      <c r="AH153" s="643"/>
    </row>
    <row r="154" spans="1:34" s="286" customFormat="1" ht="18" customHeight="1">
      <c r="A154" s="638"/>
      <c r="B154" s="97">
        <v>0</v>
      </c>
      <c r="C154" s="289"/>
      <c r="D154" s="320"/>
      <c r="E154" s="103"/>
      <c r="F154" s="183" t="s">
        <v>253</v>
      </c>
      <c r="G154" s="100"/>
      <c r="H154" s="129">
        <f t="shared" si="100"/>
        <v>0</v>
      </c>
      <c r="I154" s="330"/>
      <c r="J154" s="332"/>
      <c r="K154" s="299"/>
      <c r="L154" s="87"/>
      <c r="M154" s="261"/>
      <c r="N154" s="234"/>
      <c r="O154" s="292"/>
      <c r="P154" s="333"/>
      <c r="Q154" s="119"/>
      <c r="R154" s="174"/>
      <c r="S154" s="640"/>
      <c r="T154" s="331"/>
      <c r="U154" s="107"/>
      <c r="V154" s="105"/>
      <c r="W154" s="334">
        <f t="shared" si="102"/>
        <v>0</v>
      </c>
      <c r="X154" s="287"/>
      <c r="Y154" s="287"/>
      <c r="Z154" s="284"/>
      <c r="AA154" s="284"/>
      <c r="AB154" s="633"/>
      <c r="AC154" s="633"/>
      <c r="AD154" s="289"/>
      <c r="AE154" s="289"/>
      <c r="AF154" s="89">
        <f t="shared" si="63"/>
        <v>0</v>
      </c>
      <c r="AG154" s="170" t="e">
        <f t="shared" si="64"/>
        <v>#DIV/0!</v>
      </c>
      <c r="AH154" s="643"/>
    </row>
    <row r="155" spans="1:34" s="286" customFormat="1" ht="18" customHeight="1">
      <c r="A155" s="638"/>
      <c r="B155" s="97">
        <v>0</v>
      </c>
      <c r="C155" s="289"/>
      <c r="D155" s="320"/>
      <c r="E155" s="103"/>
      <c r="F155" s="183" t="s">
        <v>253</v>
      </c>
      <c r="G155" s="100"/>
      <c r="H155" s="129">
        <f t="shared" si="100"/>
        <v>0</v>
      </c>
      <c r="I155" s="330"/>
      <c r="J155" s="332"/>
      <c r="K155" s="299"/>
      <c r="L155" s="87"/>
      <c r="M155" s="261"/>
      <c r="N155" s="234"/>
      <c r="O155" s="292"/>
      <c r="P155" s="333"/>
      <c r="Q155" s="119"/>
      <c r="R155" s="174"/>
      <c r="S155" s="640"/>
      <c r="T155" s="331"/>
      <c r="U155" s="107"/>
      <c r="V155" s="105"/>
      <c r="W155" s="334">
        <f t="shared" si="102"/>
        <v>0</v>
      </c>
      <c r="X155" s="287"/>
      <c r="Y155" s="287"/>
      <c r="Z155" s="284"/>
      <c r="AA155" s="284"/>
      <c r="AB155" s="633"/>
      <c r="AC155" s="633"/>
      <c r="AD155" s="289"/>
      <c r="AE155" s="289"/>
      <c r="AF155" s="335"/>
      <c r="AG155" s="174"/>
      <c r="AH155" s="643"/>
    </row>
    <row r="156" spans="1:34" s="286" customFormat="1" ht="18" customHeight="1">
      <c r="A156" s="638"/>
      <c r="B156" s="289">
        <v>0</v>
      </c>
      <c r="C156" s="289"/>
      <c r="D156" s="320"/>
      <c r="E156" s="103"/>
      <c r="F156" s="183" t="s">
        <v>253</v>
      </c>
      <c r="G156" s="100"/>
      <c r="H156" s="129">
        <f t="shared" si="100"/>
        <v>0</v>
      </c>
      <c r="I156" s="330"/>
      <c r="J156" s="332"/>
      <c r="K156" s="299"/>
      <c r="L156" s="87"/>
      <c r="M156" s="261"/>
      <c r="N156" s="234"/>
      <c r="O156" s="292"/>
      <c r="P156" s="333"/>
      <c r="Q156" s="119"/>
      <c r="R156" s="174"/>
      <c r="S156" s="640"/>
      <c r="T156" s="331"/>
      <c r="U156" s="107"/>
      <c r="V156" s="105"/>
      <c r="W156" s="334">
        <f t="shared" si="102"/>
        <v>0</v>
      </c>
      <c r="X156" s="287"/>
      <c r="Y156" s="287"/>
      <c r="Z156" s="284"/>
      <c r="AA156" s="284"/>
      <c r="AB156" s="633"/>
      <c r="AC156" s="633"/>
      <c r="AD156" s="289"/>
      <c r="AE156" s="289"/>
      <c r="AF156" s="335"/>
      <c r="AG156" s="174"/>
      <c r="AH156" s="643"/>
    </row>
    <row r="157" spans="1:34" s="286" customFormat="1" ht="18" customHeight="1">
      <c r="A157" s="638"/>
      <c r="B157" s="289">
        <v>0</v>
      </c>
      <c r="C157" s="289"/>
      <c r="D157" s="320"/>
      <c r="E157" s="103"/>
      <c r="F157" s="308" t="s">
        <v>253</v>
      </c>
      <c r="G157" s="100"/>
      <c r="H157" s="298">
        <f t="shared" si="100"/>
        <v>0</v>
      </c>
      <c r="I157" s="330"/>
      <c r="J157" s="332"/>
      <c r="K157" s="299"/>
      <c r="L157" s="87"/>
      <c r="M157" s="261"/>
      <c r="N157" s="234"/>
      <c r="O157" s="292"/>
      <c r="P157" s="333"/>
      <c r="Q157" s="119"/>
      <c r="R157" s="174"/>
      <c r="S157" s="640"/>
      <c r="T157" s="331"/>
      <c r="U157" s="107"/>
      <c r="V157" s="105"/>
      <c r="W157" s="334">
        <f t="shared" si="102"/>
        <v>0</v>
      </c>
      <c r="X157" s="287"/>
      <c r="Y157" s="287"/>
      <c r="Z157" s="284"/>
      <c r="AA157" s="284"/>
      <c r="AB157" s="633"/>
      <c r="AC157" s="633"/>
      <c r="AD157" s="289"/>
      <c r="AE157" s="289"/>
      <c r="AF157" s="335"/>
      <c r="AG157" s="174"/>
      <c r="AH157" s="643"/>
    </row>
    <row r="158" spans="1:34" s="286" customFormat="1" ht="18" customHeight="1">
      <c r="A158" s="638"/>
      <c r="B158" s="289">
        <v>0</v>
      </c>
      <c r="C158" s="289"/>
      <c r="D158" s="320"/>
      <c r="E158" s="103"/>
      <c r="F158" s="308" t="s">
        <v>253</v>
      </c>
      <c r="G158" s="100"/>
      <c r="H158" s="298">
        <f t="shared" si="100"/>
        <v>0</v>
      </c>
      <c r="I158" s="330"/>
      <c r="J158" s="332"/>
      <c r="K158" s="299"/>
      <c r="L158" s="87"/>
      <c r="M158" s="261"/>
      <c r="N158" s="234"/>
      <c r="O158" s="292"/>
      <c r="P158" s="333"/>
      <c r="Q158" s="119"/>
      <c r="R158" s="174"/>
      <c r="S158" s="640"/>
      <c r="T158" s="331"/>
      <c r="U158" s="107"/>
      <c r="V158" s="105"/>
      <c r="W158" s="334">
        <f t="shared" si="102"/>
        <v>0</v>
      </c>
      <c r="X158" s="287"/>
      <c r="Y158" s="287"/>
      <c r="Z158" s="284"/>
      <c r="AA158" s="284"/>
      <c r="AB158" s="633"/>
      <c r="AC158" s="633"/>
      <c r="AD158" s="289"/>
      <c r="AE158" s="289"/>
      <c r="AF158" s="335"/>
      <c r="AG158" s="174"/>
      <c r="AH158" s="643"/>
    </row>
    <row r="159" spans="1:34" s="286" customFormat="1" ht="18" customHeight="1">
      <c r="A159" s="638"/>
      <c r="B159" s="289">
        <v>0</v>
      </c>
      <c r="C159" s="289"/>
      <c r="D159" s="320"/>
      <c r="E159" s="103"/>
      <c r="F159" s="308" t="s">
        <v>253</v>
      </c>
      <c r="G159" s="100"/>
      <c r="H159" s="298">
        <f t="shared" si="100"/>
        <v>0</v>
      </c>
      <c r="I159" s="330"/>
      <c r="J159" s="332"/>
      <c r="K159" s="234"/>
      <c r="L159" s="179"/>
      <c r="M159" s="137"/>
      <c r="N159" s="234"/>
      <c r="O159" s="292"/>
      <c r="P159" s="333"/>
      <c r="Q159" s="119"/>
      <c r="R159" s="174"/>
      <c r="S159" s="640"/>
      <c r="T159" s="331"/>
      <c r="U159" s="107"/>
      <c r="V159" s="105"/>
      <c r="W159" s="336">
        <f t="shared" si="102"/>
        <v>0</v>
      </c>
      <c r="X159" s="287"/>
      <c r="Y159" s="287"/>
      <c r="Z159" s="284"/>
      <c r="AA159" s="284"/>
      <c r="AB159" s="633"/>
      <c r="AC159" s="633"/>
      <c r="AD159" s="289"/>
      <c r="AE159" s="289"/>
      <c r="AF159" s="335"/>
      <c r="AG159" s="174"/>
      <c r="AH159" s="643"/>
    </row>
    <row r="160" spans="1:34" ht="18" customHeight="1">
      <c r="A160" s="638"/>
      <c r="B160" s="337">
        <v>0</v>
      </c>
      <c r="C160" s="338" t="s">
        <v>24</v>
      </c>
      <c r="D160" s="634" t="s">
        <v>220</v>
      </c>
      <c r="E160" s="635"/>
      <c r="F160" s="113"/>
      <c r="G160" s="264"/>
      <c r="H160" s="263"/>
      <c r="I160" s="116"/>
      <c r="J160" s="339">
        <v>17.333333333333332</v>
      </c>
      <c r="K160" s="339">
        <v>1440</v>
      </c>
      <c r="L160" s="340">
        <v>83.137254901960773</v>
      </c>
      <c r="M160" s="339">
        <f t="shared" ref="M160:O160" si="103">AVERAGE(M148:M159)</f>
        <v>17</v>
      </c>
      <c r="N160" s="339">
        <f t="shared" si="103"/>
        <v>1363.0742296918761</v>
      </c>
      <c r="O160" s="340">
        <f t="shared" si="103"/>
        <v>80.369912670950683</v>
      </c>
      <c r="P160" s="118">
        <f t="shared" ref="P160:P165" si="104">M160-J160</f>
        <v>-0.33333333333333215</v>
      </c>
      <c r="Q160" s="119">
        <f t="shared" ref="Q160:Q165" si="105">O160-L160</f>
        <v>-2.7673422310100904</v>
      </c>
      <c r="R160" s="341">
        <f>O160/L160</f>
        <v>0.96671357222134091</v>
      </c>
      <c r="S160" s="640"/>
      <c r="T160" s="342"/>
      <c r="U160" s="342"/>
      <c r="V160" s="252"/>
      <c r="W160" s="252"/>
      <c r="X160" s="253"/>
      <c r="Y160" s="253"/>
      <c r="Z160" s="123">
        <f>SUM(Z148:Z159)</f>
        <v>0</v>
      </c>
      <c r="AA160" s="123">
        <f>SUM(AA148:AA159)</f>
        <v>0</v>
      </c>
      <c r="AB160" s="636"/>
      <c r="AC160" s="637"/>
      <c r="AD160" s="124">
        <f>SUM(AD148:AD159)</f>
        <v>0</v>
      </c>
      <c r="AE160" s="124">
        <f>SUM(AE148:AE159)</f>
        <v>0</v>
      </c>
      <c r="AF160" s="118">
        <f t="shared" si="63"/>
        <v>-76.925770308123901</v>
      </c>
      <c r="AG160" s="174">
        <f t="shared" si="64"/>
        <v>0.94657932617491392</v>
      </c>
      <c r="AH160" s="643"/>
    </row>
    <row r="161" spans="1:36" ht="18" customHeight="1">
      <c r="A161" s="631" t="s">
        <v>235</v>
      </c>
      <c r="B161" s="126" t="s">
        <v>250</v>
      </c>
      <c r="C161" s="126"/>
      <c r="D161" s="168" t="s">
        <v>179</v>
      </c>
      <c r="E161" s="169"/>
      <c r="F161" s="180">
        <v>34.229999999999997</v>
      </c>
      <c r="G161" s="100">
        <v>2739</v>
      </c>
      <c r="H161" s="129">
        <f t="shared" ref="H161:H170" si="106">F161*G161</f>
        <v>93755.969999999987</v>
      </c>
      <c r="I161" s="97"/>
      <c r="J161" s="130">
        <v>11</v>
      </c>
      <c r="K161" s="100">
        <v>2250</v>
      </c>
      <c r="L161" s="131">
        <v>204.54545454545453</v>
      </c>
      <c r="M161" s="130">
        <v>11</v>
      </c>
      <c r="N161" s="100">
        <f t="shared" ref="N161:N165" si="107">G161/W161*60</f>
        <v>2191.1999999999998</v>
      </c>
      <c r="O161" s="131">
        <f t="shared" ref="O161:O165" si="108">N161/M161</f>
        <v>199.2</v>
      </c>
      <c r="P161" s="96">
        <f t="shared" si="104"/>
        <v>0</v>
      </c>
      <c r="Q161" s="132">
        <f t="shared" si="105"/>
        <v>-5.3454545454545439</v>
      </c>
      <c r="R161" s="133">
        <f t="shared" ref="R161:R165" si="109">O161/L161</f>
        <v>0.97386666666666666</v>
      </c>
      <c r="S161" s="632">
        <f>R173</f>
        <v>0.93108544451520625</v>
      </c>
      <c r="T161" s="134">
        <v>0.16666666666666666</v>
      </c>
      <c r="U161" s="134">
        <v>0.21875</v>
      </c>
      <c r="V161" s="97">
        <v>5</v>
      </c>
      <c r="W161" s="135">
        <f t="shared" ref="W161:W165" si="110">(U161-T161)*24*60</f>
        <v>75.000000000000014</v>
      </c>
      <c r="X161" s="136"/>
      <c r="Y161" s="136"/>
      <c r="Z161" s="96"/>
      <c r="AA161" s="96"/>
      <c r="AB161" s="629"/>
      <c r="AC161" s="629"/>
      <c r="AD161" s="97"/>
      <c r="AE161" s="97"/>
      <c r="AF161" s="96">
        <f t="shared" si="63"/>
        <v>-58.800000000000182</v>
      </c>
      <c r="AG161" s="133">
        <f t="shared" si="64"/>
        <v>0.97386666666666655</v>
      </c>
      <c r="AH161" s="632">
        <f>AG173</f>
        <v>0.93234320072143595</v>
      </c>
    </row>
    <row r="162" spans="1:36" ht="18" customHeight="1">
      <c r="A162" s="631"/>
      <c r="B162" s="126" t="s">
        <v>250</v>
      </c>
      <c r="C162" s="126"/>
      <c r="D162" s="168" t="s">
        <v>180</v>
      </c>
      <c r="E162" s="169"/>
      <c r="F162" s="180">
        <v>34.229999999999997</v>
      </c>
      <c r="G162" s="100">
        <v>3568</v>
      </c>
      <c r="H162" s="129">
        <f t="shared" si="106"/>
        <v>122132.63999999998</v>
      </c>
      <c r="I162" s="97"/>
      <c r="J162" s="130">
        <v>12</v>
      </c>
      <c r="K162" s="100">
        <v>2250</v>
      </c>
      <c r="L162" s="131">
        <v>187.5</v>
      </c>
      <c r="M162" s="130">
        <v>12</v>
      </c>
      <c r="N162" s="100">
        <f t="shared" si="107"/>
        <v>2140.7999999999993</v>
      </c>
      <c r="O162" s="131">
        <f t="shared" si="108"/>
        <v>178.39999999999995</v>
      </c>
      <c r="P162" s="96">
        <f t="shared" si="104"/>
        <v>0</v>
      </c>
      <c r="Q162" s="132">
        <f t="shared" si="105"/>
        <v>-9.1000000000000512</v>
      </c>
      <c r="R162" s="133">
        <f t="shared" si="109"/>
        <v>0.95146666666666635</v>
      </c>
      <c r="S162" s="632"/>
      <c r="T162" s="134">
        <v>0.23402777777777778</v>
      </c>
      <c r="U162" s="134">
        <v>0.30347222222222225</v>
      </c>
      <c r="V162" s="97">
        <v>22</v>
      </c>
      <c r="W162" s="135">
        <f t="shared" si="110"/>
        <v>100.00000000000004</v>
      </c>
      <c r="X162" s="136">
        <v>0.22222222222222221</v>
      </c>
      <c r="Y162" s="136">
        <v>0.23124999999999998</v>
      </c>
      <c r="Z162" s="96"/>
      <c r="AA162" s="96"/>
      <c r="AB162" s="629"/>
      <c r="AC162" s="629"/>
      <c r="AD162" s="97"/>
      <c r="AE162" s="97"/>
      <c r="AF162" s="96">
        <f t="shared" si="63"/>
        <v>-109.20000000000073</v>
      </c>
      <c r="AG162" s="133">
        <f t="shared" si="64"/>
        <v>0.95146666666666635</v>
      </c>
      <c r="AH162" s="632"/>
    </row>
    <row r="163" spans="1:36" ht="18" customHeight="1">
      <c r="A163" s="631"/>
      <c r="B163" s="126" t="s">
        <v>250</v>
      </c>
      <c r="C163" s="126"/>
      <c r="D163" s="317" t="s">
        <v>181</v>
      </c>
      <c r="E163" s="317"/>
      <c r="F163" s="180">
        <v>35.83</v>
      </c>
      <c r="G163" s="100">
        <v>6203</v>
      </c>
      <c r="H163" s="129">
        <f t="shared" si="106"/>
        <v>222253.49</v>
      </c>
      <c r="I163" s="97"/>
      <c r="J163" s="130">
        <v>10</v>
      </c>
      <c r="K163" s="100">
        <v>2250</v>
      </c>
      <c r="L163" s="131">
        <v>225</v>
      </c>
      <c r="M163" s="130">
        <v>10</v>
      </c>
      <c r="N163" s="100">
        <f t="shared" si="107"/>
        <v>2202.248520710059</v>
      </c>
      <c r="O163" s="131">
        <f t="shared" si="108"/>
        <v>220.2248520710059</v>
      </c>
      <c r="P163" s="96">
        <f t="shared" si="104"/>
        <v>0</v>
      </c>
      <c r="Q163" s="132">
        <f t="shared" si="105"/>
        <v>-4.7751479289941017</v>
      </c>
      <c r="R163" s="133">
        <f t="shared" si="109"/>
        <v>0.97877712031558173</v>
      </c>
      <c r="S163" s="632"/>
      <c r="T163" s="134">
        <v>0.34444444444444444</v>
      </c>
      <c r="U163" s="134">
        <v>0.46180555555555558</v>
      </c>
      <c r="V163" s="97">
        <v>6</v>
      </c>
      <c r="W163" s="135">
        <f t="shared" si="110"/>
        <v>169.00000000000003</v>
      </c>
      <c r="X163" s="136"/>
      <c r="Y163" s="136"/>
      <c r="Z163" s="96"/>
      <c r="AA163" s="96"/>
      <c r="AB163" s="629"/>
      <c r="AC163" s="629"/>
      <c r="AD163" s="97"/>
      <c r="AE163" s="97"/>
      <c r="AF163" s="96">
        <f t="shared" si="63"/>
        <v>-47.751479289941017</v>
      </c>
      <c r="AG163" s="133">
        <f t="shared" si="64"/>
        <v>0.97877712031558173</v>
      </c>
      <c r="AH163" s="632"/>
    </row>
    <row r="164" spans="1:36" ht="18" customHeight="1">
      <c r="A164" s="631"/>
      <c r="B164" s="126" t="s">
        <v>250</v>
      </c>
      <c r="C164" s="126"/>
      <c r="D164" s="343" t="s">
        <v>182</v>
      </c>
      <c r="E164" s="343"/>
      <c r="F164" s="180">
        <v>34.229999999999997</v>
      </c>
      <c r="G164" s="100">
        <v>4765</v>
      </c>
      <c r="H164" s="129">
        <f t="shared" si="106"/>
        <v>163105.94999999998</v>
      </c>
      <c r="I164" s="97"/>
      <c r="J164" s="130">
        <v>9</v>
      </c>
      <c r="K164" s="100">
        <v>2796</v>
      </c>
      <c r="L164" s="131">
        <v>307.7</v>
      </c>
      <c r="M164" s="130">
        <v>9</v>
      </c>
      <c r="N164" s="100">
        <f t="shared" si="107"/>
        <v>2233.5937500000009</v>
      </c>
      <c r="O164" s="131">
        <f t="shared" si="108"/>
        <v>248.17708333333343</v>
      </c>
      <c r="P164" s="96">
        <f t="shared" si="104"/>
        <v>0</v>
      </c>
      <c r="Q164" s="132">
        <f t="shared" si="105"/>
        <v>-59.522916666666561</v>
      </c>
      <c r="R164" s="133">
        <f t="shared" si="109"/>
        <v>0.80655535694940994</v>
      </c>
      <c r="S164" s="632"/>
      <c r="T164" s="134">
        <v>0.4777777777777778</v>
      </c>
      <c r="U164" s="134">
        <v>0.56666666666666665</v>
      </c>
      <c r="V164" s="97">
        <v>23</v>
      </c>
      <c r="W164" s="135">
        <f t="shared" si="110"/>
        <v>127.99999999999994</v>
      </c>
      <c r="X164" s="136">
        <v>0.46527777777777773</v>
      </c>
      <c r="Y164" s="136">
        <v>0.47500000000000003</v>
      </c>
      <c r="Z164" s="96"/>
      <c r="AA164" s="96"/>
      <c r="AB164" s="629"/>
      <c r="AC164" s="629"/>
      <c r="AD164" s="97"/>
      <c r="AE164" s="97"/>
      <c r="AF164" s="96">
        <f t="shared" si="63"/>
        <v>-562.40624999999909</v>
      </c>
      <c r="AG164" s="133">
        <f t="shared" si="64"/>
        <v>0.79885327253218918</v>
      </c>
      <c r="AH164" s="632"/>
    </row>
    <row r="165" spans="1:36" ht="18" customHeight="1">
      <c r="A165" s="631"/>
      <c r="B165" s="126" t="s">
        <v>250</v>
      </c>
      <c r="C165" s="127"/>
      <c r="D165" s="168" t="s">
        <v>121</v>
      </c>
      <c r="E165" s="169"/>
      <c r="F165" s="128">
        <v>36.409999999999997</v>
      </c>
      <c r="G165" s="100">
        <v>4757.5</v>
      </c>
      <c r="H165" s="129">
        <f t="shared" si="106"/>
        <v>173220.57499999998</v>
      </c>
      <c r="I165" s="97">
        <v>2</v>
      </c>
      <c r="J165" s="130">
        <v>9</v>
      </c>
      <c r="K165" s="100">
        <v>2250</v>
      </c>
      <c r="L165" s="131">
        <v>250</v>
      </c>
      <c r="M165" s="130">
        <v>9</v>
      </c>
      <c r="N165" s="100">
        <f t="shared" si="107"/>
        <v>2230.0781249999995</v>
      </c>
      <c r="O165" s="131">
        <f t="shared" si="108"/>
        <v>247.78645833333329</v>
      </c>
      <c r="P165" s="96">
        <f t="shared" si="104"/>
        <v>0</v>
      </c>
      <c r="Q165" s="132">
        <f t="shared" si="105"/>
        <v>-2.213541666666714</v>
      </c>
      <c r="R165" s="133">
        <f t="shared" si="109"/>
        <v>0.99114583333333317</v>
      </c>
      <c r="S165" s="632"/>
      <c r="T165" s="134">
        <v>0.5708333333333333</v>
      </c>
      <c r="U165" s="134">
        <v>0.65972222222222221</v>
      </c>
      <c r="V165" s="97">
        <v>6</v>
      </c>
      <c r="W165" s="135">
        <f t="shared" si="110"/>
        <v>128.00000000000003</v>
      </c>
      <c r="X165" s="136"/>
      <c r="Y165" s="136"/>
      <c r="Z165" s="96"/>
      <c r="AA165" s="96"/>
      <c r="AB165" s="629"/>
      <c r="AC165" s="629"/>
      <c r="AD165" s="97"/>
      <c r="AE165" s="97"/>
      <c r="AF165" s="96">
        <f t="shared" si="63"/>
        <v>-19.921875000000455</v>
      </c>
      <c r="AG165" s="133">
        <f t="shared" si="64"/>
        <v>0.99114583333333317</v>
      </c>
      <c r="AH165" s="632"/>
    </row>
    <row r="166" spans="1:36" ht="18" customHeight="1">
      <c r="A166" s="631"/>
      <c r="B166" s="126">
        <v>0</v>
      </c>
      <c r="C166" s="126"/>
      <c r="D166" s="168"/>
      <c r="E166" s="169"/>
      <c r="F166" s="180" t="s">
        <v>253</v>
      </c>
      <c r="G166" s="100"/>
      <c r="H166" s="129">
        <f t="shared" si="106"/>
        <v>0</v>
      </c>
      <c r="I166" s="97"/>
      <c r="J166" s="130"/>
      <c r="K166" s="100"/>
      <c r="L166" s="131"/>
      <c r="M166" s="130"/>
      <c r="N166" s="100"/>
      <c r="O166" s="131"/>
      <c r="P166" s="96"/>
      <c r="Q166" s="132"/>
      <c r="R166" s="133"/>
      <c r="S166" s="632"/>
      <c r="T166" s="134"/>
      <c r="U166" s="134"/>
      <c r="V166" s="97"/>
      <c r="W166" s="135"/>
      <c r="X166" s="136"/>
      <c r="Y166" s="136"/>
      <c r="Z166" s="96"/>
      <c r="AA166" s="96"/>
      <c r="AB166" s="629"/>
      <c r="AC166" s="629"/>
      <c r="AD166" s="97"/>
      <c r="AE166" s="97"/>
      <c r="AF166" s="96">
        <f t="shared" si="63"/>
        <v>0</v>
      </c>
      <c r="AG166" s="133" t="e">
        <f t="shared" si="64"/>
        <v>#DIV/0!</v>
      </c>
      <c r="AH166" s="632"/>
    </row>
    <row r="167" spans="1:36" ht="18" customHeight="1">
      <c r="A167" s="631"/>
      <c r="B167" s="126">
        <v>0</v>
      </c>
      <c r="C167" s="126"/>
      <c r="D167" s="320"/>
      <c r="E167" s="103"/>
      <c r="F167" s="180" t="s">
        <v>253</v>
      </c>
      <c r="G167" s="100"/>
      <c r="H167" s="129">
        <f t="shared" si="106"/>
        <v>0</v>
      </c>
      <c r="I167" s="97"/>
      <c r="J167" s="130"/>
      <c r="K167" s="100"/>
      <c r="L167" s="131"/>
      <c r="M167" s="130"/>
      <c r="N167" s="100"/>
      <c r="O167" s="131"/>
      <c r="P167" s="96"/>
      <c r="Q167" s="132"/>
      <c r="R167" s="133"/>
      <c r="S167" s="632"/>
      <c r="T167" s="134"/>
      <c r="U167" s="134"/>
      <c r="V167" s="97"/>
      <c r="W167" s="135"/>
      <c r="X167" s="136"/>
      <c r="Y167" s="136"/>
      <c r="Z167" s="96"/>
      <c r="AA167" s="96"/>
      <c r="AB167" s="629"/>
      <c r="AC167" s="629"/>
      <c r="AD167" s="97"/>
      <c r="AE167" s="97"/>
      <c r="AF167" s="96">
        <f t="shared" si="63"/>
        <v>0</v>
      </c>
      <c r="AG167" s="133" t="e">
        <f t="shared" si="64"/>
        <v>#DIV/0!</v>
      </c>
      <c r="AH167" s="632"/>
    </row>
    <row r="168" spans="1:36" ht="18" customHeight="1">
      <c r="A168" s="631"/>
      <c r="B168" s="126">
        <v>0</v>
      </c>
      <c r="C168" s="126"/>
      <c r="D168" s="320"/>
      <c r="E168" s="103"/>
      <c r="F168" s="180" t="s">
        <v>253</v>
      </c>
      <c r="G168" s="100"/>
      <c r="H168" s="129">
        <f t="shared" si="106"/>
        <v>0</v>
      </c>
      <c r="I168" s="97"/>
      <c r="J168" s="130"/>
      <c r="K168" s="100"/>
      <c r="L168" s="131"/>
      <c r="M168" s="130"/>
      <c r="N168" s="100"/>
      <c r="O168" s="131"/>
      <c r="P168" s="96"/>
      <c r="Q168" s="132"/>
      <c r="R168" s="133"/>
      <c r="S168" s="632"/>
      <c r="T168" s="134"/>
      <c r="U168" s="134"/>
      <c r="V168" s="97"/>
      <c r="W168" s="135"/>
      <c r="X168" s="136"/>
      <c r="Y168" s="136"/>
      <c r="Z168" s="96"/>
      <c r="AA168" s="96"/>
      <c r="AB168" s="629"/>
      <c r="AC168" s="629"/>
      <c r="AD168" s="97"/>
      <c r="AE168" s="97"/>
      <c r="AF168" s="96">
        <f t="shared" si="63"/>
        <v>0</v>
      </c>
      <c r="AG168" s="133" t="e">
        <f t="shared" si="64"/>
        <v>#DIV/0!</v>
      </c>
      <c r="AH168" s="632"/>
    </row>
    <row r="169" spans="1:36" ht="18" customHeight="1">
      <c r="A169" s="631"/>
      <c r="B169" s="126">
        <v>0</v>
      </c>
      <c r="C169" s="126"/>
      <c r="D169" s="320"/>
      <c r="E169" s="103"/>
      <c r="F169" s="180" t="s">
        <v>253</v>
      </c>
      <c r="G169" s="100"/>
      <c r="H169" s="129">
        <f t="shared" si="106"/>
        <v>0</v>
      </c>
      <c r="I169" s="97"/>
      <c r="J169" s="130"/>
      <c r="K169" s="100"/>
      <c r="L169" s="131"/>
      <c r="M169" s="130"/>
      <c r="N169" s="100"/>
      <c r="O169" s="131"/>
      <c r="P169" s="96"/>
      <c r="Q169" s="132"/>
      <c r="R169" s="133"/>
      <c r="S169" s="632"/>
      <c r="T169" s="134"/>
      <c r="U169" s="134"/>
      <c r="V169" s="97" t="s">
        <v>59</v>
      </c>
      <c r="W169" s="135">
        <f>(U169-T169)*24*60</f>
        <v>0</v>
      </c>
      <c r="X169" s="136"/>
      <c r="Y169" s="136"/>
      <c r="Z169" s="96"/>
      <c r="AA169" s="96"/>
      <c r="AB169" s="629"/>
      <c r="AC169" s="629"/>
      <c r="AD169" s="97"/>
      <c r="AE169" s="97"/>
      <c r="AF169" s="96">
        <f t="shared" si="63"/>
        <v>0</v>
      </c>
      <c r="AG169" s="133" t="e">
        <f t="shared" si="64"/>
        <v>#DIV/0!</v>
      </c>
      <c r="AH169" s="632"/>
    </row>
    <row r="170" spans="1:36" ht="18" customHeight="1">
      <c r="A170" s="631"/>
      <c r="B170" s="126">
        <v>0</v>
      </c>
      <c r="C170" s="126"/>
      <c r="D170" s="320"/>
      <c r="E170" s="103"/>
      <c r="F170" s="180" t="s">
        <v>253</v>
      </c>
      <c r="G170" s="100"/>
      <c r="H170" s="129">
        <f t="shared" si="106"/>
        <v>0</v>
      </c>
      <c r="I170" s="97"/>
      <c r="J170" s="130"/>
      <c r="K170" s="100"/>
      <c r="L170" s="131"/>
      <c r="M170" s="130"/>
      <c r="N170" s="100"/>
      <c r="O170" s="131"/>
      <c r="P170" s="96"/>
      <c r="Q170" s="132"/>
      <c r="R170" s="133"/>
      <c r="S170" s="632"/>
      <c r="T170" s="134"/>
      <c r="U170" s="134"/>
      <c r="V170" s="97"/>
      <c r="W170" s="135">
        <f>(U170-T170)*24*60</f>
        <v>0</v>
      </c>
      <c r="X170" s="136"/>
      <c r="Y170" s="136"/>
      <c r="Z170" s="96"/>
      <c r="AA170" s="96"/>
      <c r="AB170" s="629"/>
      <c r="AC170" s="629"/>
      <c r="AD170" s="97"/>
      <c r="AE170" s="97"/>
      <c r="AF170" s="96">
        <f t="shared" si="63"/>
        <v>0</v>
      </c>
      <c r="AG170" s="133" t="e">
        <f t="shared" si="64"/>
        <v>#DIV/0!</v>
      </c>
      <c r="AH170" s="632"/>
    </row>
    <row r="171" spans="1:36" ht="18" customHeight="1">
      <c r="A171" s="631"/>
      <c r="B171" s="126">
        <v>0</v>
      </c>
      <c r="C171" s="126"/>
      <c r="D171" s="320"/>
      <c r="E171" s="103"/>
      <c r="F171" s="180" t="s">
        <v>253</v>
      </c>
      <c r="G171" s="100"/>
      <c r="H171" s="129">
        <f t="shared" si="100"/>
        <v>0</v>
      </c>
      <c r="I171" s="97"/>
      <c r="J171" s="130"/>
      <c r="K171" s="100"/>
      <c r="L171" s="131"/>
      <c r="M171" s="130"/>
      <c r="N171" s="100"/>
      <c r="O171" s="131"/>
      <c r="P171" s="96"/>
      <c r="Q171" s="132"/>
      <c r="R171" s="133"/>
      <c r="S171" s="632"/>
      <c r="T171" s="134"/>
      <c r="U171" s="134"/>
      <c r="V171" s="97"/>
      <c r="W171" s="135">
        <f>(U171-T171)*24*60</f>
        <v>0</v>
      </c>
      <c r="X171" s="136"/>
      <c r="Y171" s="136"/>
      <c r="Z171" s="96"/>
      <c r="AA171" s="96"/>
      <c r="AB171" s="629"/>
      <c r="AC171" s="629"/>
      <c r="AD171" s="97"/>
      <c r="AE171" s="97"/>
      <c r="AF171" s="96"/>
      <c r="AG171" s="133"/>
      <c r="AH171" s="632"/>
    </row>
    <row r="172" spans="1:36" ht="18" customHeight="1">
      <c r="A172" s="631"/>
      <c r="B172" s="126">
        <v>0</v>
      </c>
      <c r="C172" s="126"/>
      <c r="D172" s="320"/>
      <c r="E172" s="103"/>
      <c r="F172" s="180" t="s">
        <v>253</v>
      </c>
      <c r="G172" s="100"/>
      <c r="H172" s="129">
        <f t="shared" si="100"/>
        <v>0</v>
      </c>
      <c r="I172" s="97"/>
      <c r="J172" s="130"/>
      <c r="K172" s="100"/>
      <c r="L172" s="131"/>
      <c r="M172" s="130"/>
      <c r="N172" s="100"/>
      <c r="O172" s="131"/>
      <c r="P172" s="96"/>
      <c r="Q172" s="132"/>
      <c r="R172" s="133"/>
      <c r="S172" s="632"/>
      <c r="T172" s="134"/>
      <c r="U172" s="134"/>
      <c r="V172" s="97"/>
      <c r="W172" s="135">
        <f>(U172-T172)*24*60</f>
        <v>0</v>
      </c>
      <c r="X172" s="136"/>
      <c r="Y172" s="136"/>
      <c r="Z172" s="96"/>
      <c r="AA172" s="96"/>
      <c r="AB172" s="629"/>
      <c r="AC172" s="629"/>
      <c r="AD172" s="97"/>
      <c r="AE172" s="97"/>
      <c r="AF172" s="96"/>
      <c r="AG172" s="133"/>
      <c r="AH172" s="632"/>
    </row>
    <row r="173" spans="1:36" ht="18" customHeight="1">
      <c r="A173" s="631"/>
      <c r="B173" s="126">
        <v>0</v>
      </c>
      <c r="C173" s="138" t="s">
        <v>25</v>
      </c>
      <c r="D173" s="630" t="s">
        <v>220</v>
      </c>
      <c r="E173" s="630"/>
      <c r="F173" s="139"/>
      <c r="G173" s="140"/>
      <c r="H173" s="141"/>
      <c r="I173" s="142"/>
      <c r="J173" s="140">
        <v>10.199999999999999</v>
      </c>
      <c r="K173" s="140">
        <v>2359.1999999999998</v>
      </c>
      <c r="L173" s="143">
        <v>234.9490909090909</v>
      </c>
      <c r="M173" s="140">
        <f t="shared" ref="M173:O173" si="111">AVERAGE(M161:M172)</f>
        <v>10.199999999999999</v>
      </c>
      <c r="N173" s="140">
        <f t="shared" si="111"/>
        <v>2199.5840791420114</v>
      </c>
      <c r="O173" s="143">
        <f t="shared" si="111"/>
        <v>218.7576787475345</v>
      </c>
      <c r="P173" s="96">
        <f>M173-J173</f>
        <v>0</v>
      </c>
      <c r="Q173" s="132">
        <f>O173-L173</f>
        <v>-16.1914121615564</v>
      </c>
      <c r="R173" s="144">
        <f>O173/L173</f>
        <v>0.93108544451520625</v>
      </c>
      <c r="S173" s="632"/>
      <c r="T173" s="134"/>
      <c r="U173" s="134"/>
      <c r="V173" s="100"/>
      <c r="W173" s="100"/>
      <c r="X173" s="131"/>
      <c r="Y173" s="131"/>
      <c r="Z173" s="145">
        <f>SUM(Z161:Z172)</f>
        <v>0</v>
      </c>
      <c r="AA173" s="145">
        <f>SUM(AA161:AA172)</f>
        <v>0</v>
      </c>
      <c r="AB173" s="629"/>
      <c r="AC173" s="629"/>
      <c r="AD173" s="146">
        <f>SUM(AD161:AD172)</f>
        <v>0</v>
      </c>
      <c r="AE173" s="146">
        <f>SUM(AE161:AE172)</f>
        <v>0</v>
      </c>
      <c r="AF173" s="96">
        <f t="shared" si="63"/>
        <v>-159.61592085798839</v>
      </c>
      <c r="AG173" s="133">
        <f t="shared" si="64"/>
        <v>0.93234320072143595</v>
      </c>
      <c r="AH173" s="632"/>
    </row>
    <row r="174" spans="1:36">
      <c r="AJ174" s="345" t="s">
        <v>183</v>
      </c>
    </row>
    <row r="175" spans="1:36">
      <c r="AJ175" s="345" t="s">
        <v>184</v>
      </c>
    </row>
    <row r="176" spans="1:36">
      <c r="AJ176" s="345" t="s">
        <v>236</v>
      </c>
    </row>
    <row r="177" spans="23:36">
      <c r="W177" s="70"/>
      <c r="AJ177" s="345" t="s">
        <v>185</v>
      </c>
    </row>
    <row r="178" spans="23:36">
      <c r="W178" s="70"/>
      <c r="AJ178" s="345" t="s">
        <v>186</v>
      </c>
    </row>
    <row r="179" spans="23:36">
      <c r="W179" s="70"/>
      <c r="AJ179" s="345" t="s">
        <v>187</v>
      </c>
    </row>
    <row r="180" spans="23:36">
      <c r="W180" s="70"/>
      <c r="AJ180" s="345" t="s">
        <v>188</v>
      </c>
    </row>
    <row r="181" spans="23:36">
      <c r="W181" s="70"/>
      <c r="AJ181" s="345" t="s">
        <v>189</v>
      </c>
    </row>
    <row r="182" spans="23:36">
      <c r="W182" s="70"/>
      <c r="AJ182" s="345" t="s">
        <v>190</v>
      </c>
    </row>
    <row r="183" spans="23:36">
      <c r="W183" s="70"/>
      <c r="AJ183" s="345" t="s">
        <v>191</v>
      </c>
    </row>
    <row r="184" spans="23:36">
      <c r="W184" s="70"/>
      <c r="AJ184" s="345" t="s">
        <v>192</v>
      </c>
    </row>
    <row r="185" spans="23:36">
      <c r="W185" s="70"/>
      <c r="AJ185" s="345" t="s">
        <v>237</v>
      </c>
    </row>
    <row r="186" spans="23:36">
      <c r="W186" s="70"/>
      <c r="AJ186" s="345" t="s">
        <v>238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1" type="noConversion"/>
  <conditionalFormatting sqref="Q147 AF147 Q173 AF173 AF123 Q30 AF121 Q121 Q95 AF95 AF43 Q43 AF134 Q134 AF17:AF19 AF136 AF32 Q82 AF82 Q154:Q159 AF125 Q17:Q18 AF155:AF159 AF21 AF25 AF27 AF29 AF5:AF12 AF23 AF57:AF70 Q57:Q70 Q13">
    <cfRule type="cellIs" dxfId="7409" priority="3702" operator="lessThan">
      <formula>0</formula>
    </cfRule>
  </conditionalFormatting>
  <conditionalFormatting sqref="AH57 AH70 S43 S123 S95 AH95 S5:S9 AH5:AH9 S134 AH17:AH18 S17:S18 S32 S82 AH82 S57:S70">
    <cfRule type="cellIs" dxfId="7408" priority="3701" operator="lessThan">
      <formula>0.8</formula>
    </cfRule>
  </conditionalFormatting>
  <conditionalFormatting sqref="R147 R173 R30 R121 R95 R43 R134 R82 R154:R159 R17:R18 R57:R70 R13">
    <cfRule type="cellIs" dxfId="7407" priority="3699" operator="lessThan">
      <formula>0.8</formula>
    </cfRule>
    <cfRule type="cellIs" dxfId="7406" priority="3700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 R13">
    <cfRule type="cellIs" dxfId="7405" priority="3697" operator="greaterThan">
      <formula>1</formula>
    </cfRule>
    <cfRule type="cellIs" dxfId="7404" priority="3698" operator="lessThan">
      <formula>0.8</formula>
    </cfRule>
  </conditionalFormatting>
  <conditionalFormatting sqref="P147 P30 P121 P95 P43 P134 P82 P154:P159 P17:P18 P57:P70 P13">
    <cfRule type="cellIs" dxfId="7403" priority="3696" operator="greaterThan">
      <formula>0</formula>
    </cfRule>
  </conditionalFormatting>
  <conditionalFormatting sqref="S161">
    <cfRule type="cellIs" dxfId="7402" priority="3695" operator="lessThan">
      <formula>0.8</formula>
    </cfRule>
  </conditionalFormatting>
  <conditionalFormatting sqref="Q161:Q166">
    <cfRule type="cellIs" dxfId="7401" priority="3694" operator="lessThan">
      <formula>0</formula>
    </cfRule>
  </conditionalFormatting>
  <conditionalFormatting sqref="R161:R166">
    <cfRule type="cellIs" dxfId="7400" priority="3692" operator="lessThan">
      <formula>0.8</formula>
    </cfRule>
    <cfRule type="cellIs" dxfId="7399" priority="3693" operator="greaterThan">
      <formula>1</formula>
    </cfRule>
  </conditionalFormatting>
  <conditionalFormatting sqref="R161:R166">
    <cfRule type="cellIs" dxfId="7398" priority="3690" operator="greaterThan">
      <formula>1</formula>
    </cfRule>
    <cfRule type="cellIs" dxfId="7397" priority="3691" operator="lessThan">
      <formula>0.8</formula>
    </cfRule>
  </conditionalFormatting>
  <conditionalFormatting sqref="P161:P166">
    <cfRule type="cellIs" dxfId="7396" priority="3689" operator="greaterThan">
      <formula>0</formula>
    </cfRule>
  </conditionalFormatting>
  <conditionalFormatting sqref="Q169:Q172 AF161:AF172">
    <cfRule type="cellIs" dxfId="7395" priority="3688" operator="lessThan">
      <formula>0</formula>
    </cfRule>
  </conditionalFormatting>
  <conditionalFormatting sqref="R169:R172">
    <cfRule type="cellIs" dxfId="7394" priority="3686" operator="lessThan">
      <formula>0.8</formula>
    </cfRule>
    <cfRule type="cellIs" dxfId="7393" priority="3687" operator="greaterThan">
      <formula>1</formula>
    </cfRule>
  </conditionalFormatting>
  <conditionalFormatting sqref="R169:R172 AG161:AG172">
    <cfRule type="cellIs" dxfId="7392" priority="3684" operator="greaterThan">
      <formula>1</formula>
    </cfRule>
    <cfRule type="cellIs" dxfId="7391" priority="3685" operator="lessThan">
      <formula>0.8</formula>
    </cfRule>
  </conditionalFormatting>
  <conditionalFormatting sqref="P169:P172">
    <cfRule type="cellIs" dxfId="7390" priority="3683" operator="greaterThan">
      <formula>0</formula>
    </cfRule>
  </conditionalFormatting>
  <conditionalFormatting sqref="AF145">
    <cfRule type="cellIs" dxfId="7389" priority="3682" operator="lessThan">
      <formula>0</formula>
    </cfRule>
  </conditionalFormatting>
  <conditionalFormatting sqref="AG145">
    <cfRule type="cellIs" dxfId="7388" priority="3680" operator="greaterThan">
      <formula>1</formula>
    </cfRule>
    <cfRule type="cellIs" dxfId="7387" priority="3681" operator="lessThan">
      <formula>0.8</formula>
    </cfRule>
  </conditionalFormatting>
  <conditionalFormatting sqref="AF44:AF52">
    <cfRule type="cellIs" dxfId="7386" priority="3679" operator="lessThan">
      <formula>0</formula>
    </cfRule>
  </conditionalFormatting>
  <conditionalFormatting sqref="AG44:AG52">
    <cfRule type="cellIs" dxfId="7385" priority="3677" operator="greaterThan">
      <formula>1</formula>
    </cfRule>
    <cfRule type="cellIs" dxfId="7384" priority="3678" operator="lessThan">
      <formula>0.8</formula>
    </cfRule>
  </conditionalFormatting>
  <conditionalFormatting sqref="AF83:AF94">
    <cfRule type="cellIs" dxfId="7383" priority="3676" operator="lessThan">
      <formula>0</formula>
    </cfRule>
  </conditionalFormatting>
  <conditionalFormatting sqref="AH83">
    <cfRule type="cellIs" dxfId="7382" priority="3675" operator="lessThan">
      <formula>0.8</formula>
    </cfRule>
  </conditionalFormatting>
  <conditionalFormatting sqref="AG83:AG94">
    <cfRule type="cellIs" dxfId="7381" priority="3673" operator="greaterThan">
      <formula>1</formula>
    </cfRule>
    <cfRule type="cellIs" dxfId="7380" priority="3674" operator="lessThan">
      <formula>0.8</formula>
    </cfRule>
  </conditionalFormatting>
  <conditionalFormatting sqref="S83">
    <cfRule type="cellIs" dxfId="7379" priority="3672" operator="lessThan">
      <formula>0.8</formula>
    </cfRule>
  </conditionalFormatting>
  <conditionalFormatting sqref="AH84">
    <cfRule type="cellIs" dxfId="7378" priority="3671" operator="lessThan">
      <formula>0.8</formula>
    </cfRule>
  </conditionalFormatting>
  <conditionalFormatting sqref="S84">
    <cfRule type="cellIs" dxfId="7377" priority="3670" operator="lessThan">
      <formula>0.8</formula>
    </cfRule>
  </conditionalFormatting>
  <conditionalFormatting sqref="S90">
    <cfRule type="cellIs" dxfId="7376" priority="3669" operator="lessThan">
      <formula>0.8</formula>
    </cfRule>
  </conditionalFormatting>
  <conditionalFormatting sqref="AH90">
    <cfRule type="cellIs" dxfId="7375" priority="3668" operator="lessThan">
      <formula>0.8</formula>
    </cfRule>
  </conditionalFormatting>
  <conditionalFormatting sqref="AF122">
    <cfRule type="cellIs" dxfId="7374" priority="3667" operator="lessThan">
      <formula>0</formula>
    </cfRule>
  </conditionalFormatting>
  <conditionalFormatting sqref="S122">
    <cfRule type="cellIs" dxfId="7373" priority="3666" operator="lessThan">
      <formula>0.8</formula>
    </cfRule>
  </conditionalFormatting>
  <conditionalFormatting sqref="AG122">
    <cfRule type="cellIs" dxfId="7372" priority="3664" operator="greaterThan">
      <formula>1</formula>
    </cfRule>
    <cfRule type="cellIs" dxfId="7371" priority="3665" operator="lessThan">
      <formula>0.8</formula>
    </cfRule>
  </conditionalFormatting>
  <conditionalFormatting sqref="P162:P168">
    <cfRule type="cellIs" dxfId="7370" priority="3658" operator="greaterThan">
      <formula>0</formula>
    </cfRule>
  </conditionalFormatting>
  <conditionalFormatting sqref="R162:R168">
    <cfRule type="cellIs" dxfId="7369" priority="3661" operator="lessThan">
      <formula>0.8</formula>
    </cfRule>
    <cfRule type="cellIs" dxfId="7368" priority="3662" operator="greaterThan">
      <formula>1</formula>
    </cfRule>
  </conditionalFormatting>
  <conditionalFormatting sqref="R162:R168">
    <cfRule type="cellIs" dxfId="7367" priority="3659" operator="greaterThan">
      <formula>1</formula>
    </cfRule>
    <cfRule type="cellIs" dxfId="7366" priority="3660" operator="lessThan">
      <formula>0.8</formula>
    </cfRule>
  </conditionalFormatting>
  <conditionalFormatting sqref="Q162:Q168">
    <cfRule type="cellIs" dxfId="7365" priority="3663" operator="lessThan">
      <formula>0</formula>
    </cfRule>
  </conditionalFormatting>
  <conditionalFormatting sqref="P132:P133">
    <cfRule type="cellIs" dxfId="7364" priority="3651" operator="greaterThan">
      <formula>0</formula>
    </cfRule>
  </conditionalFormatting>
  <conditionalFormatting sqref="AF124 Q132:Q133 AF126:AF133">
    <cfRule type="cellIs" dxfId="7363" priority="3657" operator="lessThan">
      <formula>0</formula>
    </cfRule>
  </conditionalFormatting>
  <conditionalFormatting sqref="S124:S133">
    <cfRule type="cellIs" dxfId="7362" priority="3656" operator="lessThan">
      <formula>0.8</formula>
    </cfRule>
  </conditionalFormatting>
  <conditionalFormatting sqref="R132:R133">
    <cfRule type="cellIs" dxfId="7361" priority="3654" operator="lessThan">
      <formula>0.8</formula>
    </cfRule>
    <cfRule type="cellIs" dxfId="7360" priority="3655" operator="greaterThan">
      <formula>1</formula>
    </cfRule>
  </conditionalFormatting>
  <conditionalFormatting sqref="AG124 R132:R133 AG126:AG133">
    <cfRule type="cellIs" dxfId="7359" priority="3652" operator="greaterThan">
      <formula>1</formula>
    </cfRule>
    <cfRule type="cellIs" dxfId="7358" priority="3653" operator="lessThan">
      <formula>0.8</formula>
    </cfRule>
  </conditionalFormatting>
  <conditionalFormatting sqref="AF112 AF115">
    <cfRule type="cellIs" dxfId="7357" priority="3650" operator="lessThan">
      <formula>0</formula>
    </cfRule>
  </conditionalFormatting>
  <conditionalFormatting sqref="AG112 AG115">
    <cfRule type="cellIs" dxfId="7356" priority="3648" operator="greaterThan">
      <formula>1</formula>
    </cfRule>
    <cfRule type="cellIs" dxfId="7355" priority="3649" operator="lessThan">
      <formula>0.8</formula>
    </cfRule>
  </conditionalFormatting>
  <conditionalFormatting sqref="AF111 AF114 AF117">
    <cfRule type="cellIs" dxfId="7354" priority="3647" operator="lessThan">
      <formula>0</formula>
    </cfRule>
  </conditionalFormatting>
  <conditionalFormatting sqref="AH109">
    <cfRule type="cellIs" dxfId="7353" priority="3646" operator="lessThan">
      <formula>0.8</formula>
    </cfRule>
  </conditionalFormatting>
  <conditionalFormatting sqref="AG111 AG114 AG117">
    <cfRule type="cellIs" dxfId="7352" priority="3644" operator="greaterThan">
      <formula>1</formula>
    </cfRule>
    <cfRule type="cellIs" dxfId="7351" priority="3645" operator="lessThan">
      <formula>0.8</formula>
    </cfRule>
  </conditionalFormatting>
  <conditionalFormatting sqref="R160 AG160">
    <cfRule type="cellIs" dxfId="7350" priority="3639" operator="greaterThan">
      <formula>1</formula>
    </cfRule>
    <cfRule type="cellIs" dxfId="7349" priority="3640" operator="lessThan">
      <formula>0.8</formula>
    </cfRule>
  </conditionalFormatting>
  <conditionalFormatting sqref="R160">
    <cfRule type="cellIs" dxfId="7348" priority="3641" operator="lessThan">
      <formula>0.8</formula>
    </cfRule>
    <cfRule type="cellIs" dxfId="7347" priority="3642" operator="greaterThan">
      <formula>1</formula>
    </cfRule>
  </conditionalFormatting>
  <conditionalFormatting sqref="P160">
    <cfRule type="cellIs" dxfId="7346" priority="3638" operator="greaterThan">
      <formula>0</formula>
    </cfRule>
  </conditionalFormatting>
  <conditionalFormatting sqref="AH148">
    <cfRule type="cellIs" dxfId="7345" priority="3637" operator="lessThan">
      <formula>0.8</formula>
    </cfRule>
  </conditionalFormatting>
  <conditionalFormatting sqref="Q160 AF160">
    <cfRule type="cellIs" dxfId="7344" priority="3643" operator="lessThan">
      <formula>0</formula>
    </cfRule>
  </conditionalFormatting>
  <conditionalFormatting sqref="AF148:AF154">
    <cfRule type="cellIs" dxfId="7343" priority="3636" operator="lessThan">
      <formula>0</formula>
    </cfRule>
  </conditionalFormatting>
  <conditionalFormatting sqref="S148">
    <cfRule type="cellIs" dxfId="7342" priority="3635" operator="lessThan">
      <formula>0.8</formula>
    </cfRule>
  </conditionalFormatting>
  <conditionalFormatting sqref="AG148:AG154">
    <cfRule type="cellIs" dxfId="7341" priority="3633" operator="greaterThan">
      <formula>1</formula>
    </cfRule>
    <cfRule type="cellIs" dxfId="7340" priority="3634" operator="lessThan">
      <formula>0.8</formula>
    </cfRule>
  </conditionalFormatting>
  <conditionalFormatting sqref="S86">
    <cfRule type="cellIs" dxfId="7339" priority="3632" operator="lessThan">
      <formula>0.8</formula>
    </cfRule>
  </conditionalFormatting>
  <conditionalFormatting sqref="S88 AH88">
    <cfRule type="cellIs" dxfId="7338" priority="3627" operator="lessThan">
      <formula>0.8</formula>
    </cfRule>
  </conditionalFormatting>
  <conditionalFormatting sqref="AH86">
    <cfRule type="cellIs" dxfId="7337" priority="3631" operator="lessThan">
      <formula>0.8</formula>
    </cfRule>
  </conditionalFormatting>
  <conditionalFormatting sqref="S87">
    <cfRule type="cellIs" dxfId="7336" priority="3630" operator="lessThan">
      <formula>0.8</formula>
    </cfRule>
  </conditionalFormatting>
  <conditionalFormatting sqref="AH87">
    <cfRule type="cellIs" dxfId="7335" priority="3629" operator="lessThan">
      <formula>0.8</formula>
    </cfRule>
  </conditionalFormatting>
  <conditionalFormatting sqref="S89 AH89">
    <cfRule type="cellIs" dxfId="7334" priority="3628" operator="lessThan">
      <formula>0.8</formula>
    </cfRule>
  </conditionalFormatting>
  <conditionalFormatting sqref="AF31">
    <cfRule type="cellIs" dxfId="7333" priority="3626" operator="lessThan">
      <formula>0</formula>
    </cfRule>
  </conditionalFormatting>
  <conditionalFormatting sqref="AH31 S31">
    <cfRule type="cellIs" dxfId="7332" priority="3625" operator="lessThan">
      <formula>0.8</formula>
    </cfRule>
  </conditionalFormatting>
  <conditionalFormatting sqref="AG31">
    <cfRule type="cellIs" dxfId="7331" priority="3623" operator="greaterThan">
      <formula>1</formula>
    </cfRule>
    <cfRule type="cellIs" dxfId="7330" priority="3624" operator="lessThan">
      <formula>0.8</formula>
    </cfRule>
  </conditionalFormatting>
  <conditionalFormatting sqref="AF135">
    <cfRule type="cellIs" dxfId="7329" priority="3622" operator="lessThan">
      <formula>0</formula>
    </cfRule>
  </conditionalFormatting>
  <conditionalFormatting sqref="AH135 S135">
    <cfRule type="cellIs" dxfId="7328" priority="3621" operator="lessThan">
      <formula>0.8</formula>
    </cfRule>
  </conditionalFormatting>
  <conditionalFormatting sqref="AG135">
    <cfRule type="cellIs" dxfId="7327" priority="3619" operator="greaterThan">
      <formula>1</formula>
    </cfRule>
    <cfRule type="cellIs" dxfId="7326" priority="3620" operator="lessThan">
      <formula>0.8</formula>
    </cfRule>
  </conditionalFormatting>
  <conditionalFormatting sqref="AF110 AF113 AF116">
    <cfRule type="cellIs" dxfId="7325" priority="3618" operator="lessThan">
      <formula>0</formula>
    </cfRule>
  </conditionalFormatting>
  <conditionalFormatting sqref="AG110 AG113 AG116">
    <cfRule type="cellIs" dxfId="7324" priority="3616" operator="greaterThan">
      <formula>1</formula>
    </cfRule>
    <cfRule type="cellIs" dxfId="7323" priority="3617" operator="lessThan">
      <formula>0.8</formula>
    </cfRule>
  </conditionalFormatting>
  <conditionalFormatting sqref="AF108 Q108">
    <cfRule type="cellIs" dxfId="7322" priority="3615" operator="lessThan">
      <formula>0</formula>
    </cfRule>
  </conditionalFormatting>
  <conditionalFormatting sqref="R108">
    <cfRule type="cellIs" dxfId="7321" priority="3613" operator="lessThan">
      <formula>0.8</formula>
    </cfRule>
    <cfRule type="cellIs" dxfId="7320" priority="3614" operator="greaterThan">
      <formula>1</formula>
    </cfRule>
  </conditionalFormatting>
  <conditionalFormatting sqref="AG108 R108">
    <cfRule type="cellIs" dxfId="7319" priority="3611" operator="greaterThan">
      <formula>1</formula>
    </cfRule>
    <cfRule type="cellIs" dxfId="7318" priority="3612" operator="lessThan">
      <formula>0.8</formula>
    </cfRule>
  </conditionalFormatting>
  <conditionalFormatting sqref="P108">
    <cfRule type="cellIs" dxfId="7317" priority="3610" operator="greaterThan">
      <formula>0</formula>
    </cfRule>
  </conditionalFormatting>
  <conditionalFormatting sqref="AH97">
    <cfRule type="cellIs" dxfId="7316" priority="3605" operator="lessThan">
      <formula>0.8</formula>
    </cfRule>
  </conditionalFormatting>
  <conditionalFormatting sqref="AG96">
    <cfRule type="cellIs" dxfId="7315" priority="3607" operator="greaterThan">
      <formula>1</formula>
    </cfRule>
    <cfRule type="cellIs" dxfId="7314" priority="3608" operator="lessThan">
      <formula>0.8</formula>
    </cfRule>
  </conditionalFormatting>
  <conditionalFormatting sqref="AF96">
    <cfRule type="cellIs" dxfId="7313" priority="3609" operator="lessThan">
      <formula>0</formula>
    </cfRule>
  </conditionalFormatting>
  <conditionalFormatting sqref="AG97">
    <cfRule type="cellIs" dxfId="7312" priority="3603" operator="greaterThan">
      <formula>1</formula>
    </cfRule>
    <cfRule type="cellIs" dxfId="7311" priority="3604" operator="lessThan">
      <formula>0.8</formula>
    </cfRule>
  </conditionalFormatting>
  <conditionalFormatting sqref="AF97">
    <cfRule type="cellIs" dxfId="7310" priority="3606" operator="lessThan">
      <formula>0</formula>
    </cfRule>
  </conditionalFormatting>
  <conditionalFormatting sqref="AF71 AF73 AF75 AF77 AF79">
    <cfRule type="cellIs" dxfId="7309" priority="3600" operator="lessThan">
      <formula>0</formula>
    </cfRule>
  </conditionalFormatting>
  <conditionalFormatting sqref="S71 AH71">
    <cfRule type="cellIs" dxfId="7308" priority="3599" operator="lessThan">
      <formula>0.8</formula>
    </cfRule>
  </conditionalFormatting>
  <conditionalFormatting sqref="AG71 AG73 AG75 AG77 AG79">
    <cfRule type="cellIs" dxfId="7307" priority="3597" operator="greaterThan">
      <formula>1</formula>
    </cfRule>
    <cfRule type="cellIs" dxfId="7306" priority="3598" operator="lessThan">
      <formula>0.8</formula>
    </cfRule>
  </conditionalFormatting>
  <conditionalFormatting sqref="AF72 AF74 AF76 AF78 AF80">
    <cfRule type="cellIs" dxfId="7305" priority="3596" operator="lessThan">
      <formula>0</formula>
    </cfRule>
  </conditionalFormatting>
  <conditionalFormatting sqref="S72 AH72">
    <cfRule type="cellIs" dxfId="7304" priority="3595" operator="lessThan">
      <formula>0.8</formula>
    </cfRule>
  </conditionalFormatting>
  <conditionalFormatting sqref="S11">
    <cfRule type="cellIs" dxfId="7303" priority="3602" operator="lessThan">
      <formula>0.8</formula>
    </cfRule>
  </conditionalFormatting>
  <conditionalFormatting sqref="S10">
    <cfRule type="cellIs" dxfId="7302" priority="3601" operator="lessThan">
      <formula>0.8</formula>
    </cfRule>
  </conditionalFormatting>
  <conditionalFormatting sqref="AG72 AG74 AG76 AG78 AG80">
    <cfRule type="cellIs" dxfId="7301" priority="3593" operator="greaterThan">
      <formula>1</formula>
    </cfRule>
    <cfRule type="cellIs" dxfId="7300" priority="3594" operator="lessThan">
      <formula>0.8</formula>
    </cfRule>
  </conditionalFormatting>
  <conditionalFormatting sqref="AF13:AF16 Q15:Q16">
    <cfRule type="cellIs" dxfId="7299" priority="3592" operator="lessThan">
      <formula>0</formula>
    </cfRule>
  </conditionalFormatting>
  <conditionalFormatting sqref="R15:R16">
    <cfRule type="cellIs" dxfId="7298" priority="3590" operator="lessThan">
      <formula>0.8</formula>
    </cfRule>
    <cfRule type="cellIs" dxfId="7297" priority="3591" operator="greaterThan">
      <formula>1</formula>
    </cfRule>
  </conditionalFormatting>
  <conditionalFormatting sqref="AG12:AG16 R15:R16">
    <cfRule type="cellIs" dxfId="7296" priority="3588" operator="greaterThan">
      <formula>1</formula>
    </cfRule>
    <cfRule type="cellIs" dxfId="7295" priority="3589" operator="lessThan">
      <formula>0.8</formula>
    </cfRule>
  </conditionalFormatting>
  <conditionalFormatting sqref="P15:P16">
    <cfRule type="cellIs" dxfId="7294" priority="3587" operator="greaterThan">
      <formula>0</formula>
    </cfRule>
  </conditionalFormatting>
  <conditionalFormatting sqref="AF98 AF100 AF102 AF104">
    <cfRule type="cellIs" dxfId="7293" priority="3586" operator="lessThan">
      <formula>0</formula>
    </cfRule>
  </conditionalFormatting>
  <conditionalFormatting sqref="AH98">
    <cfRule type="cellIs" dxfId="7292" priority="3585" operator="lessThan">
      <formula>0.8</formula>
    </cfRule>
  </conditionalFormatting>
  <conditionalFormatting sqref="AG98 AG100 AG102 AG104">
    <cfRule type="cellIs" dxfId="7291" priority="3583" operator="greaterThan">
      <formula>1</formula>
    </cfRule>
    <cfRule type="cellIs" dxfId="7290" priority="3584" operator="lessThan">
      <formula>0.8</formula>
    </cfRule>
  </conditionalFormatting>
  <conditionalFormatting sqref="AF20 AF22 AF24 AF26 AF28">
    <cfRule type="cellIs" dxfId="7289" priority="3582" operator="lessThan">
      <formula>0</formula>
    </cfRule>
  </conditionalFormatting>
  <conditionalFormatting sqref="AG20 AG22 AG24 AG26 AG28">
    <cfRule type="cellIs" dxfId="7288" priority="3580" operator="greaterThan">
      <formula>1</formula>
    </cfRule>
    <cfRule type="cellIs" dxfId="7287" priority="3581" operator="lessThan">
      <formula>0.8</formula>
    </cfRule>
  </conditionalFormatting>
  <conditionalFormatting sqref="AF33">
    <cfRule type="cellIs" dxfId="7286" priority="3579" operator="lessThan">
      <formula>0</formula>
    </cfRule>
  </conditionalFormatting>
  <conditionalFormatting sqref="AG33">
    <cfRule type="cellIs" dxfId="7285" priority="3577" operator="greaterThan">
      <formula>1</formula>
    </cfRule>
    <cfRule type="cellIs" dxfId="7284" priority="3578" operator="lessThan">
      <formula>0.8</formula>
    </cfRule>
  </conditionalFormatting>
  <conditionalFormatting sqref="P41:P42">
    <cfRule type="cellIs" dxfId="7283" priority="3571" operator="greaterThan">
      <formula>0</formula>
    </cfRule>
  </conditionalFormatting>
  <conditionalFormatting sqref="Q41:Q42 AF34:AF42">
    <cfRule type="cellIs" dxfId="7282" priority="3576" operator="lessThan">
      <formula>0</formula>
    </cfRule>
  </conditionalFormatting>
  <conditionalFormatting sqref="R41:R42">
    <cfRule type="cellIs" dxfId="7281" priority="3574" operator="lessThan">
      <formula>0.8</formula>
    </cfRule>
    <cfRule type="cellIs" dxfId="7280" priority="3575" operator="greaterThan">
      <formula>1</formula>
    </cfRule>
  </conditionalFormatting>
  <conditionalFormatting sqref="R41:R42 AG34:AG42">
    <cfRule type="cellIs" dxfId="7279" priority="3572" operator="greaterThan">
      <formula>1</formula>
    </cfRule>
    <cfRule type="cellIs" dxfId="7278" priority="3573" operator="lessThan">
      <formula>0.8</formula>
    </cfRule>
  </conditionalFormatting>
  <conditionalFormatting sqref="AF137:AF144">
    <cfRule type="cellIs" dxfId="7277" priority="3570" operator="lessThan">
      <formula>0</formula>
    </cfRule>
  </conditionalFormatting>
  <conditionalFormatting sqref="AH137 S137">
    <cfRule type="cellIs" dxfId="7276" priority="3569" operator="lessThan">
      <formula>0.8</formula>
    </cfRule>
  </conditionalFormatting>
  <conditionalFormatting sqref="AG137:AG144">
    <cfRule type="cellIs" dxfId="7275" priority="3567" operator="greaterThan">
      <formula>1</formula>
    </cfRule>
    <cfRule type="cellIs" dxfId="7274" priority="3568" operator="lessThan">
      <formula>0.8</formula>
    </cfRule>
  </conditionalFormatting>
  <conditionalFormatting sqref="AF53:AF55">
    <cfRule type="cellIs" dxfId="7273" priority="3566" operator="lessThan">
      <formula>0</formula>
    </cfRule>
  </conditionalFormatting>
  <conditionalFormatting sqref="AG53:AG55">
    <cfRule type="cellIs" dxfId="7272" priority="3564" operator="greaterThan">
      <formula>1</formula>
    </cfRule>
    <cfRule type="cellIs" dxfId="7271" priority="3565" operator="lessThan">
      <formula>0.8</formula>
    </cfRule>
  </conditionalFormatting>
  <conditionalFormatting sqref="AF56 Q56">
    <cfRule type="cellIs" dxfId="7270" priority="3563" operator="lessThan">
      <formula>0</formula>
    </cfRule>
  </conditionalFormatting>
  <conditionalFormatting sqref="R56">
    <cfRule type="cellIs" dxfId="7269" priority="3561" operator="lessThan">
      <formula>0.8</formula>
    </cfRule>
    <cfRule type="cellIs" dxfId="7268" priority="3562" operator="greaterThan">
      <formula>1</formula>
    </cfRule>
  </conditionalFormatting>
  <conditionalFormatting sqref="AG56 R56">
    <cfRule type="cellIs" dxfId="7267" priority="3559" operator="greaterThan">
      <formula>1</formula>
    </cfRule>
    <cfRule type="cellIs" dxfId="7266" priority="3560" operator="lessThan">
      <formula>0.8</formula>
    </cfRule>
  </conditionalFormatting>
  <conditionalFormatting sqref="P56">
    <cfRule type="cellIs" dxfId="7265" priority="3558" operator="greaterThan">
      <formula>0</formula>
    </cfRule>
  </conditionalFormatting>
  <conditionalFormatting sqref="P52:P55">
    <cfRule type="cellIs" dxfId="7264" priority="3552" operator="greaterThan">
      <formula>0</formula>
    </cfRule>
  </conditionalFormatting>
  <conditionalFormatting sqref="Q52:Q55">
    <cfRule type="cellIs" dxfId="7263" priority="3557" operator="lessThan">
      <formula>0</formula>
    </cfRule>
  </conditionalFormatting>
  <conditionalFormatting sqref="R52:R55">
    <cfRule type="cellIs" dxfId="7262" priority="3555" operator="lessThan">
      <formula>0.8</formula>
    </cfRule>
    <cfRule type="cellIs" dxfId="7261" priority="3556" operator="greaterThan">
      <formula>1</formula>
    </cfRule>
  </conditionalFormatting>
  <conditionalFormatting sqref="R52:R55">
    <cfRule type="cellIs" dxfId="7260" priority="3553" operator="greaterThan">
      <formula>1</formula>
    </cfRule>
    <cfRule type="cellIs" dxfId="7259" priority="3554" operator="lessThan">
      <formula>0.8</formula>
    </cfRule>
  </conditionalFormatting>
  <conditionalFormatting sqref="P80:P81">
    <cfRule type="cellIs" dxfId="7258" priority="3546" operator="greaterThan">
      <formula>0</formula>
    </cfRule>
  </conditionalFormatting>
  <conditionalFormatting sqref="AF81 Q80:Q81">
    <cfRule type="cellIs" dxfId="7257" priority="3551" operator="lessThan">
      <formula>0</formula>
    </cfRule>
  </conditionalFormatting>
  <conditionalFormatting sqref="R80:R81">
    <cfRule type="cellIs" dxfId="7256" priority="3549" operator="lessThan">
      <formula>0.8</formula>
    </cfRule>
    <cfRule type="cellIs" dxfId="7255" priority="3550" operator="greaterThan">
      <formula>1</formula>
    </cfRule>
  </conditionalFormatting>
  <conditionalFormatting sqref="AG81 R80:R81">
    <cfRule type="cellIs" dxfId="7254" priority="3547" operator="greaterThan">
      <formula>1</formula>
    </cfRule>
    <cfRule type="cellIs" dxfId="7253" priority="3548" operator="lessThan">
      <formula>0.8</formula>
    </cfRule>
  </conditionalFormatting>
  <conditionalFormatting sqref="AH85">
    <cfRule type="cellIs" dxfId="7252" priority="3545" operator="lessThan">
      <formula>0.8</formula>
    </cfRule>
  </conditionalFormatting>
  <conditionalFormatting sqref="S85">
    <cfRule type="cellIs" dxfId="7251" priority="3544" operator="lessThan">
      <formula>0.8</formula>
    </cfRule>
  </conditionalFormatting>
  <conditionalFormatting sqref="AF99 AF101 AF103">
    <cfRule type="cellIs" dxfId="7250" priority="3543" operator="lessThan">
      <formula>0</formula>
    </cfRule>
  </conditionalFormatting>
  <conditionalFormatting sqref="AG99 AG101 AG103">
    <cfRule type="cellIs" dxfId="7249" priority="3541" operator="greaterThan">
      <formula>1</formula>
    </cfRule>
    <cfRule type="cellIs" dxfId="7248" priority="3542" operator="lessThan">
      <formula>0.8</formula>
    </cfRule>
  </conditionalFormatting>
  <conditionalFormatting sqref="AF105:AF107">
    <cfRule type="cellIs" dxfId="7247" priority="3540" operator="lessThan">
      <formula>0</formula>
    </cfRule>
  </conditionalFormatting>
  <conditionalFormatting sqref="AH100:AH107">
    <cfRule type="cellIs" dxfId="7246" priority="3539" operator="lessThan">
      <formula>0.8</formula>
    </cfRule>
  </conditionalFormatting>
  <conditionalFormatting sqref="AG105:AG107">
    <cfRule type="cellIs" dxfId="7245" priority="3537" operator="greaterThan">
      <formula>1</formula>
    </cfRule>
    <cfRule type="cellIs" dxfId="7244" priority="3538" operator="lessThan">
      <formula>0.8</formula>
    </cfRule>
  </conditionalFormatting>
  <conditionalFormatting sqref="P106:P107">
    <cfRule type="cellIs" dxfId="7243" priority="3531" operator="greaterThan">
      <formula>0</formula>
    </cfRule>
  </conditionalFormatting>
  <conditionalFormatting sqref="Q106:Q107">
    <cfRule type="cellIs" dxfId="7242" priority="3536" operator="lessThan">
      <formula>0</formula>
    </cfRule>
  </conditionalFormatting>
  <conditionalFormatting sqref="R106:R107">
    <cfRule type="cellIs" dxfId="7241" priority="3534" operator="lessThan">
      <formula>0.8</formula>
    </cfRule>
    <cfRule type="cellIs" dxfId="7240" priority="3535" operator="greaterThan">
      <formula>1</formula>
    </cfRule>
  </conditionalFormatting>
  <conditionalFormatting sqref="R106:R107">
    <cfRule type="cellIs" dxfId="7239" priority="3532" operator="greaterThan">
      <formula>1</formula>
    </cfRule>
    <cfRule type="cellIs" dxfId="7238" priority="3533" operator="lessThan">
      <formula>0.8</formula>
    </cfRule>
  </conditionalFormatting>
  <conditionalFormatting sqref="AF109">
    <cfRule type="cellIs" dxfId="7237" priority="3530" operator="lessThan">
      <formula>0</formula>
    </cfRule>
  </conditionalFormatting>
  <conditionalFormatting sqref="S109">
    <cfRule type="cellIs" dxfId="7236" priority="3529" operator="lessThan">
      <formula>0.8</formula>
    </cfRule>
  </conditionalFormatting>
  <conditionalFormatting sqref="AG109">
    <cfRule type="cellIs" dxfId="7235" priority="3527" operator="greaterThan">
      <formula>1</formula>
    </cfRule>
    <cfRule type="cellIs" dxfId="7234" priority="3528" operator="lessThan">
      <formula>0.8</formula>
    </cfRule>
  </conditionalFormatting>
  <conditionalFormatting sqref="S150">
    <cfRule type="cellIs" dxfId="7233" priority="3526" operator="lessThan">
      <formula>0.8</formula>
    </cfRule>
  </conditionalFormatting>
  <conditionalFormatting sqref="AH150">
    <cfRule type="cellIs" dxfId="7232" priority="3525" operator="lessThan">
      <formula>0.8</formula>
    </cfRule>
  </conditionalFormatting>
  <conditionalFormatting sqref="S149">
    <cfRule type="cellIs" dxfId="7231" priority="3524" operator="lessThan">
      <formula>0.8</formula>
    </cfRule>
  </conditionalFormatting>
  <conditionalFormatting sqref="Q26:Q29">
    <cfRule type="cellIs" dxfId="7230" priority="3523" operator="lessThan">
      <formula>0</formula>
    </cfRule>
  </conditionalFormatting>
  <conditionalFormatting sqref="S21:S29 AH21:AH29">
    <cfRule type="cellIs" dxfId="7229" priority="3522" operator="lessThan">
      <formula>0.8</formula>
    </cfRule>
  </conditionalFormatting>
  <conditionalFormatting sqref="R26:R29">
    <cfRule type="cellIs" dxfId="7228" priority="3520" operator="lessThan">
      <formula>0.8</formula>
    </cfRule>
    <cfRule type="cellIs" dxfId="7227" priority="3521" operator="greaterThan">
      <formula>1</formula>
    </cfRule>
  </conditionalFormatting>
  <conditionalFormatting sqref="R26:R29">
    <cfRule type="cellIs" dxfId="7226" priority="3518" operator="greaterThan">
      <formula>1</formula>
    </cfRule>
    <cfRule type="cellIs" dxfId="7225" priority="3519" operator="lessThan">
      <formula>0.8</formula>
    </cfRule>
  </conditionalFormatting>
  <conditionalFormatting sqref="P26:P29">
    <cfRule type="cellIs" dxfId="7224" priority="3517" operator="greaterThan">
      <formula>0</formula>
    </cfRule>
  </conditionalFormatting>
  <conditionalFormatting sqref="AH91 S91">
    <cfRule type="cellIs" dxfId="7223" priority="3516" operator="lessThan">
      <formula>0.8</formula>
    </cfRule>
  </conditionalFormatting>
  <conditionalFormatting sqref="P92:P94">
    <cfRule type="cellIs" dxfId="7222" priority="3510" operator="greaterThan">
      <formula>0</formula>
    </cfRule>
  </conditionalFormatting>
  <conditionalFormatting sqref="Q92:Q94">
    <cfRule type="cellIs" dxfId="7221" priority="3515" operator="lessThan">
      <formula>0</formula>
    </cfRule>
  </conditionalFormatting>
  <conditionalFormatting sqref="R92:R94">
    <cfRule type="cellIs" dxfId="7220" priority="3513" operator="lessThan">
      <formula>0.8</formula>
    </cfRule>
    <cfRule type="cellIs" dxfId="7219" priority="3514" operator="greaterThan">
      <formula>1</formula>
    </cfRule>
  </conditionalFormatting>
  <conditionalFormatting sqref="R92:R94">
    <cfRule type="cellIs" dxfId="7218" priority="3511" operator="greaterThan">
      <formula>1</formula>
    </cfRule>
    <cfRule type="cellIs" dxfId="7217" priority="3512" operator="lessThan">
      <formula>0.8</formula>
    </cfRule>
  </conditionalFormatting>
  <conditionalFormatting sqref="AF146 Q144:Q146">
    <cfRule type="cellIs" dxfId="7216" priority="3509" operator="lessThan">
      <formula>0</formula>
    </cfRule>
  </conditionalFormatting>
  <conditionalFormatting sqref="AH139:AH146 S139:S146">
    <cfRule type="cellIs" dxfId="7215" priority="3508" operator="lessThan">
      <formula>0.8</formula>
    </cfRule>
  </conditionalFormatting>
  <conditionalFormatting sqref="R144:R146">
    <cfRule type="cellIs" dxfId="7214" priority="3506" operator="lessThan">
      <formula>0.8</formula>
    </cfRule>
    <cfRule type="cellIs" dxfId="7213" priority="3507" operator="greaterThan">
      <formula>1</formula>
    </cfRule>
  </conditionalFormatting>
  <conditionalFormatting sqref="AG146 R144:R146">
    <cfRule type="cellIs" dxfId="7212" priority="3504" operator="greaterThan">
      <formula>1</formula>
    </cfRule>
    <cfRule type="cellIs" dxfId="7211" priority="3505" operator="lessThan">
      <formula>0.8</formula>
    </cfRule>
  </conditionalFormatting>
  <conditionalFormatting sqref="P144:P146">
    <cfRule type="cellIs" dxfId="7210" priority="3503" operator="greaterThan">
      <formula>0</formula>
    </cfRule>
  </conditionalFormatting>
  <conditionalFormatting sqref="Q119:Q120">
    <cfRule type="cellIs" dxfId="7209" priority="3502" operator="lessThan">
      <formula>0</formula>
    </cfRule>
  </conditionalFormatting>
  <conditionalFormatting sqref="R119:R120">
    <cfRule type="cellIs" dxfId="7208" priority="3500" operator="lessThan">
      <formula>0.8</formula>
    </cfRule>
    <cfRule type="cellIs" dxfId="7207" priority="3501" operator="greaterThan">
      <formula>1</formula>
    </cfRule>
  </conditionalFormatting>
  <conditionalFormatting sqref="R119:R120">
    <cfRule type="cellIs" dxfId="7206" priority="3498" operator="greaterThan">
      <formula>1</formula>
    </cfRule>
    <cfRule type="cellIs" dxfId="7205" priority="3499" operator="lessThan">
      <formula>0.8</formula>
    </cfRule>
  </conditionalFormatting>
  <conditionalFormatting sqref="P119:P120">
    <cfRule type="cellIs" dxfId="7204" priority="3497" operator="greaterThan">
      <formula>0</formula>
    </cfRule>
  </conditionalFormatting>
  <conditionalFormatting sqref="AF118:AF120">
    <cfRule type="cellIs" dxfId="7203" priority="3496" operator="lessThan">
      <formula>0</formula>
    </cfRule>
  </conditionalFormatting>
  <conditionalFormatting sqref="AG118:AG120">
    <cfRule type="cellIs" dxfId="7202" priority="3494" operator="greaterThan">
      <formula>1</formula>
    </cfRule>
    <cfRule type="cellIs" dxfId="7201" priority="3495" operator="lessThan">
      <formula>0.8</formula>
    </cfRule>
  </conditionalFormatting>
  <conditionalFormatting sqref="S44:S56">
    <cfRule type="cellIs" dxfId="7200" priority="3493" operator="lessThan">
      <formula>0.8</formula>
    </cfRule>
  </conditionalFormatting>
  <conditionalFormatting sqref="S108">
    <cfRule type="cellIs" dxfId="7199" priority="3492" operator="lessThan">
      <formula>0.8</formula>
    </cfRule>
  </conditionalFormatting>
  <conditionalFormatting sqref="S96">
    <cfRule type="cellIs" dxfId="7198" priority="3491" operator="lessThan">
      <formula>0.8</formula>
    </cfRule>
  </conditionalFormatting>
  <conditionalFormatting sqref="S97">
    <cfRule type="cellIs" dxfId="7197" priority="3490" operator="lessThan">
      <formula>0.8</formula>
    </cfRule>
  </conditionalFormatting>
  <conditionalFormatting sqref="S103">
    <cfRule type="cellIs" dxfId="7196" priority="3489" operator="lessThan">
      <formula>0.8</formula>
    </cfRule>
  </conditionalFormatting>
  <conditionalFormatting sqref="S99">
    <cfRule type="cellIs" dxfId="7195" priority="3488" operator="lessThan">
      <formula>0.8</formula>
    </cfRule>
  </conditionalFormatting>
  <conditionalFormatting sqref="S101">
    <cfRule type="cellIs" dxfId="7194" priority="3485" operator="lessThan">
      <formula>0.8</formula>
    </cfRule>
  </conditionalFormatting>
  <conditionalFormatting sqref="S100">
    <cfRule type="cellIs" dxfId="7193" priority="3487" operator="lessThan">
      <formula>0.8</formula>
    </cfRule>
  </conditionalFormatting>
  <conditionalFormatting sqref="S102">
    <cfRule type="cellIs" dxfId="7192" priority="3486" operator="lessThan">
      <formula>0.8</formula>
    </cfRule>
  </conditionalFormatting>
  <conditionalFormatting sqref="S98">
    <cfRule type="cellIs" dxfId="7191" priority="3484" operator="lessThan">
      <formula>0.8</formula>
    </cfRule>
  </conditionalFormatting>
  <conditionalFormatting sqref="S104">
    <cfRule type="cellIs" dxfId="7190" priority="3483" operator="lessThan">
      <formula>0.8</formula>
    </cfRule>
  </conditionalFormatting>
  <conditionalFormatting sqref="P118">
    <cfRule type="cellIs" dxfId="7189" priority="3477" operator="greaterThan">
      <formula>0</formula>
    </cfRule>
  </conditionalFormatting>
  <conditionalFormatting sqref="Q118">
    <cfRule type="cellIs" dxfId="7188" priority="3482" operator="lessThan">
      <formula>0</formula>
    </cfRule>
  </conditionalFormatting>
  <conditionalFormatting sqref="R118">
    <cfRule type="cellIs" dxfId="7187" priority="3480" operator="lessThan">
      <formula>0.8</formula>
    </cfRule>
    <cfRule type="cellIs" dxfId="7186" priority="3481" operator="greaterThan">
      <formula>1</formula>
    </cfRule>
  </conditionalFormatting>
  <conditionalFormatting sqref="R118">
    <cfRule type="cellIs" dxfId="7185" priority="3478" operator="greaterThan">
      <formula>1</formula>
    </cfRule>
    <cfRule type="cellIs" dxfId="7184" priority="3479" operator="lessThan">
      <formula>0.8</formula>
    </cfRule>
  </conditionalFormatting>
  <conditionalFormatting sqref="Q162:Q166">
    <cfRule type="cellIs" dxfId="7183" priority="3476" operator="lessThan">
      <formula>0</formula>
    </cfRule>
  </conditionalFormatting>
  <conditionalFormatting sqref="R162:R166">
    <cfRule type="cellIs" dxfId="7182" priority="3474" operator="lessThan">
      <formula>0.8</formula>
    </cfRule>
    <cfRule type="cellIs" dxfId="7181" priority="3475" operator="greaterThan">
      <formula>1</formula>
    </cfRule>
  </conditionalFormatting>
  <conditionalFormatting sqref="R162:R166">
    <cfRule type="cellIs" dxfId="7180" priority="3472" operator="greaterThan">
      <formula>1</formula>
    </cfRule>
    <cfRule type="cellIs" dxfId="7179" priority="3473" operator="lessThan">
      <formula>0.8</formula>
    </cfRule>
  </conditionalFormatting>
  <conditionalFormatting sqref="P162:P166">
    <cfRule type="cellIs" dxfId="7178" priority="3471" operator="greaterThan">
      <formula>0</formula>
    </cfRule>
  </conditionalFormatting>
  <conditionalFormatting sqref="P167:P168">
    <cfRule type="cellIs" dxfId="7177" priority="3465" operator="greaterThan">
      <formula>0</formula>
    </cfRule>
  </conditionalFormatting>
  <conditionalFormatting sqref="R167:R168">
    <cfRule type="cellIs" dxfId="7176" priority="3468" operator="lessThan">
      <formula>0.8</formula>
    </cfRule>
    <cfRule type="cellIs" dxfId="7175" priority="3469" operator="greaterThan">
      <formula>1</formula>
    </cfRule>
  </conditionalFormatting>
  <conditionalFormatting sqref="R167:R168">
    <cfRule type="cellIs" dxfId="7174" priority="3466" operator="greaterThan">
      <formula>1</formula>
    </cfRule>
    <cfRule type="cellIs" dxfId="7173" priority="3467" operator="lessThan">
      <formula>0.8</formula>
    </cfRule>
  </conditionalFormatting>
  <conditionalFormatting sqref="Q167:Q168">
    <cfRule type="cellIs" dxfId="7172" priority="3470" operator="lessThan">
      <formula>0</formula>
    </cfRule>
  </conditionalFormatting>
  <conditionalFormatting sqref="Q117">
    <cfRule type="cellIs" dxfId="7171" priority="3464" operator="lessThan">
      <formula>0</formula>
    </cfRule>
  </conditionalFormatting>
  <conditionalFormatting sqref="R117">
    <cfRule type="cellIs" dxfId="7170" priority="3462" operator="lessThan">
      <formula>0.8</formula>
    </cfRule>
    <cfRule type="cellIs" dxfId="7169" priority="3463" operator="greaterThan">
      <formula>1</formula>
    </cfRule>
  </conditionalFormatting>
  <conditionalFormatting sqref="R117">
    <cfRule type="cellIs" dxfId="7168" priority="3460" operator="greaterThan">
      <formula>1</formula>
    </cfRule>
    <cfRule type="cellIs" dxfId="7167" priority="3461" operator="lessThan">
      <formula>0.8</formula>
    </cfRule>
  </conditionalFormatting>
  <conditionalFormatting sqref="P117">
    <cfRule type="cellIs" dxfId="7166" priority="3459" operator="greaterThan">
      <formula>0</formula>
    </cfRule>
  </conditionalFormatting>
  <conditionalFormatting sqref="Q117">
    <cfRule type="cellIs" dxfId="7165" priority="3458" operator="lessThan">
      <formula>0</formula>
    </cfRule>
  </conditionalFormatting>
  <conditionalFormatting sqref="R117">
    <cfRule type="cellIs" dxfId="7164" priority="3456" operator="lessThan">
      <formula>0.8</formula>
    </cfRule>
    <cfRule type="cellIs" dxfId="7163" priority="3457" operator="greaterThan">
      <formula>1</formula>
    </cfRule>
  </conditionalFormatting>
  <conditionalFormatting sqref="R117">
    <cfRule type="cellIs" dxfId="7162" priority="3454" operator="greaterThan">
      <formula>1</formula>
    </cfRule>
    <cfRule type="cellIs" dxfId="7161" priority="3455" operator="lessThan">
      <formula>0.8</formula>
    </cfRule>
  </conditionalFormatting>
  <conditionalFormatting sqref="P117">
    <cfRule type="cellIs" dxfId="7160" priority="3453" operator="greaterThan">
      <formula>0</formula>
    </cfRule>
  </conditionalFormatting>
  <conditionalFormatting sqref="P117">
    <cfRule type="cellIs" dxfId="7159" priority="3447" operator="greaterThan">
      <formula>0</formula>
    </cfRule>
  </conditionalFormatting>
  <conditionalFormatting sqref="Q117">
    <cfRule type="cellIs" dxfId="7158" priority="3452" operator="lessThan">
      <formula>0</formula>
    </cfRule>
  </conditionalFormatting>
  <conditionalFormatting sqref="R117">
    <cfRule type="cellIs" dxfId="7157" priority="3450" operator="lessThan">
      <formula>0.8</formula>
    </cfRule>
    <cfRule type="cellIs" dxfId="7156" priority="3451" operator="greaterThan">
      <formula>1</formula>
    </cfRule>
  </conditionalFormatting>
  <conditionalFormatting sqref="R117">
    <cfRule type="cellIs" dxfId="7155" priority="3448" operator="greaterThan">
      <formula>1</formula>
    </cfRule>
    <cfRule type="cellIs" dxfId="7154" priority="3449" operator="lessThan">
      <formula>0.8</formula>
    </cfRule>
  </conditionalFormatting>
  <conditionalFormatting sqref="P117">
    <cfRule type="cellIs" dxfId="7153" priority="3441" operator="greaterThan">
      <formula>0</formula>
    </cfRule>
  </conditionalFormatting>
  <conditionalFormatting sqref="Q117">
    <cfRule type="cellIs" dxfId="7152" priority="3446" operator="lessThan">
      <formula>0</formula>
    </cfRule>
  </conditionalFormatting>
  <conditionalFormatting sqref="R117">
    <cfRule type="cellIs" dxfId="7151" priority="3444" operator="lessThan">
      <formula>0.8</formula>
    </cfRule>
    <cfRule type="cellIs" dxfId="7150" priority="3445" operator="greaterThan">
      <formula>1</formula>
    </cfRule>
  </conditionalFormatting>
  <conditionalFormatting sqref="R117">
    <cfRule type="cellIs" dxfId="7149" priority="3442" operator="greaterThan">
      <formula>1</formula>
    </cfRule>
    <cfRule type="cellIs" dxfId="7148" priority="3443" operator="lessThan">
      <formula>0.8</formula>
    </cfRule>
  </conditionalFormatting>
  <conditionalFormatting sqref="P117">
    <cfRule type="cellIs" dxfId="7147" priority="3435" operator="greaterThan">
      <formula>0</formula>
    </cfRule>
  </conditionalFormatting>
  <conditionalFormatting sqref="Q117">
    <cfRule type="cellIs" dxfId="7146" priority="3440" operator="lessThan">
      <formula>0</formula>
    </cfRule>
  </conditionalFormatting>
  <conditionalFormatting sqref="R117">
    <cfRule type="cellIs" dxfId="7145" priority="3438" operator="lessThan">
      <formula>0.8</formula>
    </cfRule>
    <cfRule type="cellIs" dxfId="7144" priority="3439" operator="greaterThan">
      <formula>1</formula>
    </cfRule>
  </conditionalFormatting>
  <conditionalFormatting sqref="R117">
    <cfRule type="cellIs" dxfId="7143" priority="3436" operator="greaterThan">
      <formula>1</formula>
    </cfRule>
    <cfRule type="cellIs" dxfId="7142" priority="3437" operator="lessThan">
      <formula>0.8</formula>
    </cfRule>
  </conditionalFormatting>
  <conditionalFormatting sqref="Q117">
    <cfRule type="cellIs" dxfId="7141" priority="3434" operator="lessThan">
      <formula>0</formula>
    </cfRule>
  </conditionalFormatting>
  <conditionalFormatting sqref="R117">
    <cfRule type="cellIs" dxfId="7140" priority="3432" operator="lessThan">
      <formula>0.8</formula>
    </cfRule>
    <cfRule type="cellIs" dxfId="7139" priority="3433" operator="greaterThan">
      <formula>1</formula>
    </cfRule>
  </conditionalFormatting>
  <conditionalFormatting sqref="R117">
    <cfRule type="cellIs" dxfId="7138" priority="3430" operator="greaterThan">
      <formula>1</formula>
    </cfRule>
    <cfRule type="cellIs" dxfId="7137" priority="3431" operator="lessThan">
      <formula>0.8</formula>
    </cfRule>
  </conditionalFormatting>
  <conditionalFormatting sqref="P117">
    <cfRule type="cellIs" dxfId="7136" priority="3429" operator="greaterThan">
      <formula>0</formula>
    </cfRule>
  </conditionalFormatting>
  <conditionalFormatting sqref="P117">
    <cfRule type="cellIs" dxfId="7135" priority="3423" operator="greaterThan">
      <formula>0</formula>
    </cfRule>
  </conditionalFormatting>
  <conditionalFormatting sqref="Q117">
    <cfRule type="cellIs" dxfId="7134" priority="3428" operator="lessThan">
      <formula>0</formula>
    </cfRule>
  </conditionalFormatting>
  <conditionalFormatting sqref="R117">
    <cfRule type="cellIs" dxfId="7133" priority="3426" operator="lessThan">
      <formula>0.8</formula>
    </cfRule>
    <cfRule type="cellIs" dxfId="7132" priority="3427" operator="greaterThan">
      <formula>1</formula>
    </cfRule>
  </conditionalFormatting>
  <conditionalFormatting sqref="R117">
    <cfRule type="cellIs" dxfId="7131" priority="3424" operator="greaterThan">
      <formula>1</formula>
    </cfRule>
    <cfRule type="cellIs" dxfId="7130" priority="3425" operator="lessThan">
      <formula>0.8</formula>
    </cfRule>
  </conditionalFormatting>
  <conditionalFormatting sqref="P117">
    <cfRule type="cellIs" dxfId="7129" priority="3417" operator="greaterThan">
      <formula>0</formula>
    </cfRule>
  </conditionalFormatting>
  <conditionalFormatting sqref="Q117">
    <cfRule type="cellIs" dxfId="7128" priority="3422" operator="lessThan">
      <formula>0</formula>
    </cfRule>
  </conditionalFormatting>
  <conditionalFormatting sqref="R117">
    <cfRule type="cellIs" dxfId="7127" priority="3420" operator="lessThan">
      <formula>0.8</formula>
    </cfRule>
    <cfRule type="cellIs" dxfId="7126" priority="3421" operator="greaterThan">
      <formula>1</formula>
    </cfRule>
  </conditionalFormatting>
  <conditionalFormatting sqref="R117">
    <cfRule type="cellIs" dxfId="7125" priority="3418" operator="greaterThan">
      <formula>1</formula>
    </cfRule>
    <cfRule type="cellIs" dxfId="7124" priority="3419" operator="lessThan">
      <formula>0.8</formula>
    </cfRule>
  </conditionalFormatting>
  <conditionalFormatting sqref="Q117">
    <cfRule type="cellIs" dxfId="7123" priority="3416" operator="lessThan">
      <formula>0</formula>
    </cfRule>
  </conditionalFormatting>
  <conditionalFormatting sqref="R117">
    <cfRule type="cellIs" dxfId="7122" priority="3414" operator="lessThan">
      <formula>0.8</formula>
    </cfRule>
    <cfRule type="cellIs" dxfId="7121" priority="3415" operator="greaterThan">
      <formula>1</formula>
    </cfRule>
  </conditionalFormatting>
  <conditionalFormatting sqref="R117">
    <cfRule type="cellIs" dxfId="7120" priority="3412" operator="greaterThan">
      <formula>1</formula>
    </cfRule>
    <cfRule type="cellIs" dxfId="7119" priority="3413" operator="lessThan">
      <formula>0.8</formula>
    </cfRule>
  </conditionalFormatting>
  <conditionalFormatting sqref="P117">
    <cfRule type="cellIs" dxfId="7118" priority="3411" operator="greaterThan">
      <formula>0</formula>
    </cfRule>
  </conditionalFormatting>
  <conditionalFormatting sqref="P117">
    <cfRule type="cellIs" dxfId="7117" priority="3405" operator="greaterThan">
      <formula>0</formula>
    </cfRule>
  </conditionalFormatting>
  <conditionalFormatting sqref="Q117">
    <cfRule type="cellIs" dxfId="7116" priority="3410" operator="lessThan">
      <formula>0</formula>
    </cfRule>
  </conditionalFormatting>
  <conditionalFormatting sqref="R117">
    <cfRule type="cellIs" dxfId="7115" priority="3408" operator="lessThan">
      <formula>0.8</formula>
    </cfRule>
    <cfRule type="cellIs" dxfId="7114" priority="3409" operator="greaterThan">
      <formula>1</formula>
    </cfRule>
  </conditionalFormatting>
  <conditionalFormatting sqref="R117">
    <cfRule type="cellIs" dxfId="7113" priority="3406" operator="greaterThan">
      <formula>1</formula>
    </cfRule>
    <cfRule type="cellIs" dxfId="7112" priority="3407" operator="lessThan">
      <formula>0.8</formula>
    </cfRule>
  </conditionalFormatting>
  <conditionalFormatting sqref="Q117">
    <cfRule type="cellIs" dxfId="7111" priority="3404" operator="lessThan">
      <formula>0</formula>
    </cfRule>
  </conditionalFormatting>
  <conditionalFormatting sqref="R117">
    <cfRule type="cellIs" dxfId="7110" priority="3402" operator="lessThan">
      <formula>0.8</formula>
    </cfRule>
    <cfRule type="cellIs" dxfId="7109" priority="3403" operator="greaterThan">
      <formula>1</formula>
    </cfRule>
  </conditionalFormatting>
  <conditionalFormatting sqref="R117">
    <cfRule type="cellIs" dxfId="7108" priority="3400" operator="greaterThan">
      <formula>1</formula>
    </cfRule>
    <cfRule type="cellIs" dxfId="7107" priority="3401" operator="lessThan">
      <formula>0.8</formula>
    </cfRule>
  </conditionalFormatting>
  <conditionalFormatting sqref="P117">
    <cfRule type="cellIs" dxfId="7106" priority="3399" operator="greaterThan">
      <formula>0</formula>
    </cfRule>
  </conditionalFormatting>
  <conditionalFormatting sqref="Q117">
    <cfRule type="cellIs" dxfId="7105" priority="3398" operator="lessThan">
      <formula>0</formula>
    </cfRule>
  </conditionalFormatting>
  <conditionalFormatting sqref="R117">
    <cfRule type="cellIs" dxfId="7104" priority="3396" operator="lessThan">
      <formula>0.8</formula>
    </cfRule>
    <cfRule type="cellIs" dxfId="7103" priority="3397" operator="greaterThan">
      <formula>1</formula>
    </cfRule>
  </conditionalFormatting>
  <conditionalFormatting sqref="R117">
    <cfRule type="cellIs" dxfId="7102" priority="3394" operator="greaterThan">
      <formula>1</formula>
    </cfRule>
    <cfRule type="cellIs" dxfId="7101" priority="3395" operator="lessThan">
      <formula>0.8</formula>
    </cfRule>
  </conditionalFormatting>
  <conditionalFormatting sqref="P117">
    <cfRule type="cellIs" dxfId="7100" priority="3393" operator="greaterThan">
      <formula>0</formula>
    </cfRule>
  </conditionalFormatting>
  <conditionalFormatting sqref="Q83">
    <cfRule type="cellIs" dxfId="7099" priority="3392" operator="lessThan">
      <formula>0</formula>
    </cfRule>
  </conditionalFormatting>
  <conditionalFormatting sqref="R83">
    <cfRule type="cellIs" dxfId="7098" priority="3390" operator="lessThan">
      <formula>0.8</formula>
    </cfRule>
    <cfRule type="cellIs" dxfId="7097" priority="3391" operator="greaterThan">
      <formula>1</formula>
    </cfRule>
  </conditionalFormatting>
  <conditionalFormatting sqref="R83">
    <cfRule type="cellIs" dxfId="7096" priority="3388" operator="greaterThan">
      <formula>1</formula>
    </cfRule>
    <cfRule type="cellIs" dxfId="7095" priority="3389" operator="lessThan">
      <formula>0.8</formula>
    </cfRule>
  </conditionalFormatting>
  <conditionalFormatting sqref="P83">
    <cfRule type="cellIs" dxfId="7094" priority="3387" operator="greaterThan">
      <formula>0</formula>
    </cfRule>
  </conditionalFormatting>
  <conditionalFormatting sqref="Q83">
    <cfRule type="cellIs" dxfId="7093" priority="3386" operator="lessThan">
      <formula>0</formula>
    </cfRule>
  </conditionalFormatting>
  <conditionalFormatting sqref="R83">
    <cfRule type="cellIs" dxfId="7092" priority="3384" operator="lessThan">
      <formula>0.8</formula>
    </cfRule>
    <cfRule type="cellIs" dxfId="7091" priority="3385" operator="greaterThan">
      <formula>1</formula>
    </cfRule>
  </conditionalFormatting>
  <conditionalFormatting sqref="R83">
    <cfRule type="cellIs" dxfId="7090" priority="3382" operator="greaterThan">
      <formula>1</formula>
    </cfRule>
    <cfRule type="cellIs" dxfId="7089" priority="3383" operator="lessThan">
      <formula>0.8</formula>
    </cfRule>
  </conditionalFormatting>
  <conditionalFormatting sqref="P83">
    <cfRule type="cellIs" dxfId="7088" priority="3381" operator="greaterThan">
      <formula>0</formula>
    </cfRule>
  </conditionalFormatting>
  <conditionalFormatting sqref="Q83">
    <cfRule type="cellIs" dxfId="7087" priority="3380" operator="lessThan">
      <formula>0</formula>
    </cfRule>
  </conditionalFormatting>
  <conditionalFormatting sqref="R83">
    <cfRule type="cellIs" dxfId="7086" priority="3378" operator="lessThan">
      <formula>0.8</formula>
    </cfRule>
    <cfRule type="cellIs" dxfId="7085" priority="3379" operator="greaterThan">
      <formula>1</formula>
    </cfRule>
  </conditionalFormatting>
  <conditionalFormatting sqref="R83">
    <cfRule type="cellIs" dxfId="7084" priority="3376" operator="greaterThan">
      <formula>1</formula>
    </cfRule>
    <cfRule type="cellIs" dxfId="7083" priority="3377" operator="lessThan">
      <formula>0.8</formula>
    </cfRule>
  </conditionalFormatting>
  <conditionalFormatting sqref="P83">
    <cfRule type="cellIs" dxfId="7082" priority="3375" operator="greaterThan">
      <formula>0</formula>
    </cfRule>
  </conditionalFormatting>
  <conditionalFormatting sqref="Q83">
    <cfRule type="cellIs" dxfId="7081" priority="3374" operator="lessThan">
      <formula>0</formula>
    </cfRule>
  </conditionalFormatting>
  <conditionalFormatting sqref="R83">
    <cfRule type="cellIs" dxfId="7080" priority="3372" operator="lessThan">
      <formula>0.8</formula>
    </cfRule>
    <cfRule type="cellIs" dxfId="7079" priority="3373" operator="greaterThan">
      <formula>1</formula>
    </cfRule>
  </conditionalFormatting>
  <conditionalFormatting sqref="R83">
    <cfRule type="cellIs" dxfId="7078" priority="3370" operator="greaterThan">
      <formula>1</formula>
    </cfRule>
    <cfRule type="cellIs" dxfId="7077" priority="3371" operator="lessThan">
      <formula>0.8</formula>
    </cfRule>
  </conditionalFormatting>
  <conditionalFormatting sqref="P83">
    <cfRule type="cellIs" dxfId="7076" priority="3369" operator="greaterThan">
      <formula>0</formula>
    </cfRule>
  </conditionalFormatting>
  <conditionalFormatting sqref="P83">
    <cfRule type="cellIs" dxfId="7075" priority="3363" operator="greaterThan">
      <formula>0</formula>
    </cfRule>
  </conditionalFormatting>
  <conditionalFormatting sqref="Q83">
    <cfRule type="cellIs" dxfId="7074" priority="3368" operator="lessThan">
      <formula>0</formula>
    </cfRule>
  </conditionalFormatting>
  <conditionalFormatting sqref="R83">
    <cfRule type="cellIs" dxfId="7073" priority="3366" operator="lessThan">
      <formula>0.8</formula>
    </cfRule>
    <cfRule type="cellIs" dxfId="7072" priority="3367" operator="greaterThan">
      <formula>1</formula>
    </cfRule>
  </conditionalFormatting>
  <conditionalFormatting sqref="R83">
    <cfRule type="cellIs" dxfId="7071" priority="3364" operator="greaterThan">
      <formula>1</formula>
    </cfRule>
    <cfRule type="cellIs" dxfId="7070" priority="3365" operator="lessThan">
      <formula>0.8</formula>
    </cfRule>
  </conditionalFormatting>
  <conditionalFormatting sqref="P83">
    <cfRule type="cellIs" dxfId="7069" priority="3357" operator="greaterThan">
      <formula>0</formula>
    </cfRule>
  </conditionalFormatting>
  <conditionalFormatting sqref="Q83">
    <cfRule type="cellIs" dxfId="7068" priority="3362" operator="lessThan">
      <formula>0</formula>
    </cfRule>
  </conditionalFormatting>
  <conditionalFormatting sqref="R83">
    <cfRule type="cellIs" dxfId="7067" priority="3360" operator="lessThan">
      <formula>0.8</formula>
    </cfRule>
    <cfRule type="cellIs" dxfId="7066" priority="3361" operator="greaterThan">
      <formula>1</formula>
    </cfRule>
  </conditionalFormatting>
  <conditionalFormatting sqref="R83">
    <cfRule type="cellIs" dxfId="7065" priority="3358" operator="greaterThan">
      <formula>1</formula>
    </cfRule>
    <cfRule type="cellIs" dxfId="7064" priority="3359" operator="lessThan">
      <formula>0.8</formula>
    </cfRule>
  </conditionalFormatting>
  <conditionalFormatting sqref="R83">
    <cfRule type="cellIs" dxfId="7063" priority="3354" operator="lessThan">
      <formula>0.8</formula>
    </cfRule>
    <cfRule type="cellIs" dxfId="7062" priority="3355" operator="greaterThan">
      <formula>1</formula>
    </cfRule>
  </conditionalFormatting>
  <conditionalFormatting sqref="R83">
    <cfRule type="cellIs" dxfId="7061" priority="3352" operator="greaterThan">
      <formula>1</formula>
    </cfRule>
    <cfRule type="cellIs" dxfId="7060" priority="3353" operator="lessThan">
      <formula>0.8</formula>
    </cfRule>
  </conditionalFormatting>
  <conditionalFormatting sqref="P83">
    <cfRule type="cellIs" dxfId="7059" priority="3351" operator="greaterThan">
      <formula>0</formula>
    </cfRule>
  </conditionalFormatting>
  <conditionalFormatting sqref="Q83">
    <cfRule type="cellIs" dxfId="7058" priority="3356" operator="lessThan">
      <formula>0</formula>
    </cfRule>
  </conditionalFormatting>
  <conditionalFormatting sqref="Q83">
    <cfRule type="cellIs" dxfId="7057" priority="3350" operator="lessThan">
      <formula>0</formula>
    </cfRule>
  </conditionalFormatting>
  <conditionalFormatting sqref="R83">
    <cfRule type="cellIs" dxfId="7056" priority="3348" operator="lessThan">
      <formula>0.8</formula>
    </cfRule>
    <cfRule type="cellIs" dxfId="7055" priority="3349" operator="greaterThan">
      <formula>1</formula>
    </cfRule>
  </conditionalFormatting>
  <conditionalFormatting sqref="R83">
    <cfRule type="cellIs" dxfId="7054" priority="3346" operator="greaterThan">
      <formula>1</formula>
    </cfRule>
    <cfRule type="cellIs" dxfId="7053" priority="3347" operator="lessThan">
      <formula>0.8</formula>
    </cfRule>
  </conditionalFormatting>
  <conditionalFormatting sqref="P83">
    <cfRule type="cellIs" dxfId="7052" priority="3345" operator="greaterThan">
      <formula>0</formula>
    </cfRule>
  </conditionalFormatting>
  <conditionalFormatting sqref="P83">
    <cfRule type="cellIs" dxfId="7051" priority="3339" operator="greaterThan">
      <formula>0</formula>
    </cfRule>
  </conditionalFormatting>
  <conditionalFormatting sqref="Q83">
    <cfRule type="cellIs" dxfId="7050" priority="3344" operator="lessThan">
      <formula>0</formula>
    </cfRule>
  </conditionalFormatting>
  <conditionalFormatting sqref="R83">
    <cfRule type="cellIs" dxfId="7049" priority="3342" operator="lessThan">
      <formula>0.8</formula>
    </cfRule>
    <cfRule type="cellIs" dxfId="7048" priority="3343" operator="greaterThan">
      <formula>1</formula>
    </cfRule>
  </conditionalFormatting>
  <conditionalFormatting sqref="R83">
    <cfRule type="cellIs" dxfId="7047" priority="3340" operator="greaterThan">
      <formula>1</formula>
    </cfRule>
    <cfRule type="cellIs" dxfId="7046" priority="3341" operator="lessThan">
      <formula>0.8</formula>
    </cfRule>
  </conditionalFormatting>
  <conditionalFormatting sqref="P83">
    <cfRule type="cellIs" dxfId="7045" priority="3333" operator="greaterThan">
      <formula>0</formula>
    </cfRule>
  </conditionalFormatting>
  <conditionalFormatting sqref="Q83">
    <cfRule type="cellIs" dxfId="7044" priority="3338" operator="lessThan">
      <formula>0</formula>
    </cfRule>
  </conditionalFormatting>
  <conditionalFormatting sqref="R83">
    <cfRule type="cellIs" dxfId="7043" priority="3336" operator="lessThan">
      <formula>0.8</formula>
    </cfRule>
    <cfRule type="cellIs" dxfId="7042" priority="3337" operator="greaterThan">
      <formula>1</formula>
    </cfRule>
  </conditionalFormatting>
  <conditionalFormatting sqref="R83">
    <cfRule type="cellIs" dxfId="7041" priority="3334" operator="greaterThan">
      <formula>1</formula>
    </cfRule>
    <cfRule type="cellIs" dxfId="7040" priority="3335" operator="lessThan">
      <formula>0.8</formula>
    </cfRule>
  </conditionalFormatting>
  <conditionalFormatting sqref="R83">
    <cfRule type="cellIs" dxfId="7039" priority="3330" operator="lessThan">
      <formula>0.8</formula>
    </cfRule>
    <cfRule type="cellIs" dxfId="7038" priority="3331" operator="greaterThan">
      <formula>1</formula>
    </cfRule>
  </conditionalFormatting>
  <conditionalFormatting sqref="R83">
    <cfRule type="cellIs" dxfId="7037" priority="3328" operator="greaterThan">
      <formula>1</formula>
    </cfRule>
    <cfRule type="cellIs" dxfId="7036" priority="3329" operator="lessThan">
      <formula>0.8</formula>
    </cfRule>
  </conditionalFormatting>
  <conditionalFormatting sqref="P83">
    <cfRule type="cellIs" dxfId="7035" priority="3327" operator="greaterThan">
      <formula>0</formula>
    </cfRule>
  </conditionalFormatting>
  <conditionalFormatting sqref="Q83">
    <cfRule type="cellIs" dxfId="7034" priority="3332" operator="lessThan">
      <formula>0</formula>
    </cfRule>
  </conditionalFormatting>
  <conditionalFormatting sqref="P83">
    <cfRule type="cellIs" dxfId="7033" priority="3321" operator="greaterThan">
      <formula>0</formula>
    </cfRule>
  </conditionalFormatting>
  <conditionalFormatting sqref="Q83">
    <cfRule type="cellIs" dxfId="7032" priority="3326" operator="lessThan">
      <formula>0</formula>
    </cfRule>
  </conditionalFormatting>
  <conditionalFormatting sqref="R83">
    <cfRule type="cellIs" dxfId="7031" priority="3324" operator="lessThan">
      <formula>0.8</formula>
    </cfRule>
    <cfRule type="cellIs" dxfId="7030" priority="3325" operator="greaterThan">
      <formula>1</formula>
    </cfRule>
  </conditionalFormatting>
  <conditionalFormatting sqref="R83">
    <cfRule type="cellIs" dxfId="7029" priority="3322" operator="greaterThan">
      <formula>1</formula>
    </cfRule>
    <cfRule type="cellIs" dxfId="7028" priority="3323" operator="lessThan">
      <formula>0.8</formula>
    </cfRule>
  </conditionalFormatting>
  <conditionalFormatting sqref="R83">
    <cfRule type="cellIs" dxfId="7027" priority="3318" operator="lessThan">
      <formula>0.8</formula>
    </cfRule>
    <cfRule type="cellIs" dxfId="7026" priority="3319" operator="greaterThan">
      <formula>1</formula>
    </cfRule>
  </conditionalFormatting>
  <conditionalFormatting sqref="R83">
    <cfRule type="cellIs" dxfId="7025" priority="3316" operator="greaterThan">
      <formula>1</formula>
    </cfRule>
    <cfRule type="cellIs" dxfId="7024" priority="3317" operator="lessThan">
      <formula>0.8</formula>
    </cfRule>
  </conditionalFormatting>
  <conditionalFormatting sqref="P83">
    <cfRule type="cellIs" dxfId="7023" priority="3315" operator="greaterThan">
      <formula>0</formula>
    </cfRule>
  </conditionalFormatting>
  <conditionalFormatting sqref="Q83">
    <cfRule type="cellIs" dxfId="7022" priority="3320" operator="lessThan">
      <formula>0</formula>
    </cfRule>
  </conditionalFormatting>
  <conditionalFormatting sqref="R83">
    <cfRule type="cellIs" dxfId="7021" priority="3312" operator="lessThan">
      <formula>0.8</formula>
    </cfRule>
    <cfRule type="cellIs" dxfId="7020" priority="3313" operator="greaterThan">
      <formula>1</formula>
    </cfRule>
  </conditionalFormatting>
  <conditionalFormatting sqref="R83">
    <cfRule type="cellIs" dxfId="7019" priority="3310" operator="greaterThan">
      <formula>1</formula>
    </cfRule>
    <cfRule type="cellIs" dxfId="7018" priority="3311" operator="lessThan">
      <formula>0.8</formula>
    </cfRule>
  </conditionalFormatting>
  <conditionalFormatting sqref="P83">
    <cfRule type="cellIs" dxfId="7017" priority="3309" operator="greaterThan">
      <formula>0</formula>
    </cfRule>
  </conditionalFormatting>
  <conditionalFormatting sqref="Q83">
    <cfRule type="cellIs" dxfId="7016" priority="3314" operator="lessThan">
      <formula>0</formula>
    </cfRule>
  </conditionalFormatting>
  <conditionalFormatting sqref="Q83">
    <cfRule type="cellIs" dxfId="7015" priority="3308" operator="lessThan">
      <formula>0</formula>
    </cfRule>
  </conditionalFormatting>
  <conditionalFormatting sqref="R83">
    <cfRule type="cellIs" dxfId="7014" priority="3306" operator="lessThan">
      <formula>0.8</formula>
    </cfRule>
    <cfRule type="cellIs" dxfId="7013" priority="3307" operator="greaterThan">
      <formula>1</formula>
    </cfRule>
  </conditionalFormatting>
  <conditionalFormatting sqref="R83">
    <cfRule type="cellIs" dxfId="7012" priority="3304" operator="greaterThan">
      <formula>1</formula>
    </cfRule>
    <cfRule type="cellIs" dxfId="7011" priority="3305" operator="lessThan">
      <formula>0.8</formula>
    </cfRule>
  </conditionalFormatting>
  <conditionalFormatting sqref="P83">
    <cfRule type="cellIs" dxfId="7010" priority="3303" operator="greaterThan">
      <formula>0</formula>
    </cfRule>
  </conditionalFormatting>
  <conditionalFormatting sqref="Q83">
    <cfRule type="cellIs" dxfId="7009" priority="3297" operator="lessThan">
      <formula>0</formula>
    </cfRule>
  </conditionalFormatting>
  <conditionalFormatting sqref="R83">
    <cfRule type="cellIs" dxfId="7008" priority="3301" operator="lessThan">
      <formula>0.8</formula>
    </cfRule>
    <cfRule type="cellIs" dxfId="7007" priority="3302" operator="greaterThan">
      <formula>1</formula>
    </cfRule>
  </conditionalFormatting>
  <conditionalFormatting sqref="R83">
    <cfRule type="cellIs" dxfId="7006" priority="3299" operator="greaterThan">
      <formula>1</formula>
    </cfRule>
    <cfRule type="cellIs" dxfId="7005" priority="3300" operator="lessThan">
      <formula>0.8</formula>
    </cfRule>
  </conditionalFormatting>
  <conditionalFormatting sqref="P83">
    <cfRule type="cellIs" dxfId="7004" priority="3298" operator="greaterThan">
      <formula>0</formula>
    </cfRule>
  </conditionalFormatting>
  <conditionalFormatting sqref="Q83">
    <cfRule type="cellIs" dxfId="7003" priority="3296" operator="lessThan">
      <formula>0</formula>
    </cfRule>
  </conditionalFormatting>
  <conditionalFormatting sqref="R83">
    <cfRule type="cellIs" dxfId="7002" priority="3294" operator="lessThan">
      <formula>0.8</formula>
    </cfRule>
    <cfRule type="cellIs" dxfId="7001" priority="3295" operator="greaterThan">
      <formula>1</formula>
    </cfRule>
  </conditionalFormatting>
  <conditionalFormatting sqref="R83">
    <cfRule type="cellIs" dxfId="7000" priority="3292" operator="greaterThan">
      <formula>1</formula>
    </cfRule>
    <cfRule type="cellIs" dxfId="6999" priority="3293" operator="lessThan">
      <formula>0.8</formula>
    </cfRule>
  </conditionalFormatting>
  <conditionalFormatting sqref="P83">
    <cfRule type="cellIs" dxfId="6998" priority="3291" operator="greaterThan">
      <formula>0</formula>
    </cfRule>
  </conditionalFormatting>
  <conditionalFormatting sqref="Q83">
    <cfRule type="cellIs" dxfId="6997" priority="3290" operator="lessThan">
      <formula>0</formula>
    </cfRule>
  </conditionalFormatting>
  <conditionalFormatting sqref="R83">
    <cfRule type="cellIs" dxfId="6996" priority="3288" operator="lessThan">
      <formula>0.8</formula>
    </cfRule>
    <cfRule type="cellIs" dxfId="6995" priority="3289" operator="greaterThan">
      <formula>1</formula>
    </cfRule>
  </conditionalFormatting>
  <conditionalFormatting sqref="R83">
    <cfRule type="cellIs" dxfId="6994" priority="3286" operator="greaterThan">
      <formula>1</formula>
    </cfRule>
    <cfRule type="cellIs" dxfId="6993" priority="3287" operator="lessThan">
      <formula>0.8</formula>
    </cfRule>
  </conditionalFormatting>
  <conditionalFormatting sqref="P83">
    <cfRule type="cellIs" dxfId="6992" priority="3285" operator="greaterThan">
      <formula>0</formula>
    </cfRule>
  </conditionalFormatting>
  <conditionalFormatting sqref="Q83">
    <cfRule type="cellIs" dxfId="6991" priority="3284" operator="lessThan">
      <formula>0</formula>
    </cfRule>
  </conditionalFormatting>
  <conditionalFormatting sqref="R83">
    <cfRule type="cellIs" dxfId="6990" priority="3282" operator="lessThan">
      <formula>0.8</formula>
    </cfRule>
    <cfRule type="cellIs" dxfId="6989" priority="3283" operator="greaterThan">
      <formula>1</formula>
    </cfRule>
  </conditionalFormatting>
  <conditionalFormatting sqref="R83">
    <cfRule type="cellIs" dxfId="6988" priority="3280" operator="greaterThan">
      <formula>1</formula>
    </cfRule>
    <cfRule type="cellIs" dxfId="6987" priority="3281" operator="lessThan">
      <formula>0.8</formula>
    </cfRule>
  </conditionalFormatting>
  <conditionalFormatting sqref="P83">
    <cfRule type="cellIs" dxfId="6986" priority="3279" operator="greaterThan">
      <formula>0</formula>
    </cfRule>
  </conditionalFormatting>
  <conditionalFormatting sqref="Q83">
    <cfRule type="cellIs" dxfId="6985" priority="3278" operator="lessThan">
      <formula>0</formula>
    </cfRule>
  </conditionalFormatting>
  <conditionalFormatting sqref="R83">
    <cfRule type="cellIs" dxfId="6984" priority="3276" operator="lessThan">
      <formula>0.8</formula>
    </cfRule>
    <cfRule type="cellIs" dxfId="6983" priority="3277" operator="greaterThan">
      <formula>1</formula>
    </cfRule>
  </conditionalFormatting>
  <conditionalFormatting sqref="R83">
    <cfRule type="cellIs" dxfId="6982" priority="3274" operator="greaterThan">
      <formula>1</formula>
    </cfRule>
    <cfRule type="cellIs" dxfId="6981" priority="3275" operator="lessThan">
      <formula>0.8</formula>
    </cfRule>
  </conditionalFormatting>
  <conditionalFormatting sqref="P83">
    <cfRule type="cellIs" dxfId="6980" priority="3273" operator="greaterThan">
      <formula>0</formula>
    </cfRule>
  </conditionalFormatting>
  <conditionalFormatting sqref="Q83">
    <cfRule type="cellIs" dxfId="6979" priority="3272" operator="lessThan">
      <formula>0</formula>
    </cfRule>
  </conditionalFormatting>
  <conditionalFormatting sqref="R83">
    <cfRule type="cellIs" dxfId="6978" priority="3270" operator="lessThan">
      <formula>0.8</formula>
    </cfRule>
    <cfRule type="cellIs" dxfId="6977" priority="3271" operator="greaterThan">
      <formula>1</formula>
    </cfRule>
  </conditionalFormatting>
  <conditionalFormatting sqref="R83">
    <cfRule type="cellIs" dxfId="6976" priority="3268" operator="greaterThan">
      <formula>1</formula>
    </cfRule>
    <cfRule type="cellIs" dxfId="6975" priority="3269" operator="lessThan">
      <formula>0.8</formula>
    </cfRule>
  </conditionalFormatting>
  <conditionalFormatting sqref="P83">
    <cfRule type="cellIs" dxfId="6974" priority="3267" operator="greaterThan">
      <formula>0</formula>
    </cfRule>
  </conditionalFormatting>
  <conditionalFormatting sqref="P83">
    <cfRule type="cellIs" dxfId="6973" priority="3261" operator="greaterThan">
      <formula>0</formula>
    </cfRule>
  </conditionalFormatting>
  <conditionalFormatting sqref="Q83">
    <cfRule type="cellIs" dxfId="6972" priority="3266" operator="lessThan">
      <formula>0</formula>
    </cfRule>
  </conditionalFormatting>
  <conditionalFormatting sqref="R83">
    <cfRule type="cellIs" dxfId="6971" priority="3264" operator="lessThan">
      <formula>0.8</formula>
    </cfRule>
    <cfRule type="cellIs" dxfId="6970" priority="3265" operator="greaterThan">
      <formula>1</formula>
    </cfRule>
  </conditionalFormatting>
  <conditionalFormatting sqref="R83">
    <cfRule type="cellIs" dxfId="6969" priority="3262" operator="greaterThan">
      <formula>1</formula>
    </cfRule>
    <cfRule type="cellIs" dxfId="6968" priority="3263" operator="lessThan">
      <formula>0.8</formula>
    </cfRule>
  </conditionalFormatting>
  <conditionalFormatting sqref="P83">
    <cfRule type="cellIs" dxfId="6967" priority="3255" operator="greaterThan">
      <formula>0</formula>
    </cfRule>
  </conditionalFormatting>
  <conditionalFormatting sqref="Q83">
    <cfRule type="cellIs" dxfId="6966" priority="3260" operator="lessThan">
      <formula>0</formula>
    </cfRule>
  </conditionalFormatting>
  <conditionalFormatting sqref="R83">
    <cfRule type="cellIs" dxfId="6965" priority="3258" operator="lessThan">
      <formula>0.8</formula>
    </cfRule>
    <cfRule type="cellIs" dxfId="6964" priority="3259" operator="greaterThan">
      <formula>1</formula>
    </cfRule>
  </conditionalFormatting>
  <conditionalFormatting sqref="R83">
    <cfRule type="cellIs" dxfId="6963" priority="3256" operator="greaterThan">
      <formula>1</formula>
    </cfRule>
    <cfRule type="cellIs" dxfId="6962" priority="3257" operator="lessThan">
      <formula>0.8</formula>
    </cfRule>
  </conditionalFormatting>
  <conditionalFormatting sqref="R83">
    <cfRule type="cellIs" dxfId="6961" priority="3252" operator="lessThan">
      <formula>0.8</formula>
    </cfRule>
    <cfRule type="cellIs" dxfId="6960" priority="3253" operator="greaterThan">
      <formula>1</formula>
    </cfRule>
  </conditionalFormatting>
  <conditionalFormatting sqref="R83">
    <cfRule type="cellIs" dxfId="6959" priority="3250" operator="greaterThan">
      <formula>1</formula>
    </cfRule>
    <cfRule type="cellIs" dxfId="6958" priority="3251" operator="lessThan">
      <formula>0.8</formula>
    </cfRule>
  </conditionalFormatting>
  <conditionalFormatting sqref="P83">
    <cfRule type="cellIs" dxfId="6957" priority="3249" operator="greaterThan">
      <formula>0</formula>
    </cfRule>
  </conditionalFormatting>
  <conditionalFormatting sqref="Q83">
    <cfRule type="cellIs" dxfId="6956" priority="3254" operator="lessThan">
      <formula>0</formula>
    </cfRule>
  </conditionalFormatting>
  <conditionalFormatting sqref="Q83">
    <cfRule type="cellIs" dxfId="6955" priority="3248" operator="lessThan">
      <formula>0</formula>
    </cfRule>
  </conditionalFormatting>
  <conditionalFormatting sqref="R83">
    <cfRule type="cellIs" dxfId="6954" priority="3246" operator="lessThan">
      <formula>0.8</formula>
    </cfRule>
    <cfRule type="cellIs" dxfId="6953" priority="3247" operator="greaterThan">
      <formula>1</formula>
    </cfRule>
  </conditionalFormatting>
  <conditionalFormatting sqref="R83">
    <cfRule type="cellIs" dxfId="6952" priority="3244" operator="greaterThan">
      <formula>1</formula>
    </cfRule>
    <cfRule type="cellIs" dxfId="6951" priority="3245" operator="lessThan">
      <formula>0.8</formula>
    </cfRule>
  </conditionalFormatting>
  <conditionalFormatting sqref="P83">
    <cfRule type="cellIs" dxfId="6950" priority="3243" operator="greaterThan">
      <formula>0</formula>
    </cfRule>
  </conditionalFormatting>
  <conditionalFormatting sqref="Q83">
    <cfRule type="cellIs" dxfId="6949" priority="3242" operator="lessThan">
      <formula>0</formula>
    </cfRule>
  </conditionalFormatting>
  <conditionalFormatting sqref="R83">
    <cfRule type="cellIs" dxfId="6948" priority="3240" operator="lessThan">
      <formula>0.8</formula>
    </cfRule>
    <cfRule type="cellIs" dxfId="6947" priority="3241" operator="greaterThan">
      <formula>1</formula>
    </cfRule>
  </conditionalFormatting>
  <conditionalFormatting sqref="R83">
    <cfRule type="cellIs" dxfId="6946" priority="3238" operator="greaterThan">
      <formula>1</formula>
    </cfRule>
    <cfRule type="cellIs" dxfId="6945" priority="3239" operator="lessThan">
      <formula>0.8</formula>
    </cfRule>
  </conditionalFormatting>
  <conditionalFormatting sqref="P83">
    <cfRule type="cellIs" dxfId="6944" priority="3237" operator="greaterThan">
      <formula>0</formula>
    </cfRule>
  </conditionalFormatting>
  <conditionalFormatting sqref="Q83">
    <cfRule type="cellIs" dxfId="6943" priority="3236" operator="lessThan">
      <formula>0</formula>
    </cfRule>
  </conditionalFormatting>
  <conditionalFormatting sqref="R83">
    <cfRule type="cellIs" dxfId="6942" priority="3234" operator="lessThan">
      <formula>0.8</formula>
    </cfRule>
    <cfRule type="cellIs" dxfId="6941" priority="3235" operator="greaterThan">
      <formula>1</formula>
    </cfRule>
  </conditionalFormatting>
  <conditionalFormatting sqref="R83">
    <cfRule type="cellIs" dxfId="6940" priority="3232" operator="greaterThan">
      <formula>1</formula>
    </cfRule>
    <cfRule type="cellIs" dxfId="6939" priority="3233" operator="lessThan">
      <formula>0.8</formula>
    </cfRule>
  </conditionalFormatting>
  <conditionalFormatting sqref="P83">
    <cfRule type="cellIs" dxfId="6938" priority="3231" operator="greaterThan">
      <formula>0</formula>
    </cfRule>
  </conditionalFormatting>
  <conditionalFormatting sqref="Q83">
    <cfRule type="cellIs" dxfId="6937" priority="3230" operator="lessThan">
      <formula>0</formula>
    </cfRule>
  </conditionalFormatting>
  <conditionalFormatting sqref="R83">
    <cfRule type="cellIs" dxfId="6936" priority="3228" operator="lessThan">
      <formula>0.8</formula>
    </cfRule>
    <cfRule type="cellIs" dxfId="6935" priority="3229" operator="greaterThan">
      <formula>1</formula>
    </cfRule>
  </conditionalFormatting>
  <conditionalFormatting sqref="R83">
    <cfRule type="cellIs" dxfId="6934" priority="3226" operator="greaterThan">
      <formula>1</formula>
    </cfRule>
    <cfRule type="cellIs" dxfId="6933" priority="3227" operator="lessThan">
      <formula>0.8</formula>
    </cfRule>
  </conditionalFormatting>
  <conditionalFormatting sqref="P83">
    <cfRule type="cellIs" dxfId="6932" priority="3225" operator="greaterThan">
      <formula>0</formula>
    </cfRule>
  </conditionalFormatting>
  <conditionalFormatting sqref="P83">
    <cfRule type="cellIs" dxfId="6931" priority="3219" operator="greaterThan">
      <formula>0</formula>
    </cfRule>
  </conditionalFormatting>
  <conditionalFormatting sqref="Q83">
    <cfRule type="cellIs" dxfId="6930" priority="3224" operator="lessThan">
      <formula>0</formula>
    </cfRule>
  </conditionalFormatting>
  <conditionalFormatting sqref="R83">
    <cfRule type="cellIs" dxfId="6929" priority="3222" operator="lessThan">
      <formula>0.8</formula>
    </cfRule>
    <cfRule type="cellIs" dxfId="6928" priority="3223" operator="greaterThan">
      <formula>1</formula>
    </cfRule>
  </conditionalFormatting>
  <conditionalFormatting sqref="R83">
    <cfRule type="cellIs" dxfId="6927" priority="3220" operator="greaterThan">
      <formula>1</formula>
    </cfRule>
    <cfRule type="cellIs" dxfId="6926" priority="3221" operator="lessThan">
      <formula>0.8</formula>
    </cfRule>
  </conditionalFormatting>
  <conditionalFormatting sqref="P83">
    <cfRule type="cellIs" dxfId="6925" priority="3213" operator="greaterThan">
      <formula>0</formula>
    </cfRule>
  </conditionalFormatting>
  <conditionalFormatting sqref="Q83">
    <cfRule type="cellIs" dxfId="6924" priority="3218" operator="lessThan">
      <formula>0</formula>
    </cfRule>
  </conditionalFormatting>
  <conditionalFormatting sqref="R83">
    <cfRule type="cellIs" dxfId="6923" priority="3216" operator="lessThan">
      <formula>0.8</formula>
    </cfRule>
    <cfRule type="cellIs" dxfId="6922" priority="3217" operator="greaterThan">
      <formula>1</formula>
    </cfRule>
  </conditionalFormatting>
  <conditionalFormatting sqref="R83">
    <cfRule type="cellIs" dxfId="6921" priority="3214" operator="greaterThan">
      <formula>1</formula>
    </cfRule>
    <cfRule type="cellIs" dxfId="6920" priority="3215" operator="lessThan">
      <formula>0.8</formula>
    </cfRule>
  </conditionalFormatting>
  <conditionalFormatting sqref="R83">
    <cfRule type="cellIs" dxfId="6919" priority="3210" operator="lessThan">
      <formula>0.8</formula>
    </cfRule>
    <cfRule type="cellIs" dxfId="6918" priority="3211" operator="greaterThan">
      <formula>1</formula>
    </cfRule>
  </conditionalFormatting>
  <conditionalFormatting sqref="R83">
    <cfRule type="cellIs" dxfId="6917" priority="3208" operator="greaterThan">
      <formula>1</formula>
    </cfRule>
    <cfRule type="cellIs" dxfId="6916" priority="3209" operator="lessThan">
      <formula>0.8</formula>
    </cfRule>
  </conditionalFormatting>
  <conditionalFormatting sqref="P83">
    <cfRule type="cellIs" dxfId="6915" priority="3207" operator="greaterThan">
      <formula>0</formula>
    </cfRule>
  </conditionalFormatting>
  <conditionalFormatting sqref="Q83">
    <cfRule type="cellIs" dxfId="6914" priority="3212" operator="lessThan">
      <formula>0</formula>
    </cfRule>
  </conditionalFormatting>
  <conditionalFormatting sqref="Q83">
    <cfRule type="cellIs" dxfId="6913" priority="3206" operator="lessThan">
      <formula>0</formula>
    </cfRule>
  </conditionalFormatting>
  <conditionalFormatting sqref="R83">
    <cfRule type="cellIs" dxfId="6912" priority="3204" operator="lessThan">
      <formula>0.8</formula>
    </cfRule>
    <cfRule type="cellIs" dxfId="6911" priority="3205" operator="greaterThan">
      <formula>1</formula>
    </cfRule>
  </conditionalFormatting>
  <conditionalFormatting sqref="R83">
    <cfRule type="cellIs" dxfId="6910" priority="3202" operator="greaterThan">
      <formula>1</formula>
    </cfRule>
    <cfRule type="cellIs" dxfId="6909" priority="3203" operator="lessThan">
      <formula>0.8</formula>
    </cfRule>
  </conditionalFormatting>
  <conditionalFormatting sqref="P83">
    <cfRule type="cellIs" dxfId="6908" priority="3201" operator="greaterThan">
      <formula>0</formula>
    </cfRule>
  </conditionalFormatting>
  <conditionalFormatting sqref="P83">
    <cfRule type="cellIs" dxfId="6907" priority="3195" operator="greaterThan">
      <formula>0</formula>
    </cfRule>
  </conditionalFormatting>
  <conditionalFormatting sqref="Q83">
    <cfRule type="cellIs" dxfId="6906" priority="3200" operator="lessThan">
      <formula>0</formula>
    </cfRule>
  </conditionalFormatting>
  <conditionalFormatting sqref="R83">
    <cfRule type="cellIs" dxfId="6905" priority="3198" operator="lessThan">
      <formula>0.8</formula>
    </cfRule>
    <cfRule type="cellIs" dxfId="6904" priority="3199" operator="greaterThan">
      <formula>1</formula>
    </cfRule>
  </conditionalFormatting>
  <conditionalFormatting sqref="R83">
    <cfRule type="cellIs" dxfId="6903" priority="3196" operator="greaterThan">
      <formula>1</formula>
    </cfRule>
    <cfRule type="cellIs" dxfId="6902" priority="3197" operator="lessThan">
      <formula>0.8</formula>
    </cfRule>
  </conditionalFormatting>
  <conditionalFormatting sqref="P83">
    <cfRule type="cellIs" dxfId="6901" priority="3189" operator="greaterThan">
      <formula>0</formula>
    </cfRule>
  </conditionalFormatting>
  <conditionalFormatting sqref="Q83">
    <cfRule type="cellIs" dxfId="6900" priority="3194" operator="lessThan">
      <formula>0</formula>
    </cfRule>
  </conditionalFormatting>
  <conditionalFormatting sqref="R83">
    <cfRule type="cellIs" dxfId="6899" priority="3192" operator="lessThan">
      <formula>0.8</formula>
    </cfRule>
    <cfRule type="cellIs" dxfId="6898" priority="3193" operator="greaterThan">
      <formula>1</formula>
    </cfRule>
  </conditionalFormatting>
  <conditionalFormatting sqref="R83">
    <cfRule type="cellIs" dxfId="6897" priority="3190" operator="greaterThan">
      <formula>1</formula>
    </cfRule>
    <cfRule type="cellIs" dxfId="6896" priority="3191" operator="lessThan">
      <formula>0.8</formula>
    </cfRule>
  </conditionalFormatting>
  <conditionalFormatting sqref="R83">
    <cfRule type="cellIs" dxfId="6895" priority="3186" operator="lessThan">
      <formula>0.8</formula>
    </cfRule>
    <cfRule type="cellIs" dxfId="6894" priority="3187" operator="greaterThan">
      <formula>1</formula>
    </cfRule>
  </conditionalFormatting>
  <conditionalFormatting sqref="R83">
    <cfRule type="cellIs" dxfId="6893" priority="3184" operator="greaterThan">
      <formula>1</formula>
    </cfRule>
    <cfRule type="cellIs" dxfId="6892" priority="3185" operator="lessThan">
      <formula>0.8</formula>
    </cfRule>
  </conditionalFormatting>
  <conditionalFormatting sqref="P83">
    <cfRule type="cellIs" dxfId="6891" priority="3183" operator="greaterThan">
      <formula>0</formula>
    </cfRule>
  </conditionalFormatting>
  <conditionalFormatting sqref="Q83">
    <cfRule type="cellIs" dxfId="6890" priority="3188" operator="lessThan">
      <formula>0</formula>
    </cfRule>
  </conditionalFormatting>
  <conditionalFormatting sqref="P83">
    <cfRule type="cellIs" dxfId="6889" priority="3177" operator="greaterThan">
      <formula>0</formula>
    </cfRule>
  </conditionalFormatting>
  <conditionalFormatting sqref="Q83">
    <cfRule type="cellIs" dxfId="6888" priority="3182" operator="lessThan">
      <formula>0</formula>
    </cfRule>
  </conditionalFormatting>
  <conditionalFormatting sqref="R83">
    <cfRule type="cellIs" dxfId="6887" priority="3180" operator="lessThan">
      <formula>0.8</formula>
    </cfRule>
    <cfRule type="cellIs" dxfId="6886" priority="3181" operator="greaterThan">
      <formula>1</formula>
    </cfRule>
  </conditionalFormatting>
  <conditionalFormatting sqref="R83">
    <cfRule type="cellIs" dxfId="6885" priority="3178" operator="greaterThan">
      <formula>1</formula>
    </cfRule>
    <cfRule type="cellIs" dxfId="6884" priority="3179" operator="lessThan">
      <formula>0.8</formula>
    </cfRule>
  </conditionalFormatting>
  <conditionalFormatting sqref="R83">
    <cfRule type="cellIs" dxfId="6883" priority="3174" operator="lessThan">
      <formula>0.8</formula>
    </cfRule>
    <cfRule type="cellIs" dxfId="6882" priority="3175" operator="greaterThan">
      <formula>1</formula>
    </cfRule>
  </conditionalFormatting>
  <conditionalFormatting sqref="R83">
    <cfRule type="cellIs" dxfId="6881" priority="3172" operator="greaterThan">
      <formula>1</formula>
    </cfRule>
    <cfRule type="cellIs" dxfId="6880" priority="3173" operator="lessThan">
      <formula>0.8</formula>
    </cfRule>
  </conditionalFormatting>
  <conditionalFormatting sqref="P83">
    <cfRule type="cellIs" dxfId="6879" priority="3171" operator="greaterThan">
      <formula>0</formula>
    </cfRule>
  </conditionalFormatting>
  <conditionalFormatting sqref="Q83">
    <cfRule type="cellIs" dxfId="6878" priority="3176" operator="lessThan">
      <formula>0</formula>
    </cfRule>
  </conditionalFormatting>
  <conditionalFormatting sqref="R83">
    <cfRule type="cellIs" dxfId="6877" priority="3168" operator="lessThan">
      <formula>0.8</formula>
    </cfRule>
    <cfRule type="cellIs" dxfId="6876" priority="3169" operator="greaterThan">
      <formula>1</formula>
    </cfRule>
  </conditionalFormatting>
  <conditionalFormatting sqref="R83">
    <cfRule type="cellIs" dxfId="6875" priority="3166" operator="greaterThan">
      <formula>1</formula>
    </cfRule>
    <cfRule type="cellIs" dxfId="6874" priority="3167" operator="lessThan">
      <formula>0.8</formula>
    </cfRule>
  </conditionalFormatting>
  <conditionalFormatting sqref="P83">
    <cfRule type="cellIs" dxfId="6873" priority="3165" operator="greaterThan">
      <formula>0</formula>
    </cfRule>
  </conditionalFormatting>
  <conditionalFormatting sqref="Q83">
    <cfRule type="cellIs" dxfId="6872" priority="3170" operator="lessThan">
      <formula>0</formula>
    </cfRule>
  </conditionalFormatting>
  <conditionalFormatting sqref="Q83">
    <cfRule type="cellIs" dxfId="6871" priority="3164" operator="lessThan">
      <formula>0</formula>
    </cfRule>
  </conditionalFormatting>
  <conditionalFormatting sqref="R83">
    <cfRule type="cellIs" dxfId="6870" priority="3162" operator="lessThan">
      <formula>0.8</formula>
    </cfRule>
    <cfRule type="cellIs" dxfId="6869" priority="3163" operator="greaterThan">
      <formula>1</formula>
    </cfRule>
  </conditionalFormatting>
  <conditionalFormatting sqref="R83">
    <cfRule type="cellIs" dxfId="6868" priority="3160" operator="greaterThan">
      <formula>1</formula>
    </cfRule>
    <cfRule type="cellIs" dxfId="6867" priority="3161" operator="lessThan">
      <formula>0.8</formula>
    </cfRule>
  </conditionalFormatting>
  <conditionalFormatting sqref="P83">
    <cfRule type="cellIs" dxfId="6866" priority="3159" operator="greaterThan">
      <formula>0</formula>
    </cfRule>
  </conditionalFormatting>
  <conditionalFormatting sqref="Q83">
    <cfRule type="cellIs" dxfId="6865" priority="3153" operator="lessThan">
      <formula>0</formula>
    </cfRule>
  </conditionalFormatting>
  <conditionalFormatting sqref="R83">
    <cfRule type="cellIs" dxfId="6864" priority="3157" operator="lessThan">
      <formula>0.8</formula>
    </cfRule>
    <cfRule type="cellIs" dxfId="6863" priority="3158" operator="greaterThan">
      <formula>1</formula>
    </cfRule>
  </conditionalFormatting>
  <conditionalFormatting sqref="R83">
    <cfRule type="cellIs" dxfId="6862" priority="3155" operator="greaterThan">
      <formula>1</formula>
    </cfRule>
    <cfRule type="cellIs" dxfId="6861" priority="3156" operator="lessThan">
      <formula>0.8</formula>
    </cfRule>
  </conditionalFormatting>
  <conditionalFormatting sqref="P83">
    <cfRule type="cellIs" dxfId="6860" priority="3154" operator="greaterThan">
      <formula>0</formula>
    </cfRule>
  </conditionalFormatting>
  <conditionalFormatting sqref="Q83">
    <cfRule type="cellIs" dxfId="6859" priority="3152" operator="lessThan">
      <formula>0</formula>
    </cfRule>
  </conditionalFormatting>
  <conditionalFormatting sqref="R83">
    <cfRule type="cellIs" dxfId="6858" priority="3150" operator="lessThan">
      <formula>0.8</formula>
    </cfRule>
    <cfRule type="cellIs" dxfId="6857" priority="3151" operator="greaterThan">
      <formula>1</formula>
    </cfRule>
  </conditionalFormatting>
  <conditionalFormatting sqref="R83">
    <cfRule type="cellIs" dxfId="6856" priority="3148" operator="greaterThan">
      <formula>1</formula>
    </cfRule>
    <cfRule type="cellIs" dxfId="6855" priority="3149" operator="lessThan">
      <formula>0.8</formula>
    </cfRule>
  </conditionalFormatting>
  <conditionalFormatting sqref="P83">
    <cfRule type="cellIs" dxfId="6854" priority="3147" operator="greaterThan">
      <formula>0</formula>
    </cfRule>
  </conditionalFormatting>
  <conditionalFormatting sqref="Q83">
    <cfRule type="cellIs" dxfId="6853" priority="3146" operator="lessThan">
      <formula>0</formula>
    </cfRule>
  </conditionalFormatting>
  <conditionalFormatting sqref="R83">
    <cfRule type="cellIs" dxfId="6852" priority="3144" operator="lessThan">
      <formula>0.8</formula>
    </cfRule>
    <cfRule type="cellIs" dxfId="6851" priority="3145" operator="greaterThan">
      <formula>1</formula>
    </cfRule>
  </conditionalFormatting>
  <conditionalFormatting sqref="R83">
    <cfRule type="cellIs" dxfId="6850" priority="3142" operator="greaterThan">
      <formula>1</formula>
    </cfRule>
    <cfRule type="cellIs" dxfId="6849" priority="3143" operator="lessThan">
      <formula>0.8</formula>
    </cfRule>
  </conditionalFormatting>
  <conditionalFormatting sqref="P83">
    <cfRule type="cellIs" dxfId="6848" priority="3141" operator="greaterThan">
      <formula>0</formula>
    </cfRule>
  </conditionalFormatting>
  <conditionalFormatting sqref="Q83">
    <cfRule type="cellIs" dxfId="6847" priority="3140" operator="lessThan">
      <formula>0</formula>
    </cfRule>
  </conditionalFormatting>
  <conditionalFormatting sqref="R83">
    <cfRule type="cellIs" dxfId="6846" priority="3138" operator="lessThan">
      <formula>0.8</formula>
    </cfRule>
    <cfRule type="cellIs" dxfId="6845" priority="3139" operator="greaterThan">
      <formula>1</formula>
    </cfRule>
  </conditionalFormatting>
  <conditionalFormatting sqref="R83">
    <cfRule type="cellIs" dxfId="6844" priority="3136" operator="greaterThan">
      <formula>1</formula>
    </cfRule>
    <cfRule type="cellIs" dxfId="6843" priority="3137" operator="lessThan">
      <formula>0.8</formula>
    </cfRule>
  </conditionalFormatting>
  <conditionalFormatting sqref="P83">
    <cfRule type="cellIs" dxfId="6842" priority="3135" operator="greaterThan">
      <formula>0</formula>
    </cfRule>
  </conditionalFormatting>
  <conditionalFormatting sqref="Q83">
    <cfRule type="cellIs" dxfId="6841" priority="3134" operator="lessThan">
      <formula>0</formula>
    </cfRule>
  </conditionalFormatting>
  <conditionalFormatting sqref="R83">
    <cfRule type="cellIs" dxfId="6840" priority="3132" operator="lessThan">
      <formula>0.8</formula>
    </cfRule>
    <cfRule type="cellIs" dxfId="6839" priority="3133" operator="greaterThan">
      <formula>1</formula>
    </cfRule>
  </conditionalFormatting>
  <conditionalFormatting sqref="R83">
    <cfRule type="cellIs" dxfId="6838" priority="3130" operator="greaterThan">
      <formula>1</formula>
    </cfRule>
    <cfRule type="cellIs" dxfId="6837" priority="3131" operator="lessThan">
      <formula>0.8</formula>
    </cfRule>
  </conditionalFormatting>
  <conditionalFormatting sqref="P83">
    <cfRule type="cellIs" dxfId="6836" priority="3129" operator="greaterThan">
      <formula>0</formula>
    </cfRule>
  </conditionalFormatting>
  <conditionalFormatting sqref="Q83">
    <cfRule type="cellIs" dxfId="6835" priority="3128" operator="lessThan">
      <formula>0</formula>
    </cfRule>
  </conditionalFormatting>
  <conditionalFormatting sqref="R83">
    <cfRule type="cellIs" dxfId="6834" priority="3126" operator="lessThan">
      <formula>0.8</formula>
    </cfRule>
    <cfRule type="cellIs" dxfId="6833" priority="3127" operator="greaterThan">
      <formula>1</formula>
    </cfRule>
  </conditionalFormatting>
  <conditionalFormatting sqref="R83">
    <cfRule type="cellIs" dxfId="6832" priority="3124" operator="greaterThan">
      <formula>1</formula>
    </cfRule>
    <cfRule type="cellIs" dxfId="6831" priority="3125" operator="lessThan">
      <formula>0.8</formula>
    </cfRule>
  </conditionalFormatting>
  <conditionalFormatting sqref="P83">
    <cfRule type="cellIs" dxfId="6830" priority="3123" operator="greaterThan">
      <formula>0</formula>
    </cfRule>
  </conditionalFormatting>
  <conditionalFormatting sqref="P83">
    <cfRule type="cellIs" dxfId="6829" priority="3117" operator="greaterThan">
      <formula>0</formula>
    </cfRule>
  </conditionalFormatting>
  <conditionalFormatting sqref="Q83">
    <cfRule type="cellIs" dxfId="6828" priority="3122" operator="lessThan">
      <formula>0</formula>
    </cfRule>
  </conditionalFormatting>
  <conditionalFormatting sqref="R83">
    <cfRule type="cellIs" dxfId="6827" priority="3120" operator="lessThan">
      <formula>0.8</formula>
    </cfRule>
    <cfRule type="cellIs" dxfId="6826" priority="3121" operator="greaterThan">
      <formula>1</formula>
    </cfRule>
  </conditionalFormatting>
  <conditionalFormatting sqref="R83">
    <cfRule type="cellIs" dxfId="6825" priority="3118" operator="greaterThan">
      <formula>1</formula>
    </cfRule>
    <cfRule type="cellIs" dxfId="6824" priority="3119" operator="lessThan">
      <formula>0.8</formula>
    </cfRule>
  </conditionalFormatting>
  <conditionalFormatting sqref="P83">
    <cfRule type="cellIs" dxfId="6823" priority="3111" operator="greaterThan">
      <formula>0</formula>
    </cfRule>
  </conditionalFormatting>
  <conditionalFormatting sqref="Q83">
    <cfRule type="cellIs" dxfId="6822" priority="3116" operator="lessThan">
      <formula>0</formula>
    </cfRule>
  </conditionalFormatting>
  <conditionalFormatting sqref="R83">
    <cfRule type="cellIs" dxfId="6821" priority="3114" operator="lessThan">
      <formula>0.8</formula>
    </cfRule>
    <cfRule type="cellIs" dxfId="6820" priority="3115" operator="greaterThan">
      <formula>1</formula>
    </cfRule>
  </conditionalFormatting>
  <conditionalFormatting sqref="R83">
    <cfRule type="cellIs" dxfId="6819" priority="3112" operator="greaterThan">
      <formula>1</formula>
    </cfRule>
    <cfRule type="cellIs" dxfId="6818" priority="3113" operator="lessThan">
      <formula>0.8</formula>
    </cfRule>
  </conditionalFormatting>
  <conditionalFormatting sqref="R83">
    <cfRule type="cellIs" dxfId="6817" priority="3108" operator="lessThan">
      <formula>0.8</formula>
    </cfRule>
    <cfRule type="cellIs" dxfId="6816" priority="3109" operator="greaterThan">
      <formula>1</formula>
    </cfRule>
  </conditionalFormatting>
  <conditionalFormatting sqref="R83">
    <cfRule type="cellIs" dxfId="6815" priority="3106" operator="greaterThan">
      <formula>1</formula>
    </cfRule>
    <cfRule type="cellIs" dxfId="6814" priority="3107" operator="lessThan">
      <formula>0.8</formula>
    </cfRule>
  </conditionalFormatting>
  <conditionalFormatting sqref="P83">
    <cfRule type="cellIs" dxfId="6813" priority="3105" operator="greaterThan">
      <formula>0</formula>
    </cfRule>
  </conditionalFormatting>
  <conditionalFormatting sqref="Q83">
    <cfRule type="cellIs" dxfId="6812" priority="3110" operator="lessThan">
      <formula>0</formula>
    </cfRule>
  </conditionalFormatting>
  <conditionalFormatting sqref="Q83">
    <cfRule type="cellIs" dxfId="6811" priority="3099" operator="lessThan">
      <formula>0</formula>
    </cfRule>
  </conditionalFormatting>
  <conditionalFormatting sqref="P83">
    <cfRule type="cellIs" dxfId="6810" priority="3100" operator="greaterThan">
      <formula>0</formula>
    </cfRule>
  </conditionalFormatting>
  <conditionalFormatting sqref="R83">
    <cfRule type="cellIs" dxfId="6809" priority="3103" operator="lessThan">
      <formula>0.8</formula>
    </cfRule>
    <cfRule type="cellIs" dxfId="6808" priority="3104" operator="greaterThan">
      <formula>1</formula>
    </cfRule>
  </conditionalFormatting>
  <conditionalFormatting sqref="R83">
    <cfRule type="cellIs" dxfId="6807" priority="3101" operator="greaterThan">
      <formula>1</formula>
    </cfRule>
    <cfRule type="cellIs" dxfId="6806" priority="3102" operator="lessThan">
      <formula>0.8</formula>
    </cfRule>
  </conditionalFormatting>
  <conditionalFormatting sqref="Q83">
    <cfRule type="cellIs" dxfId="6805" priority="3093" operator="lessThan">
      <formula>0</formula>
    </cfRule>
  </conditionalFormatting>
  <conditionalFormatting sqref="R83">
    <cfRule type="cellIs" dxfId="6804" priority="3097" operator="lessThan">
      <formula>0.8</formula>
    </cfRule>
    <cfRule type="cellIs" dxfId="6803" priority="3098" operator="greaterThan">
      <formula>1</formula>
    </cfRule>
  </conditionalFormatting>
  <conditionalFormatting sqref="R83">
    <cfRule type="cellIs" dxfId="6802" priority="3095" operator="greaterThan">
      <formula>1</formula>
    </cfRule>
    <cfRule type="cellIs" dxfId="6801" priority="3096" operator="lessThan">
      <formula>0.8</formula>
    </cfRule>
  </conditionalFormatting>
  <conditionalFormatting sqref="P83">
    <cfRule type="cellIs" dxfId="6800" priority="3094" operator="greaterThan">
      <formula>0</formula>
    </cfRule>
  </conditionalFormatting>
  <conditionalFormatting sqref="Q83">
    <cfRule type="cellIs" dxfId="6799" priority="3092" operator="lessThan">
      <formula>0</formula>
    </cfRule>
  </conditionalFormatting>
  <conditionalFormatting sqref="R83">
    <cfRule type="cellIs" dxfId="6798" priority="3090" operator="lessThan">
      <formula>0.8</formula>
    </cfRule>
    <cfRule type="cellIs" dxfId="6797" priority="3091" operator="greaterThan">
      <formula>1</formula>
    </cfRule>
  </conditionalFormatting>
  <conditionalFormatting sqref="R83">
    <cfRule type="cellIs" dxfId="6796" priority="3088" operator="greaterThan">
      <formula>1</formula>
    </cfRule>
    <cfRule type="cellIs" dxfId="6795" priority="3089" operator="lessThan">
      <formula>0.8</formula>
    </cfRule>
  </conditionalFormatting>
  <conditionalFormatting sqref="P83">
    <cfRule type="cellIs" dxfId="6794" priority="3087" operator="greaterThan">
      <formula>0</formula>
    </cfRule>
  </conditionalFormatting>
  <conditionalFormatting sqref="Q83">
    <cfRule type="cellIs" dxfId="6793" priority="3086" operator="lessThan">
      <formula>0</formula>
    </cfRule>
  </conditionalFormatting>
  <conditionalFormatting sqref="R83">
    <cfRule type="cellIs" dxfId="6792" priority="3084" operator="lessThan">
      <formula>0.8</formula>
    </cfRule>
    <cfRule type="cellIs" dxfId="6791" priority="3085" operator="greaterThan">
      <formula>1</formula>
    </cfRule>
  </conditionalFormatting>
  <conditionalFormatting sqref="R83">
    <cfRule type="cellIs" dxfId="6790" priority="3082" operator="greaterThan">
      <formula>1</formula>
    </cfRule>
    <cfRule type="cellIs" dxfId="6789" priority="3083" operator="lessThan">
      <formula>0.8</formula>
    </cfRule>
  </conditionalFormatting>
  <conditionalFormatting sqref="P83">
    <cfRule type="cellIs" dxfId="6788" priority="3081" operator="greaterThan">
      <formula>0</formula>
    </cfRule>
  </conditionalFormatting>
  <conditionalFormatting sqref="Q83">
    <cfRule type="cellIs" dxfId="6787" priority="3080" operator="lessThan">
      <formula>0</formula>
    </cfRule>
  </conditionalFormatting>
  <conditionalFormatting sqref="R83">
    <cfRule type="cellIs" dxfId="6786" priority="3078" operator="lessThan">
      <formula>0.8</formula>
    </cfRule>
    <cfRule type="cellIs" dxfId="6785" priority="3079" operator="greaterThan">
      <formula>1</formula>
    </cfRule>
  </conditionalFormatting>
  <conditionalFormatting sqref="R83">
    <cfRule type="cellIs" dxfId="6784" priority="3076" operator="greaterThan">
      <formula>1</formula>
    </cfRule>
    <cfRule type="cellIs" dxfId="6783" priority="3077" operator="lessThan">
      <formula>0.8</formula>
    </cfRule>
  </conditionalFormatting>
  <conditionalFormatting sqref="P83">
    <cfRule type="cellIs" dxfId="6782" priority="3075" operator="greaterThan">
      <formula>0</formula>
    </cfRule>
  </conditionalFormatting>
  <conditionalFormatting sqref="Q83">
    <cfRule type="cellIs" dxfId="6781" priority="3074" operator="lessThan">
      <formula>0</formula>
    </cfRule>
  </conditionalFormatting>
  <conditionalFormatting sqref="R83">
    <cfRule type="cellIs" dxfId="6780" priority="3072" operator="lessThan">
      <formula>0.8</formula>
    </cfRule>
    <cfRule type="cellIs" dxfId="6779" priority="3073" operator="greaterThan">
      <formula>1</formula>
    </cfRule>
  </conditionalFormatting>
  <conditionalFormatting sqref="R83">
    <cfRule type="cellIs" dxfId="6778" priority="3070" operator="greaterThan">
      <formula>1</formula>
    </cfRule>
    <cfRule type="cellIs" dxfId="6777" priority="3071" operator="lessThan">
      <formula>0.8</formula>
    </cfRule>
  </conditionalFormatting>
  <conditionalFormatting sqref="P83">
    <cfRule type="cellIs" dxfId="6776" priority="3069" operator="greaterThan">
      <formula>0</formula>
    </cfRule>
  </conditionalFormatting>
  <conditionalFormatting sqref="Q83">
    <cfRule type="cellIs" dxfId="6775" priority="3068" operator="lessThan">
      <formula>0</formula>
    </cfRule>
  </conditionalFormatting>
  <conditionalFormatting sqref="R83">
    <cfRule type="cellIs" dxfId="6774" priority="3066" operator="lessThan">
      <formula>0.8</formula>
    </cfRule>
    <cfRule type="cellIs" dxfId="6773" priority="3067" operator="greaterThan">
      <formula>1</formula>
    </cfRule>
  </conditionalFormatting>
  <conditionalFormatting sqref="R83">
    <cfRule type="cellIs" dxfId="6772" priority="3064" operator="greaterThan">
      <formula>1</formula>
    </cfRule>
    <cfRule type="cellIs" dxfId="6771" priority="3065" operator="lessThan">
      <formula>0.8</formula>
    </cfRule>
  </conditionalFormatting>
  <conditionalFormatting sqref="P83">
    <cfRule type="cellIs" dxfId="6770" priority="3063" operator="greaterThan">
      <formula>0</formula>
    </cfRule>
  </conditionalFormatting>
  <conditionalFormatting sqref="Q83">
    <cfRule type="cellIs" dxfId="6769" priority="3062" operator="lessThan">
      <formula>0</formula>
    </cfRule>
  </conditionalFormatting>
  <conditionalFormatting sqref="R83">
    <cfRule type="cellIs" dxfId="6768" priority="3060" operator="lessThan">
      <formula>0.8</formula>
    </cfRule>
    <cfRule type="cellIs" dxfId="6767" priority="3061" operator="greaterThan">
      <formula>1</formula>
    </cfRule>
  </conditionalFormatting>
  <conditionalFormatting sqref="R83">
    <cfRule type="cellIs" dxfId="6766" priority="3058" operator="greaterThan">
      <formula>1</formula>
    </cfRule>
    <cfRule type="cellIs" dxfId="6765" priority="3059" operator="lessThan">
      <formula>0.8</formula>
    </cfRule>
  </conditionalFormatting>
  <conditionalFormatting sqref="P83">
    <cfRule type="cellIs" dxfId="6764" priority="3057" operator="greaterThan">
      <formula>0</formula>
    </cfRule>
  </conditionalFormatting>
  <conditionalFormatting sqref="Q83">
    <cfRule type="cellIs" dxfId="6763" priority="3056" operator="lessThan">
      <formula>0</formula>
    </cfRule>
  </conditionalFormatting>
  <conditionalFormatting sqref="R83">
    <cfRule type="cellIs" dxfId="6762" priority="3054" operator="lessThan">
      <formula>0.8</formula>
    </cfRule>
    <cfRule type="cellIs" dxfId="6761" priority="3055" operator="greaterThan">
      <formula>1</formula>
    </cfRule>
  </conditionalFormatting>
  <conditionalFormatting sqref="R83">
    <cfRule type="cellIs" dxfId="6760" priority="3052" operator="greaterThan">
      <formula>1</formula>
    </cfRule>
    <cfRule type="cellIs" dxfId="6759" priority="3053" operator="lessThan">
      <formula>0.8</formula>
    </cfRule>
  </conditionalFormatting>
  <conditionalFormatting sqref="P83">
    <cfRule type="cellIs" dxfId="6758" priority="3051" operator="greaterThan">
      <formula>0</formula>
    </cfRule>
  </conditionalFormatting>
  <conditionalFormatting sqref="P83">
    <cfRule type="cellIs" dxfId="6757" priority="3045" operator="greaterThan">
      <formula>0</formula>
    </cfRule>
  </conditionalFormatting>
  <conditionalFormatting sqref="Q83">
    <cfRule type="cellIs" dxfId="6756" priority="3050" operator="lessThan">
      <formula>0</formula>
    </cfRule>
  </conditionalFormatting>
  <conditionalFormatting sqref="R83">
    <cfRule type="cellIs" dxfId="6755" priority="3048" operator="lessThan">
      <formula>0.8</formula>
    </cfRule>
    <cfRule type="cellIs" dxfId="6754" priority="3049" operator="greaterThan">
      <formula>1</formula>
    </cfRule>
  </conditionalFormatting>
  <conditionalFormatting sqref="R83">
    <cfRule type="cellIs" dxfId="6753" priority="3046" operator="greaterThan">
      <formula>1</formula>
    </cfRule>
    <cfRule type="cellIs" dxfId="6752" priority="3047" operator="lessThan">
      <formula>0.8</formula>
    </cfRule>
  </conditionalFormatting>
  <conditionalFormatting sqref="P83">
    <cfRule type="cellIs" dxfId="6751" priority="3039" operator="greaterThan">
      <formula>0</formula>
    </cfRule>
  </conditionalFormatting>
  <conditionalFormatting sqref="Q83">
    <cfRule type="cellIs" dxfId="6750" priority="3044" operator="lessThan">
      <formula>0</formula>
    </cfRule>
  </conditionalFormatting>
  <conditionalFormatting sqref="R83">
    <cfRule type="cellIs" dxfId="6749" priority="3042" operator="lessThan">
      <formula>0.8</formula>
    </cfRule>
    <cfRule type="cellIs" dxfId="6748" priority="3043" operator="greaterThan">
      <formula>1</formula>
    </cfRule>
  </conditionalFormatting>
  <conditionalFormatting sqref="R83">
    <cfRule type="cellIs" dxfId="6747" priority="3040" operator="greaterThan">
      <formula>1</formula>
    </cfRule>
    <cfRule type="cellIs" dxfId="6746" priority="3041" operator="lessThan">
      <formula>0.8</formula>
    </cfRule>
  </conditionalFormatting>
  <conditionalFormatting sqref="R83">
    <cfRule type="cellIs" dxfId="6745" priority="3036" operator="lessThan">
      <formula>0.8</formula>
    </cfRule>
    <cfRule type="cellIs" dxfId="6744" priority="3037" operator="greaterThan">
      <formula>1</formula>
    </cfRule>
  </conditionalFormatting>
  <conditionalFormatting sqref="R83">
    <cfRule type="cellIs" dxfId="6743" priority="3034" operator="greaterThan">
      <formula>1</formula>
    </cfRule>
    <cfRule type="cellIs" dxfId="6742" priority="3035" operator="lessThan">
      <formula>0.8</formula>
    </cfRule>
  </conditionalFormatting>
  <conditionalFormatting sqref="P83">
    <cfRule type="cellIs" dxfId="6741" priority="3033" operator="greaterThan">
      <formula>0</formula>
    </cfRule>
  </conditionalFormatting>
  <conditionalFormatting sqref="Q83">
    <cfRule type="cellIs" dxfId="6740" priority="3038" operator="lessThan">
      <formula>0</formula>
    </cfRule>
  </conditionalFormatting>
  <conditionalFormatting sqref="Q83">
    <cfRule type="cellIs" dxfId="6739" priority="3032" operator="lessThan">
      <formula>0</formula>
    </cfRule>
  </conditionalFormatting>
  <conditionalFormatting sqref="R83">
    <cfRule type="cellIs" dxfId="6738" priority="3030" operator="lessThan">
      <formula>0.8</formula>
    </cfRule>
    <cfRule type="cellIs" dxfId="6737" priority="3031" operator="greaterThan">
      <formula>1</formula>
    </cfRule>
  </conditionalFormatting>
  <conditionalFormatting sqref="R83">
    <cfRule type="cellIs" dxfId="6736" priority="3028" operator="greaterThan">
      <formula>1</formula>
    </cfRule>
    <cfRule type="cellIs" dxfId="6735" priority="3029" operator="lessThan">
      <formula>0.8</formula>
    </cfRule>
  </conditionalFormatting>
  <conditionalFormatting sqref="P83">
    <cfRule type="cellIs" dxfId="6734" priority="3027" operator="greaterThan">
      <formula>0</formula>
    </cfRule>
  </conditionalFormatting>
  <conditionalFormatting sqref="P83">
    <cfRule type="cellIs" dxfId="6733" priority="3021" operator="greaterThan">
      <formula>0</formula>
    </cfRule>
  </conditionalFormatting>
  <conditionalFormatting sqref="Q83">
    <cfRule type="cellIs" dxfId="6732" priority="3026" operator="lessThan">
      <formula>0</formula>
    </cfRule>
  </conditionalFormatting>
  <conditionalFormatting sqref="R83">
    <cfRule type="cellIs" dxfId="6731" priority="3024" operator="lessThan">
      <formula>0.8</formula>
    </cfRule>
    <cfRule type="cellIs" dxfId="6730" priority="3025" operator="greaterThan">
      <formula>1</formula>
    </cfRule>
  </conditionalFormatting>
  <conditionalFormatting sqref="R83">
    <cfRule type="cellIs" dxfId="6729" priority="3022" operator="greaterThan">
      <formula>1</formula>
    </cfRule>
    <cfRule type="cellIs" dxfId="6728" priority="3023" operator="lessThan">
      <formula>0.8</formula>
    </cfRule>
  </conditionalFormatting>
  <conditionalFormatting sqref="P83">
    <cfRule type="cellIs" dxfId="6727" priority="3015" operator="greaterThan">
      <formula>0</formula>
    </cfRule>
  </conditionalFormatting>
  <conditionalFormatting sqref="Q83">
    <cfRule type="cellIs" dxfId="6726" priority="3020" operator="lessThan">
      <formula>0</formula>
    </cfRule>
  </conditionalFormatting>
  <conditionalFormatting sqref="R83">
    <cfRule type="cellIs" dxfId="6725" priority="3018" operator="lessThan">
      <formula>0.8</formula>
    </cfRule>
    <cfRule type="cellIs" dxfId="6724" priority="3019" operator="greaterThan">
      <formula>1</formula>
    </cfRule>
  </conditionalFormatting>
  <conditionalFormatting sqref="R83">
    <cfRule type="cellIs" dxfId="6723" priority="3016" operator="greaterThan">
      <formula>1</formula>
    </cfRule>
    <cfRule type="cellIs" dxfId="6722" priority="3017" operator="lessThan">
      <formula>0.8</formula>
    </cfRule>
  </conditionalFormatting>
  <conditionalFormatting sqref="R83">
    <cfRule type="cellIs" dxfId="6721" priority="3012" operator="lessThan">
      <formula>0.8</formula>
    </cfRule>
    <cfRule type="cellIs" dxfId="6720" priority="3013" operator="greaterThan">
      <formula>1</formula>
    </cfRule>
  </conditionalFormatting>
  <conditionalFormatting sqref="R83">
    <cfRule type="cellIs" dxfId="6719" priority="3010" operator="greaterThan">
      <formula>1</formula>
    </cfRule>
    <cfRule type="cellIs" dxfId="6718" priority="3011" operator="lessThan">
      <formula>0.8</formula>
    </cfRule>
  </conditionalFormatting>
  <conditionalFormatting sqref="P83">
    <cfRule type="cellIs" dxfId="6717" priority="3009" operator="greaterThan">
      <formula>0</formula>
    </cfRule>
  </conditionalFormatting>
  <conditionalFormatting sqref="Q83">
    <cfRule type="cellIs" dxfId="6716" priority="3014" operator="lessThan">
      <formula>0</formula>
    </cfRule>
  </conditionalFormatting>
  <conditionalFormatting sqref="P83">
    <cfRule type="cellIs" dxfId="6715" priority="3003" operator="greaterThan">
      <formula>0</formula>
    </cfRule>
  </conditionalFormatting>
  <conditionalFormatting sqref="Q83">
    <cfRule type="cellIs" dxfId="6714" priority="3008" operator="lessThan">
      <formula>0</formula>
    </cfRule>
  </conditionalFormatting>
  <conditionalFormatting sqref="R83">
    <cfRule type="cellIs" dxfId="6713" priority="3006" operator="lessThan">
      <formula>0.8</formula>
    </cfRule>
    <cfRule type="cellIs" dxfId="6712" priority="3007" operator="greaterThan">
      <formula>1</formula>
    </cfRule>
  </conditionalFormatting>
  <conditionalFormatting sqref="R83">
    <cfRule type="cellIs" dxfId="6711" priority="3004" operator="greaterThan">
      <formula>1</formula>
    </cfRule>
    <cfRule type="cellIs" dxfId="6710" priority="3005" operator="lessThan">
      <formula>0.8</formula>
    </cfRule>
  </conditionalFormatting>
  <conditionalFormatting sqref="R83">
    <cfRule type="cellIs" dxfId="6709" priority="3000" operator="lessThan">
      <formula>0.8</formula>
    </cfRule>
    <cfRule type="cellIs" dxfId="6708" priority="3001" operator="greaterThan">
      <formula>1</formula>
    </cfRule>
  </conditionalFormatting>
  <conditionalFormatting sqref="R83">
    <cfRule type="cellIs" dxfId="6707" priority="2998" operator="greaterThan">
      <formula>1</formula>
    </cfRule>
    <cfRule type="cellIs" dxfId="6706" priority="2999" operator="lessThan">
      <formula>0.8</formula>
    </cfRule>
  </conditionalFormatting>
  <conditionalFormatting sqref="P83">
    <cfRule type="cellIs" dxfId="6705" priority="2997" operator="greaterThan">
      <formula>0</formula>
    </cfRule>
  </conditionalFormatting>
  <conditionalFormatting sqref="Q83">
    <cfRule type="cellIs" dxfId="6704" priority="3002" operator="lessThan">
      <formula>0</formula>
    </cfRule>
  </conditionalFormatting>
  <conditionalFormatting sqref="R83">
    <cfRule type="cellIs" dxfId="6703" priority="2994" operator="lessThan">
      <formula>0.8</formula>
    </cfRule>
    <cfRule type="cellIs" dxfId="6702" priority="2995" operator="greaterThan">
      <formula>1</formula>
    </cfRule>
  </conditionalFormatting>
  <conditionalFormatting sqref="R83">
    <cfRule type="cellIs" dxfId="6701" priority="2992" operator="greaterThan">
      <formula>1</formula>
    </cfRule>
    <cfRule type="cellIs" dxfId="6700" priority="2993" operator="lessThan">
      <formula>0.8</formula>
    </cfRule>
  </conditionalFormatting>
  <conditionalFormatting sqref="P83">
    <cfRule type="cellIs" dxfId="6699" priority="2991" operator="greaterThan">
      <formula>0</formula>
    </cfRule>
  </conditionalFormatting>
  <conditionalFormatting sqref="Q83">
    <cfRule type="cellIs" dxfId="6698" priority="2996" operator="lessThan">
      <formula>0</formula>
    </cfRule>
  </conditionalFormatting>
  <conditionalFormatting sqref="Q83">
    <cfRule type="cellIs" dxfId="6697" priority="2990" operator="lessThan">
      <formula>0</formula>
    </cfRule>
  </conditionalFormatting>
  <conditionalFormatting sqref="R83">
    <cfRule type="cellIs" dxfId="6696" priority="2988" operator="lessThan">
      <formula>0.8</formula>
    </cfRule>
    <cfRule type="cellIs" dxfId="6695" priority="2989" operator="greaterThan">
      <formula>1</formula>
    </cfRule>
  </conditionalFormatting>
  <conditionalFormatting sqref="R83">
    <cfRule type="cellIs" dxfId="6694" priority="2986" operator="greaterThan">
      <formula>1</formula>
    </cfRule>
    <cfRule type="cellIs" dxfId="6693" priority="2987" operator="lessThan">
      <formula>0.8</formula>
    </cfRule>
  </conditionalFormatting>
  <conditionalFormatting sqref="P83">
    <cfRule type="cellIs" dxfId="6692" priority="2985" operator="greaterThan">
      <formula>0</formula>
    </cfRule>
  </conditionalFormatting>
  <conditionalFormatting sqref="Q83">
    <cfRule type="cellIs" dxfId="6691" priority="2979" operator="lessThan">
      <formula>0</formula>
    </cfRule>
  </conditionalFormatting>
  <conditionalFormatting sqref="R83">
    <cfRule type="cellIs" dxfId="6690" priority="2983" operator="lessThan">
      <formula>0.8</formula>
    </cfRule>
    <cfRule type="cellIs" dxfId="6689" priority="2984" operator="greaterThan">
      <formula>1</formula>
    </cfRule>
  </conditionalFormatting>
  <conditionalFormatting sqref="R83">
    <cfRule type="cellIs" dxfId="6688" priority="2981" operator="greaterThan">
      <formula>1</formula>
    </cfRule>
    <cfRule type="cellIs" dxfId="6687" priority="2982" operator="lessThan">
      <formula>0.8</formula>
    </cfRule>
  </conditionalFormatting>
  <conditionalFormatting sqref="P83">
    <cfRule type="cellIs" dxfId="6686" priority="2980" operator="greaterThan">
      <formula>0</formula>
    </cfRule>
  </conditionalFormatting>
  <conditionalFormatting sqref="Q83">
    <cfRule type="cellIs" dxfId="6685" priority="2978" operator="lessThan">
      <formula>0</formula>
    </cfRule>
  </conditionalFormatting>
  <conditionalFormatting sqref="R83">
    <cfRule type="cellIs" dxfId="6684" priority="2976" operator="lessThan">
      <formula>0.8</formula>
    </cfRule>
    <cfRule type="cellIs" dxfId="6683" priority="2977" operator="greaterThan">
      <formula>1</formula>
    </cfRule>
  </conditionalFormatting>
  <conditionalFormatting sqref="R83">
    <cfRule type="cellIs" dxfId="6682" priority="2974" operator="greaterThan">
      <formula>1</formula>
    </cfRule>
    <cfRule type="cellIs" dxfId="6681" priority="2975" operator="lessThan">
      <formula>0.8</formula>
    </cfRule>
  </conditionalFormatting>
  <conditionalFormatting sqref="P83">
    <cfRule type="cellIs" dxfId="6680" priority="2973" operator="greaterThan">
      <formula>0</formula>
    </cfRule>
  </conditionalFormatting>
  <conditionalFormatting sqref="Q83">
    <cfRule type="cellIs" dxfId="6679" priority="2972" operator="lessThan">
      <formula>0</formula>
    </cfRule>
  </conditionalFormatting>
  <conditionalFormatting sqref="R83">
    <cfRule type="cellIs" dxfId="6678" priority="2970" operator="lessThan">
      <formula>0.8</formula>
    </cfRule>
    <cfRule type="cellIs" dxfId="6677" priority="2971" operator="greaterThan">
      <formula>1</formula>
    </cfRule>
  </conditionalFormatting>
  <conditionalFormatting sqref="R83">
    <cfRule type="cellIs" dxfId="6676" priority="2968" operator="greaterThan">
      <formula>1</formula>
    </cfRule>
    <cfRule type="cellIs" dxfId="6675" priority="2969" operator="lessThan">
      <formula>0.8</formula>
    </cfRule>
  </conditionalFormatting>
  <conditionalFormatting sqref="P83">
    <cfRule type="cellIs" dxfId="6674" priority="2967" operator="greaterThan">
      <formula>0</formula>
    </cfRule>
  </conditionalFormatting>
  <conditionalFormatting sqref="Q83">
    <cfRule type="cellIs" dxfId="6673" priority="2966" operator="lessThan">
      <formula>0</formula>
    </cfRule>
  </conditionalFormatting>
  <conditionalFormatting sqref="R83">
    <cfRule type="cellIs" dxfId="6672" priority="2964" operator="lessThan">
      <formula>0.8</formula>
    </cfRule>
    <cfRule type="cellIs" dxfId="6671" priority="2965" operator="greaterThan">
      <formula>1</formula>
    </cfRule>
  </conditionalFormatting>
  <conditionalFormatting sqref="R83">
    <cfRule type="cellIs" dxfId="6670" priority="2962" operator="greaterThan">
      <formula>1</formula>
    </cfRule>
    <cfRule type="cellIs" dxfId="6669" priority="2963" operator="lessThan">
      <formula>0.8</formula>
    </cfRule>
  </conditionalFormatting>
  <conditionalFormatting sqref="P83">
    <cfRule type="cellIs" dxfId="6668" priority="2961" operator="greaterThan">
      <formula>0</formula>
    </cfRule>
  </conditionalFormatting>
  <conditionalFormatting sqref="Q83">
    <cfRule type="cellIs" dxfId="6667" priority="2960" operator="lessThan">
      <formula>0</formula>
    </cfRule>
  </conditionalFormatting>
  <conditionalFormatting sqref="R83">
    <cfRule type="cellIs" dxfId="6666" priority="2958" operator="lessThan">
      <formula>0.8</formula>
    </cfRule>
    <cfRule type="cellIs" dxfId="6665" priority="2959" operator="greaterThan">
      <formula>1</formula>
    </cfRule>
  </conditionalFormatting>
  <conditionalFormatting sqref="R83">
    <cfRule type="cellIs" dxfId="6664" priority="2956" operator="greaterThan">
      <formula>1</formula>
    </cfRule>
    <cfRule type="cellIs" dxfId="6663" priority="2957" operator="lessThan">
      <formula>0.8</formula>
    </cfRule>
  </conditionalFormatting>
  <conditionalFormatting sqref="P83">
    <cfRule type="cellIs" dxfId="6662" priority="2955" operator="greaterThan">
      <formula>0</formula>
    </cfRule>
  </conditionalFormatting>
  <conditionalFormatting sqref="Q83">
    <cfRule type="cellIs" dxfId="6661" priority="2954" operator="lessThan">
      <formula>0</formula>
    </cfRule>
  </conditionalFormatting>
  <conditionalFormatting sqref="R83">
    <cfRule type="cellIs" dxfId="6660" priority="2952" operator="lessThan">
      <formula>0.8</formula>
    </cfRule>
    <cfRule type="cellIs" dxfId="6659" priority="2953" operator="greaterThan">
      <formula>1</formula>
    </cfRule>
  </conditionalFormatting>
  <conditionalFormatting sqref="R83">
    <cfRule type="cellIs" dxfId="6658" priority="2950" operator="greaterThan">
      <formula>1</formula>
    </cfRule>
    <cfRule type="cellIs" dxfId="6657" priority="2951" operator="lessThan">
      <formula>0.8</formula>
    </cfRule>
  </conditionalFormatting>
  <conditionalFormatting sqref="P83">
    <cfRule type="cellIs" dxfId="6656" priority="2949" operator="greaterThan">
      <formula>0</formula>
    </cfRule>
  </conditionalFormatting>
  <conditionalFormatting sqref="P83">
    <cfRule type="cellIs" dxfId="6655" priority="2943" operator="greaterThan">
      <formula>0</formula>
    </cfRule>
  </conditionalFormatting>
  <conditionalFormatting sqref="Q83">
    <cfRule type="cellIs" dxfId="6654" priority="2948" operator="lessThan">
      <formula>0</formula>
    </cfRule>
  </conditionalFormatting>
  <conditionalFormatting sqref="R83">
    <cfRule type="cellIs" dxfId="6653" priority="2946" operator="lessThan">
      <formula>0.8</formula>
    </cfRule>
    <cfRule type="cellIs" dxfId="6652" priority="2947" operator="greaterThan">
      <formula>1</formula>
    </cfRule>
  </conditionalFormatting>
  <conditionalFormatting sqref="R83">
    <cfRule type="cellIs" dxfId="6651" priority="2944" operator="greaterThan">
      <formula>1</formula>
    </cfRule>
    <cfRule type="cellIs" dxfId="6650" priority="2945" operator="lessThan">
      <formula>0.8</formula>
    </cfRule>
  </conditionalFormatting>
  <conditionalFormatting sqref="P83">
    <cfRule type="cellIs" dxfId="6649" priority="2937" operator="greaterThan">
      <formula>0</formula>
    </cfRule>
  </conditionalFormatting>
  <conditionalFormatting sqref="Q83">
    <cfRule type="cellIs" dxfId="6648" priority="2942" operator="lessThan">
      <formula>0</formula>
    </cfRule>
  </conditionalFormatting>
  <conditionalFormatting sqref="R83">
    <cfRule type="cellIs" dxfId="6647" priority="2940" operator="lessThan">
      <formula>0.8</formula>
    </cfRule>
    <cfRule type="cellIs" dxfId="6646" priority="2941" operator="greaterThan">
      <formula>1</formula>
    </cfRule>
  </conditionalFormatting>
  <conditionalFormatting sqref="R83">
    <cfRule type="cellIs" dxfId="6645" priority="2938" operator="greaterThan">
      <formula>1</formula>
    </cfRule>
    <cfRule type="cellIs" dxfId="6644" priority="2939" operator="lessThan">
      <formula>0.8</formula>
    </cfRule>
  </conditionalFormatting>
  <conditionalFormatting sqref="R83">
    <cfRule type="cellIs" dxfId="6643" priority="2934" operator="lessThan">
      <formula>0.8</formula>
    </cfRule>
    <cfRule type="cellIs" dxfId="6642" priority="2935" operator="greaterThan">
      <formula>1</formula>
    </cfRule>
  </conditionalFormatting>
  <conditionalFormatting sqref="R83">
    <cfRule type="cellIs" dxfId="6641" priority="2932" operator="greaterThan">
      <formula>1</formula>
    </cfRule>
    <cfRule type="cellIs" dxfId="6640" priority="2933" operator="lessThan">
      <formula>0.8</formula>
    </cfRule>
  </conditionalFormatting>
  <conditionalFormatting sqref="P83">
    <cfRule type="cellIs" dxfId="6639" priority="2931" operator="greaterThan">
      <formula>0</formula>
    </cfRule>
  </conditionalFormatting>
  <conditionalFormatting sqref="Q83">
    <cfRule type="cellIs" dxfId="6638" priority="2936" operator="lessThan">
      <formula>0</formula>
    </cfRule>
  </conditionalFormatting>
  <conditionalFormatting sqref="P123 P125:P129">
    <cfRule type="cellIs" dxfId="6637" priority="2925" operator="greaterThan">
      <formula>0</formula>
    </cfRule>
  </conditionalFormatting>
  <conditionalFormatting sqref="Q123 Q125:Q129">
    <cfRule type="cellIs" dxfId="6636" priority="2930" operator="lessThan">
      <formula>0</formula>
    </cfRule>
  </conditionalFormatting>
  <conditionalFormatting sqref="R123 R125:R129">
    <cfRule type="cellIs" dxfId="6635" priority="2928" operator="lessThan">
      <formula>0.8</formula>
    </cfRule>
    <cfRule type="cellIs" dxfId="6634" priority="2929" operator="greaterThan">
      <formula>1</formula>
    </cfRule>
  </conditionalFormatting>
  <conditionalFormatting sqref="R123 R125:R129">
    <cfRule type="cellIs" dxfId="6633" priority="2926" operator="greaterThan">
      <formula>1</formula>
    </cfRule>
    <cfRule type="cellIs" dxfId="6632" priority="2927" operator="lessThan">
      <formula>0.8</formula>
    </cfRule>
  </conditionalFormatting>
  <conditionalFormatting sqref="Q123 Q125:Q129">
    <cfRule type="cellIs" dxfId="6631" priority="2924" operator="lessThan">
      <formula>0</formula>
    </cfRule>
  </conditionalFormatting>
  <conditionalFormatting sqref="R123 R125:R129">
    <cfRule type="cellIs" dxfId="6630" priority="2922" operator="lessThan">
      <formula>0.8</formula>
    </cfRule>
    <cfRule type="cellIs" dxfId="6629" priority="2923" operator="greaterThan">
      <formula>1</formula>
    </cfRule>
  </conditionalFormatting>
  <conditionalFormatting sqref="R123 R125:R129">
    <cfRule type="cellIs" dxfId="6628" priority="2920" operator="greaterThan">
      <formula>1</formula>
    </cfRule>
    <cfRule type="cellIs" dxfId="6627" priority="2921" operator="lessThan">
      <formula>0.8</formula>
    </cfRule>
  </conditionalFormatting>
  <conditionalFormatting sqref="P123 P125:P129">
    <cfRule type="cellIs" dxfId="6626" priority="2919" operator="greaterThan">
      <formula>0</formula>
    </cfRule>
  </conditionalFormatting>
  <conditionalFormatting sqref="Q31">
    <cfRule type="cellIs" dxfId="6625" priority="2918" operator="lessThan">
      <formula>0</formula>
    </cfRule>
  </conditionalFormatting>
  <conditionalFormatting sqref="R31">
    <cfRule type="cellIs" dxfId="6624" priority="2916" operator="lessThan">
      <formula>0.8</formula>
    </cfRule>
    <cfRule type="cellIs" dxfId="6623" priority="2917" operator="greaterThan">
      <formula>1</formula>
    </cfRule>
  </conditionalFormatting>
  <conditionalFormatting sqref="R31">
    <cfRule type="cellIs" dxfId="6622" priority="2914" operator="greaterThan">
      <formula>1</formula>
    </cfRule>
    <cfRule type="cellIs" dxfId="6621" priority="2915" operator="lessThan">
      <formula>0.8</formula>
    </cfRule>
  </conditionalFormatting>
  <conditionalFormatting sqref="P31">
    <cfRule type="cellIs" dxfId="6620" priority="2913" operator="greaterThan">
      <formula>0</formula>
    </cfRule>
  </conditionalFormatting>
  <conditionalFormatting sqref="Q31">
    <cfRule type="cellIs" dxfId="6619" priority="2912" operator="lessThan">
      <formula>0</formula>
    </cfRule>
  </conditionalFormatting>
  <conditionalFormatting sqref="R31">
    <cfRule type="cellIs" dxfId="6618" priority="2910" operator="lessThan">
      <formula>0.8</formula>
    </cfRule>
    <cfRule type="cellIs" dxfId="6617" priority="2911" operator="greaterThan">
      <formula>1</formula>
    </cfRule>
  </conditionalFormatting>
  <conditionalFormatting sqref="R31">
    <cfRule type="cellIs" dxfId="6616" priority="2908" operator="greaterThan">
      <formula>1</formula>
    </cfRule>
    <cfRule type="cellIs" dxfId="6615" priority="2909" operator="lessThan">
      <formula>0.8</formula>
    </cfRule>
  </conditionalFormatting>
  <conditionalFormatting sqref="P31">
    <cfRule type="cellIs" dxfId="6614" priority="2907" operator="greaterThan">
      <formula>0</formula>
    </cfRule>
  </conditionalFormatting>
  <conditionalFormatting sqref="Q31">
    <cfRule type="cellIs" dxfId="6613" priority="2906" operator="lessThan">
      <formula>0</formula>
    </cfRule>
  </conditionalFormatting>
  <conditionalFormatting sqref="R31">
    <cfRule type="cellIs" dxfId="6612" priority="2904" operator="lessThan">
      <formula>0.8</formula>
    </cfRule>
    <cfRule type="cellIs" dxfId="6611" priority="2905" operator="greaterThan">
      <formula>1</formula>
    </cfRule>
  </conditionalFormatting>
  <conditionalFormatting sqref="R31">
    <cfRule type="cellIs" dxfId="6610" priority="2902" operator="greaterThan">
      <formula>1</formula>
    </cfRule>
    <cfRule type="cellIs" dxfId="6609" priority="2903" operator="lessThan">
      <formula>0.8</formula>
    </cfRule>
  </conditionalFormatting>
  <conditionalFormatting sqref="P31">
    <cfRule type="cellIs" dxfId="6608" priority="2901" operator="greaterThan">
      <formula>0</formula>
    </cfRule>
  </conditionalFormatting>
  <conditionalFormatting sqref="Q31">
    <cfRule type="cellIs" dxfId="6607" priority="2900" operator="lessThan">
      <formula>0</formula>
    </cfRule>
  </conditionalFormatting>
  <conditionalFormatting sqref="R31">
    <cfRule type="cellIs" dxfId="6606" priority="2898" operator="lessThan">
      <formula>0.8</formula>
    </cfRule>
    <cfRule type="cellIs" dxfId="6605" priority="2899" operator="greaterThan">
      <formula>1</formula>
    </cfRule>
  </conditionalFormatting>
  <conditionalFormatting sqref="R31">
    <cfRule type="cellIs" dxfId="6604" priority="2896" operator="greaterThan">
      <formula>1</formula>
    </cfRule>
    <cfRule type="cellIs" dxfId="6603" priority="2897" operator="lessThan">
      <formula>0.8</formula>
    </cfRule>
  </conditionalFormatting>
  <conditionalFormatting sqref="P31">
    <cfRule type="cellIs" dxfId="6602" priority="2895" operator="greaterThan">
      <formula>0</formula>
    </cfRule>
  </conditionalFormatting>
  <conditionalFormatting sqref="P31">
    <cfRule type="cellIs" dxfId="6601" priority="2889" operator="greaterThan">
      <formula>0</formula>
    </cfRule>
  </conditionalFormatting>
  <conditionalFormatting sqref="Q31">
    <cfRule type="cellIs" dxfId="6600" priority="2894" operator="lessThan">
      <formula>0</formula>
    </cfRule>
  </conditionalFormatting>
  <conditionalFormatting sqref="R31">
    <cfRule type="cellIs" dxfId="6599" priority="2892" operator="lessThan">
      <formula>0.8</formula>
    </cfRule>
    <cfRule type="cellIs" dxfId="6598" priority="2893" operator="greaterThan">
      <formula>1</formula>
    </cfRule>
  </conditionalFormatting>
  <conditionalFormatting sqref="R31">
    <cfRule type="cellIs" dxfId="6597" priority="2890" operator="greaterThan">
      <formula>1</formula>
    </cfRule>
    <cfRule type="cellIs" dxfId="6596" priority="2891" operator="lessThan">
      <formula>0.8</formula>
    </cfRule>
  </conditionalFormatting>
  <conditionalFormatting sqref="P31">
    <cfRule type="cellIs" dxfId="6595" priority="2883" operator="greaterThan">
      <formula>0</formula>
    </cfRule>
  </conditionalFormatting>
  <conditionalFormatting sqref="Q31">
    <cfRule type="cellIs" dxfId="6594" priority="2888" operator="lessThan">
      <formula>0</formula>
    </cfRule>
  </conditionalFormatting>
  <conditionalFormatting sqref="R31">
    <cfRule type="cellIs" dxfId="6593" priority="2886" operator="lessThan">
      <formula>0.8</formula>
    </cfRule>
    <cfRule type="cellIs" dxfId="6592" priority="2887" operator="greaterThan">
      <formula>1</formula>
    </cfRule>
  </conditionalFormatting>
  <conditionalFormatting sqref="R31">
    <cfRule type="cellIs" dxfId="6591" priority="2884" operator="greaterThan">
      <formula>1</formula>
    </cfRule>
    <cfRule type="cellIs" dxfId="6590" priority="2885" operator="lessThan">
      <formula>0.8</formula>
    </cfRule>
  </conditionalFormatting>
  <conditionalFormatting sqref="R31">
    <cfRule type="cellIs" dxfId="6589" priority="2880" operator="lessThan">
      <formula>0.8</formula>
    </cfRule>
    <cfRule type="cellIs" dxfId="6588" priority="2881" operator="greaterThan">
      <formula>1</formula>
    </cfRule>
  </conditionalFormatting>
  <conditionalFormatting sqref="R31">
    <cfRule type="cellIs" dxfId="6587" priority="2878" operator="greaterThan">
      <formula>1</formula>
    </cfRule>
    <cfRule type="cellIs" dxfId="6586" priority="2879" operator="lessThan">
      <formula>0.8</formula>
    </cfRule>
  </conditionalFormatting>
  <conditionalFormatting sqref="P31">
    <cfRule type="cellIs" dxfId="6585" priority="2877" operator="greaterThan">
      <formula>0</formula>
    </cfRule>
  </conditionalFormatting>
  <conditionalFormatting sqref="Q31">
    <cfRule type="cellIs" dxfId="6584" priority="2882" operator="lessThan">
      <formula>0</formula>
    </cfRule>
  </conditionalFormatting>
  <conditionalFormatting sqref="Q31">
    <cfRule type="cellIs" dxfId="6583" priority="2876" operator="lessThan">
      <formula>0</formula>
    </cfRule>
  </conditionalFormatting>
  <conditionalFormatting sqref="R31">
    <cfRule type="cellIs" dxfId="6582" priority="2874" operator="lessThan">
      <formula>0.8</formula>
    </cfRule>
    <cfRule type="cellIs" dxfId="6581" priority="2875" operator="greaterThan">
      <formula>1</formula>
    </cfRule>
  </conditionalFormatting>
  <conditionalFormatting sqref="R31">
    <cfRule type="cellIs" dxfId="6580" priority="2872" operator="greaterThan">
      <formula>1</formula>
    </cfRule>
    <cfRule type="cellIs" dxfId="6579" priority="2873" operator="lessThan">
      <formula>0.8</formula>
    </cfRule>
  </conditionalFormatting>
  <conditionalFormatting sqref="P31">
    <cfRule type="cellIs" dxfId="6578" priority="2871" operator="greaterThan">
      <formula>0</formula>
    </cfRule>
  </conditionalFormatting>
  <conditionalFormatting sqref="P31">
    <cfRule type="cellIs" dxfId="6577" priority="2865" operator="greaterThan">
      <formula>0</formula>
    </cfRule>
  </conditionalFormatting>
  <conditionalFormatting sqref="Q31">
    <cfRule type="cellIs" dxfId="6576" priority="2870" operator="lessThan">
      <formula>0</formula>
    </cfRule>
  </conditionalFormatting>
  <conditionalFormatting sqref="R31">
    <cfRule type="cellIs" dxfId="6575" priority="2868" operator="lessThan">
      <formula>0.8</formula>
    </cfRule>
    <cfRule type="cellIs" dxfId="6574" priority="2869" operator="greaterThan">
      <formula>1</formula>
    </cfRule>
  </conditionalFormatting>
  <conditionalFormatting sqref="R31">
    <cfRule type="cellIs" dxfId="6573" priority="2866" operator="greaterThan">
      <formula>1</formula>
    </cfRule>
    <cfRule type="cellIs" dxfId="6572" priority="2867" operator="lessThan">
      <formula>0.8</formula>
    </cfRule>
  </conditionalFormatting>
  <conditionalFormatting sqref="P31">
    <cfRule type="cellIs" dxfId="6571" priority="2859" operator="greaterThan">
      <formula>0</formula>
    </cfRule>
  </conditionalFormatting>
  <conditionalFormatting sqref="Q31">
    <cfRule type="cellIs" dxfId="6570" priority="2864" operator="lessThan">
      <formula>0</formula>
    </cfRule>
  </conditionalFormatting>
  <conditionalFormatting sqref="R31">
    <cfRule type="cellIs" dxfId="6569" priority="2862" operator="lessThan">
      <formula>0.8</formula>
    </cfRule>
    <cfRule type="cellIs" dxfId="6568" priority="2863" operator="greaterThan">
      <formula>1</formula>
    </cfRule>
  </conditionalFormatting>
  <conditionalFormatting sqref="R31">
    <cfRule type="cellIs" dxfId="6567" priority="2860" operator="greaterThan">
      <formula>1</formula>
    </cfRule>
    <cfRule type="cellIs" dxfId="6566" priority="2861" operator="lessThan">
      <formula>0.8</formula>
    </cfRule>
  </conditionalFormatting>
  <conditionalFormatting sqref="R31">
    <cfRule type="cellIs" dxfId="6565" priority="2856" operator="lessThan">
      <formula>0.8</formula>
    </cfRule>
    <cfRule type="cellIs" dxfId="6564" priority="2857" operator="greaterThan">
      <formula>1</formula>
    </cfRule>
  </conditionalFormatting>
  <conditionalFormatting sqref="R31">
    <cfRule type="cellIs" dxfId="6563" priority="2854" operator="greaterThan">
      <formula>1</formula>
    </cfRule>
    <cfRule type="cellIs" dxfId="6562" priority="2855" operator="lessThan">
      <formula>0.8</formula>
    </cfRule>
  </conditionalFormatting>
  <conditionalFormatting sqref="P31">
    <cfRule type="cellIs" dxfId="6561" priority="2853" operator="greaterThan">
      <formula>0</formula>
    </cfRule>
  </conditionalFormatting>
  <conditionalFormatting sqref="Q31">
    <cfRule type="cellIs" dxfId="6560" priority="2858" operator="lessThan">
      <formula>0</formula>
    </cfRule>
  </conditionalFormatting>
  <conditionalFormatting sqref="P31">
    <cfRule type="cellIs" dxfId="6559" priority="2847" operator="greaterThan">
      <formula>0</formula>
    </cfRule>
  </conditionalFormatting>
  <conditionalFormatting sqref="Q31">
    <cfRule type="cellIs" dxfId="6558" priority="2852" operator="lessThan">
      <formula>0</formula>
    </cfRule>
  </conditionalFormatting>
  <conditionalFormatting sqref="R31">
    <cfRule type="cellIs" dxfId="6557" priority="2850" operator="lessThan">
      <formula>0.8</formula>
    </cfRule>
    <cfRule type="cellIs" dxfId="6556" priority="2851" operator="greaterThan">
      <formula>1</formula>
    </cfRule>
  </conditionalFormatting>
  <conditionalFormatting sqref="R31">
    <cfRule type="cellIs" dxfId="6555" priority="2848" operator="greaterThan">
      <formula>1</formula>
    </cfRule>
    <cfRule type="cellIs" dxfId="6554" priority="2849" operator="lessThan">
      <formula>0.8</formula>
    </cfRule>
  </conditionalFormatting>
  <conditionalFormatting sqref="R31">
    <cfRule type="cellIs" dxfId="6553" priority="2844" operator="lessThan">
      <formula>0.8</formula>
    </cfRule>
    <cfRule type="cellIs" dxfId="6552" priority="2845" operator="greaterThan">
      <formula>1</formula>
    </cfRule>
  </conditionalFormatting>
  <conditionalFormatting sqref="R31">
    <cfRule type="cellIs" dxfId="6551" priority="2842" operator="greaterThan">
      <formula>1</formula>
    </cfRule>
    <cfRule type="cellIs" dxfId="6550" priority="2843" operator="lessThan">
      <formula>0.8</formula>
    </cfRule>
  </conditionalFormatting>
  <conditionalFormatting sqref="P31">
    <cfRule type="cellIs" dxfId="6549" priority="2841" operator="greaterThan">
      <formula>0</formula>
    </cfRule>
  </conditionalFormatting>
  <conditionalFormatting sqref="Q31">
    <cfRule type="cellIs" dxfId="6548" priority="2846" operator="lessThan">
      <formula>0</formula>
    </cfRule>
  </conditionalFormatting>
  <conditionalFormatting sqref="R31">
    <cfRule type="cellIs" dxfId="6547" priority="2838" operator="lessThan">
      <formula>0.8</formula>
    </cfRule>
    <cfRule type="cellIs" dxfId="6546" priority="2839" operator="greaterThan">
      <formula>1</formula>
    </cfRule>
  </conditionalFormatting>
  <conditionalFormatting sqref="R31">
    <cfRule type="cellIs" dxfId="6545" priority="2836" operator="greaterThan">
      <formula>1</formula>
    </cfRule>
    <cfRule type="cellIs" dxfId="6544" priority="2837" operator="lessThan">
      <formula>0.8</formula>
    </cfRule>
  </conditionalFormatting>
  <conditionalFormatting sqref="P31">
    <cfRule type="cellIs" dxfId="6543" priority="2835" operator="greaterThan">
      <formula>0</formula>
    </cfRule>
  </conditionalFormatting>
  <conditionalFormatting sqref="Q31">
    <cfRule type="cellIs" dxfId="6542" priority="2840" operator="lessThan">
      <formula>0</formula>
    </cfRule>
  </conditionalFormatting>
  <conditionalFormatting sqref="Q31">
    <cfRule type="cellIs" dxfId="6541" priority="2834" operator="lessThan">
      <formula>0</formula>
    </cfRule>
  </conditionalFormatting>
  <conditionalFormatting sqref="R31">
    <cfRule type="cellIs" dxfId="6540" priority="2832" operator="lessThan">
      <formula>0.8</formula>
    </cfRule>
    <cfRule type="cellIs" dxfId="6539" priority="2833" operator="greaterThan">
      <formula>1</formula>
    </cfRule>
  </conditionalFormatting>
  <conditionalFormatting sqref="R31">
    <cfRule type="cellIs" dxfId="6538" priority="2830" operator="greaterThan">
      <formula>1</formula>
    </cfRule>
    <cfRule type="cellIs" dxfId="6537" priority="2831" operator="lessThan">
      <formula>0.8</formula>
    </cfRule>
  </conditionalFormatting>
  <conditionalFormatting sqref="P31">
    <cfRule type="cellIs" dxfId="6536" priority="2829" operator="greaterThan">
      <formula>0</formula>
    </cfRule>
  </conditionalFormatting>
  <conditionalFormatting sqref="Q31">
    <cfRule type="cellIs" dxfId="6535" priority="2823" operator="lessThan">
      <formula>0</formula>
    </cfRule>
  </conditionalFormatting>
  <conditionalFormatting sqref="R31">
    <cfRule type="cellIs" dxfId="6534" priority="2827" operator="lessThan">
      <formula>0.8</formula>
    </cfRule>
    <cfRule type="cellIs" dxfId="6533" priority="2828" operator="greaterThan">
      <formula>1</formula>
    </cfRule>
  </conditionalFormatting>
  <conditionalFormatting sqref="R31">
    <cfRule type="cellIs" dxfId="6532" priority="2825" operator="greaterThan">
      <formula>1</formula>
    </cfRule>
    <cfRule type="cellIs" dxfId="6531" priority="2826" operator="lessThan">
      <formula>0.8</formula>
    </cfRule>
  </conditionalFormatting>
  <conditionalFormatting sqref="P31">
    <cfRule type="cellIs" dxfId="6530" priority="2824" operator="greaterThan">
      <formula>0</formula>
    </cfRule>
  </conditionalFormatting>
  <conditionalFormatting sqref="Q31">
    <cfRule type="cellIs" dxfId="6529" priority="2822" operator="lessThan">
      <formula>0</formula>
    </cfRule>
  </conditionalFormatting>
  <conditionalFormatting sqref="R31">
    <cfRule type="cellIs" dxfId="6528" priority="2820" operator="lessThan">
      <formula>0.8</formula>
    </cfRule>
    <cfRule type="cellIs" dxfId="6527" priority="2821" operator="greaterThan">
      <formula>1</formula>
    </cfRule>
  </conditionalFormatting>
  <conditionalFormatting sqref="R31">
    <cfRule type="cellIs" dxfId="6526" priority="2818" operator="greaterThan">
      <formula>1</formula>
    </cfRule>
    <cfRule type="cellIs" dxfId="6525" priority="2819" operator="lessThan">
      <formula>0.8</formula>
    </cfRule>
  </conditionalFormatting>
  <conditionalFormatting sqref="P31">
    <cfRule type="cellIs" dxfId="6524" priority="2817" operator="greaterThan">
      <formula>0</formula>
    </cfRule>
  </conditionalFormatting>
  <conditionalFormatting sqref="Q31">
    <cfRule type="cellIs" dxfId="6523" priority="2816" operator="lessThan">
      <formula>0</formula>
    </cfRule>
  </conditionalFormatting>
  <conditionalFormatting sqref="R31">
    <cfRule type="cellIs" dxfId="6522" priority="2814" operator="lessThan">
      <formula>0.8</formula>
    </cfRule>
    <cfRule type="cellIs" dxfId="6521" priority="2815" operator="greaterThan">
      <formula>1</formula>
    </cfRule>
  </conditionalFormatting>
  <conditionalFormatting sqref="R31">
    <cfRule type="cellIs" dxfId="6520" priority="2812" operator="greaterThan">
      <formula>1</formula>
    </cfRule>
    <cfRule type="cellIs" dxfId="6519" priority="2813" operator="lessThan">
      <formula>0.8</formula>
    </cfRule>
  </conditionalFormatting>
  <conditionalFormatting sqref="P31">
    <cfRule type="cellIs" dxfId="6518" priority="2811" operator="greaterThan">
      <formula>0</formula>
    </cfRule>
  </conditionalFormatting>
  <conditionalFormatting sqref="Q31">
    <cfRule type="cellIs" dxfId="6517" priority="2810" operator="lessThan">
      <formula>0</formula>
    </cfRule>
  </conditionalFormatting>
  <conditionalFormatting sqref="R31">
    <cfRule type="cellIs" dxfId="6516" priority="2808" operator="lessThan">
      <formula>0.8</formula>
    </cfRule>
    <cfRule type="cellIs" dxfId="6515" priority="2809" operator="greaterThan">
      <formula>1</formula>
    </cfRule>
  </conditionalFormatting>
  <conditionalFormatting sqref="R31">
    <cfRule type="cellIs" dxfId="6514" priority="2806" operator="greaterThan">
      <formula>1</formula>
    </cfRule>
    <cfRule type="cellIs" dxfId="6513" priority="2807" operator="lessThan">
      <formula>0.8</formula>
    </cfRule>
  </conditionalFormatting>
  <conditionalFormatting sqref="P31">
    <cfRule type="cellIs" dxfId="6512" priority="2805" operator="greaterThan">
      <formula>0</formula>
    </cfRule>
  </conditionalFormatting>
  <conditionalFormatting sqref="Q31">
    <cfRule type="cellIs" dxfId="6511" priority="2804" operator="lessThan">
      <formula>0</formula>
    </cfRule>
  </conditionalFormatting>
  <conditionalFormatting sqref="R31">
    <cfRule type="cellIs" dxfId="6510" priority="2802" operator="lessThan">
      <formula>0.8</formula>
    </cfRule>
    <cfRule type="cellIs" dxfId="6509" priority="2803" operator="greaterThan">
      <formula>1</formula>
    </cfRule>
  </conditionalFormatting>
  <conditionalFormatting sqref="R31">
    <cfRule type="cellIs" dxfId="6508" priority="2800" operator="greaterThan">
      <formula>1</formula>
    </cfRule>
    <cfRule type="cellIs" dxfId="6507" priority="2801" operator="lessThan">
      <formula>0.8</formula>
    </cfRule>
  </conditionalFormatting>
  <conditionalFormatting sqref="P31">
    <cfRule type="cellIs" dxfId="6506" priority="2799" operator="greaterThan">
      <formula>0</formula>
    </cfRule>
  </conditionalFormatting>
  <conditionalFormatting sqref="Q31">
    <cfRule type="cellIs" dxfId="6505" priority="2798" operator="lessThan">
      <formula>0</formula>
    </cfRule>
  </conditionalFormatting>
  <conditionalFormatting sqref="R31">
    <cfRule type="cellIs" dxfId="6504" priority="2796" operator="lessThan">
      <formula>0.8</formula>
    </cfRule>
    <cfRule type="cellIs" dxfId="6503" priority="2797" operator="greaterThan">
      <formula>1</formula>
    </cfRule>
  </conditionalFormatting>
  <conditionalFormatting sqref="R31">
    <cfRule type="cellIs" dxfId="6502" priority="2794" operator="greaterThan">
      <formula>1</formula>
    </cfRule>
    <cfRule type="cellIs" dxfId="6501" priority="2795" operator="lessThan">
      <formula>0.8</formula>
    </cfRule>
  </conditionalFormatting>
  <conditionalFormatting sqref="P31">
    <cfRule type="cellIs" dxfId="6500" priority="2793" operator="greaterThan">
      <formula>0</formula>
    </cfRule>
  </conditionalFormatting>
  <conditionalFormatting sqref="P31">
    <cfRule type="cellIs" dxfId="6499" priority="2787" operator="greaterThan">
      <formula>0</formula>
    </cfRule>
  </conditionalFormatting>
  <conditionalFormatting sqref="Q31">
    <cfRule type="cellIs" dxfId="6498" priority="2792" operator="lessThan">
      <formula>0</formula>
    </cfRule>
  </conditionalFormatting>
  <conditionalFormatting sqref="R31">
    <cfRule type="cellIs" dxfId="6497" priority="2790" operator="lessThan">
      <formula>0.8</formula>
    </cfRule>
    <cfRule type="cellIs" dxfId="6496" priority="2791" operator="greaterThan">
      <formula>1</formula>
    </cfRule>
  </conditionalFormatting>
  <conditionalFormatting sqref="R31">
    <cfRule type="cellIs" dxfId="6495" priority="2788" operator="greaterThan">
      <formula>1</formula>
    </cfRule>
    <cfRule type="cellIs" dxfId="6494" priority="2789" operator="lessThan">
      <formula>0.8</formula>
    </cfRule>
  </conditionalFormatting>
  <conditionalFormatting sqref="P31">
    <cfRule type="cellIs" dxfId="6493" priority="2781" operator="greaterThan">
      <formula>0</formula>
    </cfRule>
  </conditionalFormatting>
  <conditionalFormatting sqref="Q31">
    <cfRule type="cellIs" dxfId="6492" priority="2786" operator="lessThan">
      <formula>0</formula>
    </cfRule>
  </conditionalFormatting>
  <conditionalFormatting sqref="R31">
    <cfRule type="cellIs" dxfId="6491" priority="2784" operator="lessThan">
      <formula>0.8</formula>
    </cfRule>
    <cfRule type="cellIs" dxfId="6490" priority="2785" operator="greaterThan">
      <formula>1</formula>
    </cfRule>
  </conditionalFormatting>
  <conditionalFormatting sqref="R31">
    <cfRule type="cellIs" dxfId="6489" priority="2782" operator="greaterThan">
      <formula>1</formula>
    </cfRule>
    <cfRule type="cellIs" dxfId="6488" priority="2783" operator="lessThan">
      <formula>0.8</formula>
    </cfRule>
  </conditionalFormatting>
  <conditionalFormatting sqref="R31">
    <cfRule type="cellIs" dxfId="6487" priority="2778" operator="lessThan">
      <formula>0.8</formula>
    </cfRule>
    <cfRule type="cellIs" dxfId="6486" priority="2779" operator="greaterThan">
      <formula>1</formula>
    </cfRule>
  </conditionalFormatting>
  <conditionalFormatting sqref="R31">
    <cfRule type="cellIs" dxfId="6485" priority="2776" operator="greaterThan">
      <formula>1</formula>
    </cfRule>
    <cfRule type="cellIs" dxfId="6484" priority="2777" operator="lessThan">
      <formula>0.8</formula>
    </cfRule>
  </conditionalFormatting>
  <conditionalFormatting sqref="P31">
    <cfRule type="cellIs" dxfId="6483" priority="2775" operator="greaterThan">
      <formula>0</formula>
    </cfRule>
  </conditionalFormatting>
  <conditionalFormatting sqref="Q31">
    <cfRule type="cellIs" dxfId="6482" priority="2780" operator="lessThan">
      <formula>0</formula>
    </cfRule>
  </conditionalFormatting>
  <conditionalFormatting sqref="Q31">
    <cfRule type="cellIs" dxfId="6481" priority="2774" operator="lessThan">
      <formula>0</formula>
    </cfRule>
  </conditionalFormatting>
  <conditionalFormatting sqref="R31">
    <cfRule type="cellIs" dxfId="6480" priority="2772" operator="lessThan">
      <formula>0.8</formula>
    </cfRule>
    <cfRule type="cellIs" dxfId="6479" priority="2773" operator="greaterThan">
      <formula>1</formula>
    </cfRule>
  </conditionalFormatting>
  <conditionalFormatting sqref="R31">
    <cfRule type="cellIs" dxfId="6478" priority="2770" operator="greaterThan">
      <formula>1</formula>
    </cfRule>
    <cfRule type="cellIs" dxfId="6477" priority="2771" operator="lessThan">
      <formula>0.8</formula>
    </cfRule>
  </conditionalFormatting>
  <conditionalFormatting sqref="P31">
    <cfRule type="cellIs" dxfId="6476" priority="2769" operator="greaterThan">
      <formula>0</formula>
    </cfRule>
  </conditionalFormatting>
  <conditionalFormatting sqref="Q31">
    <cfRule type="cellIs" dxfId="6475" priority="2768" operator="lessThan">
      <formula>0</formula>
    </cfRule>
  </conditionalFormatting>
  <conditionalFormatting sqref="R31">
    <cfRule type="cellIs" dxfId="6474" priority="2766" operator="lessThan">
      <formula>0.8</formula>
    </cfRule>
    <cfRule type="cellIs" dxfId="6473" priority="2767" operator="greaterThan">
      <formula>1</formula>
    </cfRule>
  </conditionalFormatting>
  <conditionalFormatting sqref="R31">
    <cfRule type="cellIs" dxfId="6472" priority="2764" operator="greaterThan">
      <formula>1</formula>
    </cfRule>
    <cfRule type="cellIs" dxfId="6471" priority="2765" operator="lessThan">
      <formula>0.8</formula>
    </cfRule>
  </conditionalFormatting>
  <conditionalFormatting sqref="P31">
    <cfRule type="cellIs" dxfId="6470" priority="2763" operator="greaterThan">
      <formula>0</formula>
    </cfRule>
  </conditionalFormatting>
  <conditionalFormatting sqref="Q31">
    <cfRule type="cellIs" dxfId="6469" priority="2762" operator="lessThan">
      <formula>0</formula>
    </cfRule>
  </conditionalFormatting>
  <conditionalFormatting sqref="R31">
    <cfRule type="cellIs" dxfId="6468" priority="2760" operator="lessThan">
      <formula>0.8</formula>
    </cfRule>
    <cfRule type="cellIs" dxfId="6467" priority="2761" operator="greaterThan">
      <formula>1</formula>
    </cfRule>
  </conditionalFormatting>
  <conditionalFormatting sqref="R31">
    <cfRule type="cellIs" dxfId="6466" priority="2758" operator="greaterThan">
      <formula>1</formula>
    </cfRule>
    <cfRule type="cellIs" dxfId="6465" priority="2759" operator="lessThan">
      <formula>0.8</formula>
    </cfRule>
  </conditionalFormatting>
  <conditionalFormatting sqref="P31">
    <cfRule type="cellIs" dxfId="6464" priority="2757" operator="greaterThan">
      <formula>0</formula>
    </cfRule>
  </conditionalFormatting>
  <conditionalFormatting sqref="Q31">
    <cfRule type="cellIs" dxfId="6463" priority="2756" operator="lessThan">
      <formula>0</formula>
    </cfRule>
  </conditionalFormatting>
  <conditionalFormatting sqref="R31">
    <cfRule type="cellIs" dxfId="6462" priority="2754" operator="lessThan">
      <formula>0.8</formula>
    </cfRule>
    <cfRule type="cellIs" dxfId="6461" priority="2755" operator="greaterThan">
      <formula>1</formula>
    </cfRule>
  </conditionalFormatting>
  <conditionalFormatting sqref="R31">
    <cfRule type="cellIs" dxfId="6460" priority="2752" operator="greaterThan">
      <formula>1</formula>
    </cfRule>
    <cfRule type="cellIs" dxfId="6459" priority="2753" operator="lessThan">
      <formula>0.8</formula>
    </cfRule>
  </conditionalFormatting>
  <conditionalFormatting sqref="P31">
    <cfRule type="cellIs" dxfId="6458" priority="2751" operator="greaterThan">
      <formula>0</formula>
    </cfRule>
  </conditionalFormatting>
  <conditionalFormatting sqref="P31">
    <cfRule type="cellIs" dxfId="6457" priority="2745" operator="greaterThan">
      <formula>0</formula>
    </cfRule>
  </conditionalFormatting>
  <conditionalFormatting sqref="Q31">
    <cfRule type="cellIs" dxfId="6456" priority="2750" operator="lessThan">
      <formula>0</formula>
    </cfRule>
  </conditionalFormatting>
  <conditionalFormatting sqref="R31">
    <cfRule type="cellIs" dxfId="6455" priority="2748" operator="lessThan">
      <formula>0.8</formula>
    </cfRule>
    <cfRule type="cellIs" dxfId="6454" priority="2749" operator="greaterThan">
      <formula>1</formula>
    </cfRule>
  </conditionalFormatting>
  <conditionalFormatting sqref="R31">
    <cfRule type="cellIs" dxfId="6453" priority="2746" operator="greaterThan">
      <formula>1</formula>
    </cfRule>
    <cfRule type="cellIs" dxfId="6452" priority="2747" operator="lessThan">
      <formula>0.8</formula>
    </cfRule>
  </conditionalFormatting>
  <conditionalFormatting sqref="P31">
    <cfRule type="cellIs" dxfId="6451" priority="2739" operator="greaterThan">
      <formula>0</formula>
    </cfRule>
  </conditionalFormatting>
  <conditionalFormatting sqref="Q31">
    <cfRule type="cellIs" dxfId="6450" priority="2744" operator="lessThan">
      <formula>0</formula>
    </cfRule>
  </conditionalFormatting>
  <conditionalFormatting sqref="R31">
    <cfRule type="cellIs" dxfId="6449" priority="2742" operator="lessThan">
      <formula>0.8</formula>
    </cfRule>
    <cfRule type="cellIs" dxfId="6448" priority="2743" operator="greaterThan">
      <formula>1</formula>
    </cfRule>
  </conditionalFormatting>
  <conditionalFormatting sqref="R31">
    <cfRule type="cellIs" dxfId="6447" priority="2740" operator="greaterThan">
      <formula>1</formula>
    </cfRule>
    <cfRule type="cellIs" dxfId="6446" priority="2741" operator="lessThan">
      <formula>0.8</formula>
    </cfRule>
  </conditionalFormatting>
  <conditionalFormatting sqref="R31">
    <cfRule type="cellIs" dxfId="6445" priority="2736" operator="lessThan">
      <formula>0.8</formula>
    </cfRule>
    <cfRule type="cellIs" dxfId="6444" priority="2737" operator="greaterThan">
      <formula>1</formula>
    </cfRule>
  </conditionalFormatting>
  <conditionalFormatting sqref="R31">
    <cfRule type="cellIs" dxfId="6443" priority="2734" operator="greaterThan">
      <formula>1</formula>
    </cfRule>
    <cfRule type="cellIs" dxfId="6442" priority="2735" operator="lessThan">
      <formula>0.8</formula>
    </cfRule>
  </conditionalFormatting>
  <conditionalFormatting sqref="P31">
    <cfRule type="cellIs" dxfId="6441" priority="2733" operator="greaterThan">
      <formula>0</formula>
    </cfRule>
  </conditionalFormatting>
  <conditionalFormatting sqref="Q31">
    <cfRule type="cellIs" dxfId="6440" priority="2738" operator="lessThan">
      <formula>0</formula>
    </cfRule>
  </conditionalFormatting>
  <conditionalFormatting sqref="Q31">
    <cfRule type="cellIs" dxfId="6439" priority="2732" operator="lessThan">
      <formula>0</formula>
    </cfRule>
  </conditionalFormatting>
  <conditionalFormatting sqref="R31">
    <cfRule type="cellIs" dxfId="6438" priority="2730" operator="lessThan">
      <formula>0.8</formula>
    </cfRule>
    <cfRule type="cellIs" dxfId="6437" priority="2731" operator="greaterThan">
      <formula>1</formula>
    </cfRule>
  </conditionalFormatting>
  <conditionalFormatting sqref="R31">
    <cfRule type="cellIs" dxfId="6436" priority="2728" operator="greaterThan">
      <formula>1</formula>
    </cfRule>
    <cfRule type="cellIs" dxfId="6435" priority="2729" operator="lessThan">
      <formula>0.8</formula>
    </cfRule>
  </conditionalFormatting>
  <conditionalFormatting sqref="P31">
    <cfRule type="cellIs" dxfId="6434" priority="2727" operator="greaterThan">
      <formula>0</formula>
    </cfRule>
  </conditionalFormatting>
  <conditionalFormatting sqref="P31">
    <cfRule type="cellIs" dxfId="6433" priority="2721" operator="greaterThan">
      <formula>0</formula>
    </cfRule>
  </conditionalFormatting>
  <conditionalFormatting sqref="Q31">
    <cfRule type="cellIs" dxfId="6432" priority="2726" operator="lessThan">
      <formula>0</formula>
    </cfRule>
  </conditionalFormatting>
  <conditionalFormatting sqref="R31">
    <cfRule type="cellIs" dxfId="6431" priority="2724" operator="lessThan">
      <formula>0.8</formula>
    </cfRule>
    <cfRule type="cellIs" dxfId="6430" priority="2725" operator="greaterThan">
      <formula>1</formula>
    </cfRule>
  </conditionalFormatting>
  <conditionalFormatting sqref="R31">
    <cfRule type="cellIs" dxfId="6429" priority="2722" operator="greaterThan">
      <formula>1</formula>
    </cfRule>
    <cfRule type="cellIs" dxfId="6428" priority="2723" operator="lessThan">
      <formula>0.8</formula>
    </cfRule>
  </conditionalFormatting>
  <conditionalFormatting sqref="P31">
    <cfRule type="cellIs" dxfId="6427" priority="2715" operator="greaterThan">
      <formula>0</formula>
    </cfRule>
  </conditionalFormatting>
  <conditionalFormatting sqref="Q31">
    <cfRule type="cellIs" dxfId="6426" priority="2720" operator="lessThan">
      <formula>0</formula>
    </cfRule>
  </conditionalFormatting>
  <conditionalFormatting sqref="R31">
    <cfRule type="cellIs" dxfId="6425" priority="2718" operator="lessThan">
      <formula>0.8</formula>
    </cfRule>
    <cfRule type="cellIs" dxfId="6424" priority="2719" operator="greaterThan">
      <formula>1</formula>
    </cfRule>
  </conditionalFormatting>
  <conditionalFormatting sqref="R31">
    <cfRule type="cellIs" dxfId="6423" priority="2716" operator="greaterThan">
      <formula>1</formula>
    </cfRule>
    <cfRule type="cellIs" dxfId="6422" priority="2717" operator="lessThan">
      <formula>0.8</formula>
    </cfRule>
  </conditionalFormatting>
  <conditionalFormatting sqref="R31">
    <cfRule type="cellIs" dxfId="6421" priority="2712" operator="lessThan">
      <formula>0.8</formula>
    </cfRule>
    <cfRule type="cellIs" dxfId="6420" priority="2713" operator="greaterThan">
      <formula>1</formula>
    </cfRule>
  </conditionalFormatting>
  <conditionalFormatting sqref="R31">
    <cfRule type="cellIs" dxfId="6419" priority="2710" operator="greaterThan">
      <formula>1</formula>
    </cfRule>
    <cfRule type="cellIs" dxfId="6418" priority="2711" operator="lessThan">
      <formula>0.8</formula>
    </cfRule>
  </conditionalFormatting>
  <conditionalFormatting sqref="P31">
    <cfRule type="cellIs" dxfId="6417" priority="2709" operator="greaterThan">
      <formula>0</formula>
    </cfRule>
  </conditionalFormatting>
  <conditionalFormatting sqref="Q31">
    <cfRule type="cellIs" dxfId="6416" priority="2714" operator="lessThan">
      <formula>0</formula>
    </cfRule>
  </conditionalFormatting>
  <conditionalFormatting sqref="P31">
    <cfRule type="cellIs" dxfId="6415" priority="2703" operator="greaterThan">
      <formula>0</formula>
    </cfRule>
  </conditionalFormatting>
  <conditionalFormatting sqref="Q31">
    <cfRule type="cellIs" dxfId="6414" priority="2708" operator="lessThan">
      <formula>0</formula>
    </cfRule>
  </conditionalFormatting>
  <conditionalFormatting sqref="R31">
    <cfRule type="cellIs" dxfId="6413" priority="2706" operator="lessThan">
      <formula>0.8</formula>
    </cfRule>
    <cfRule type="cellIs" dxfId="6412" priority="2707" operator="greaterThan">
      <formula>1</formula>
    </cfRule>
  </conditionalFormatting>
  <conditionalFormatting sqref="R31">
    <cfRule type="cellIs" dxfId="6411" priority="2704" operator="greaterThan">
      <formula>1</formula>
    </cfRule>
    <cfRule type="cellIs" dxfId="6410" priority="2705" operator="lessThan">
      <formula>0.8</formula>
    </cfRule>
  </conditionalFormatting>
  <conditionalFormatting sqref="R31">
    <cfRule type="cellIs" dxfId="6409" priority="2700" operator="lessThan">
      <formula>0.8</formula>
    </cfRule>
    <cfRule type="cellIs" dxfId="6408" priority="2701" operator="greaterThan">
      <formula>1</formula>
    </cfRule>
  </conditionalFormatting>
  <conditionalFormatting sqref="R31">
    <cfRule type="cellIs" dxfId="6407" priority="2698" operator="greaterThan">
      <formula>1</formula>
    </cfRule>
    <cfRule type="cellIs" dxfId="6406" priority="2699" operator="lessThan">
      <formula>0.8</formula>
    </cfRule>
  </conditionalFormatting>
  <conditionalFormatting sqref="P31">
    <cfRule type="cellIs" dxfId="6405" priority="2697" operator="greaterThan">
      <formula>0</formula>
    </cfRule>
  </conditionalFormatting>
  <conditionalFormatting sqref="Q31">
    <cfRule type="cellIs" dxfId="6404" priority="2702" operator="lessThan">
      <formula>0</formula>
    </cfRule>
  </conditionalFormatting>
  <conditionalFormatting sqref="R31">
    <cfRule type="cellIs" dxfId="6403" priority="2694" operator="lessThan">
      <formula>0.8</formula>
    </cfRule>
    <cfRule type="cellIs" dxfId="6402" priority="2695" operator="greaterThan">
      <formula>1</formula>
    </cfRule>
  </conditionalFormatting>
  <conditionalFormatting sqref="R31">
    <cfRule type="cellIs" dxfId="6401" priority="2692" operator="greaterThan">
      <formula>1</formula>
    </cfRule>
    <cfRule type="cellIs" dxfId="6400" priority="2693" operator="lessThan">
      <formula>0.8</formula>
    </cfRule>
  </conditionalFormatting>
  <conditionalFormatting sqref="P31">
    <cfRule type="cellIs" dxfId="6399" priority="2691" operator="greaterThan">
      <formula>0</formula>
    </cfRule>
  </conditionalFormatting>
  <conditionalFormatting sqref="Q31">
    <cfRule type="cellIs" dxfId="6398" priority="2696" operator="lessThan">
      <formula>0</formula>
    </cfRule>
  </conditionalFormatting>
  <conditionalFormatting sqref="Q31">
    <cfRule type="cellIs" dxfId="6397" priority="2690" operator="lessThan">
      <formula>0</formula>
    </cfRule>
  </conditionalFormatting>
  <conditionalFormatting sqref="R31">
    <cfRule type="cellIs" dxfId="6396" priority="2688" operator="lessThan">
      <formula>0.8</formula>
    </cfRule>
    <cfRule type="cellIs" dxfId="6395" priority="2689" operator="greaterThan">
      <formula>1</formula>
    </cfRule>
  </conditionalFormatting>
  <conditionalFormatting sqref="R31">
    <cfRule type="cellIs" dxfId="6394" priority="2686" operator="greaterThan">
      <formula>1</formula>
    </cfRule>
    <cfRule type="cellIs" dxfId="6393" priority="2687" operator="lessThan">
      <formula>0.8</formula>
    </cfRule>
  </conditionalFormatting>
  <conditionalFormatting sqref="P31">
    <cfRule type="cellIs" dxfId="6392" priority="2685" operator="greaterThan">
      <formula>0</formula>
    </cfRule>
  </conditionalFormatting>
  <conditionalFormatting sqref="Q31">
    <cfRule type="cellIs" dxfId="6391" priority="2679" operator="lessThan">
      <formula>0</formula>
    </cfRule>
  </conditionalFormatting>
  <conditionalFormatting sqref="R31">
    <cfRule type="cellIs" dxfId="6390" priority="2683" operator="lessThan">
      <formula>0.8</formula>
    </cfRule>
    <cfRule type="cellIs" dxfId="6389" priority="2684" operator="greaterThan">
      <formula>1</formula>
    </cfRule>
  </conditionalFormatting>
  <conditionalFormatting sqref="R31">
    <cfRule type="cellIs" dxfId="6388" priority="2681" operator="greaterThan">
      <formula>1</formula>
    </cfRule>
    <cfRule type="cellIs" dxfId="6387" priority="2682" operator="lessThan">
      <formula>0.8</formula>
    </cfRule>
  </conditionalFormatting>
  <conditionalFormatting sqref="P31">
    <cfRule type="cellIs" dxfId="6386" priority="2680" operator="greaterThan">
      <formula>0</formula>
    </cfRule>
  </conditionalFormatting>
  <conditionalFormatting sqref="Q31">
    <cfRule type="cellIs" dxfId="6385" priority="2678" operator="lessThan">
      <formula>0</formula>
    </cfRule>
  </conditionalFormatting>
  <conditionalFormatting sqref="R31">
    <cfRule type="cellIs" dxfId="6384" priority="2676" operator="lessThan">
      <formula>0.8</formula>
    </cfRule>
    <cfRule type="cellIs" dxfId="6383" priority="2677" operator="greaterThan">
      <formula>1</formula>
    </cfRule>
  </conditionalFormatting>
  <conditionalFormatting sqref="R31">
    <cfRule type="cellIs" dxfId="6382" priority="2674" operator="greaterThan">
      <formula>1</formula>
    </cfRule>
    <cfRule type="cellIs" dxfId="6381" priority="2675" operator="lessThan">
      <formula>0.8</formula>
    </cfRule>
  </conditionalFormatting>
  <conditionalFormatting sqref="P31">
    <cfRule type="cellIs" dxfId="6380" priority="2673" operator="greaterThan">
      <formula>0</formula>
    </cfRule>
  </conditionalFormatting>
  <conditionalFormatting sqref="Q31">
    <cfRule type="cellIs" dxfId="6379" priority="2672" operator="lessThan">
      <formula>0</formula>
    </cfRule>
  </conditionalFormatting>
  <conditionalFormatting sqref="R31">
    <cfRule type="cellIs" dxfId="6378" priority="2670" operator="lessThan">
      <formula>0.8</formula>
    </cfRule>
    <cfRule type="cellIs" dxfId="6377" priority="2671" operator="greaterThan">
      <formula>1</formula>
    </cfRule>
  </conditionalFormatting>
  <conditionalFormatting sqref="R31">
    <cfRule type="cellIs" dxfId="6376" priority="2668" operator="greaterThan">
      <formula>1</formula>
    </cfRule>
    <cfRule type="cellIs" dxfId="6375" priority="2669" operator="lessThan">
      <formula>0.8</formula>
    </cfRule>
  </conditionalFormatting>
  <conditionalFormatting sqref="P31">
    <cfRule type="cellIs" dxfId="6374" priority="2667" operator="greaterThan">
      <formula>0</formula>
    </cfRule>
  </conditionalFormatting>
  <conditionalFormatting sqref="Q31">
    <cfRule type="cellIs" dxfId="6373" priority="2666" operator="lessThan">
      <formula>0</formula>
    </cfRule>
  </conditionalFormatting>
  <conditionalFormatting sqref="R31">
    <cfRule type="cellIs" dxfId="6372" priority="2664" operator="lessThan">
      <formula>0.8</formula>
    </cfRule>
    <cfRule type="cellIs" dxfId="6371" priority="2665" operator="greaterThan">
      <formula>1</formula>
    </cfRule>
  </conditionalFormatting>
  <conditionalFormatting sqref="R31">
    <cfRule type="cellIs" dxfId="6370" priority="2662" operator="greaterThan">
      <formula>1</formula>
    </cfRule>
    <cfRule type="cellIs" dxfId="6369" priority="2663" operator="lessThan">
      <formula>0.8</formula>
    </cfRule>
  </conditionalFormatting>
  <conditionalFormatting sqref="P31">
    <cfRule type="cellIs" dxfId="6368" priority="2661" operator="greaterThan">
      <formula>0</formula>
    </cfRule>
  </conditionalFormatting>
  <conditionalFormatting sqref="Q31">
    <cfRule type="cellIs" dxfId="6367" priority="2660" operator="lessThan">
      <formula>0</formula>
    </cfRule>
  </conditionalFormatting>
  <conditionalFormatting sqref="R31">
    <cfRule type="cellIs" dxfId="6366" priority="2658" operator="lessThan">
      <formula>0.8</formula>
    </cfRule>
    <cfRule type="cellIs" dxfId="6365" priority="2659" operator="greaterThan">
      <formula>1</formula>
    </cfRule>
  </conditionalFormatting>
  <conditionalFormatting sqref="R31">
    <cfRule type="cellIs" dxfId="6364" priority="2656" operator="greaterThan">
      <formula>1</formula>
    </cfRule>
    <cfRule type="cellIs" dxfId="6363" priority="2657" operator="lessThan">
      <formula>0.8</formula>
    </cfRule>
  </conditionalFormatting>
  <conditionalFormatting sqref="P31">
    <cfRule type="cellIs" dxfId="6362" priority="2655" operator="greaterThan">
      <formula>0</formula>
    </cfRule>
  </conditionalFormatting>
  <conditionalFormatting sqref="Q31">
    <cfRule type="cellIs" dxfId="6361" priority="2654" operator="lessThan">
      <formula>0</formula>
    </cfRule>
  </conditionalFormatting>
  <conditionalFormatting sqref="R31">
    <cfRule type="cellIs" dxfId="6360" priority="2652" operator="lessThan">
      <formula>0.8</formula>
    </cfRule>
    <cfRule type="cellIs" dxfId="6359" priority="2653" operator="greaterThan">
      <formula>1</formula>
    </cfRule>
  </conditionalFormatting>
  <conditionalFormatting sqref="R31">
    <cfRule type="cellIs" dxfId="6358" priority="2650" operator="greaterThan">
      <formula>1</formula>
    </cfRule>
    <cfRule type="cellIs" dxfId="6357" priority="2651" operator="lessThan">
      <formula>0.8</formula>
    </cfRule>
  </conditionalFormatting>
  <conditionalFormatting sqref="P31">
    <cfRule type="cellIs" dxfId="6356" priority="2649" operator="greaterThan">
      <formula>0</formula>
    </cfRule>
  </conditionalFormatting>
  <conditionalFormatting sqref="P31">
    <cfRule type="cellIs" dxfId="6355" priority="2643" operator="greaterThan">
      <formula>0</formula>
    </cfRule>
  </conditionalFormatting>
  <conditionalFormatting sqref="Q31">
    <cfRule type="cellIs" dxfId="6354" priority="2648" operator="lessThan">
      <formula>0</formula>
    </cfRule>
  </conditionalFormatting>
  <conditionalFormatting sqref="R31">
    <cfRule type="cellIs" dxfId="6353" priority="2646" operator="lessThan">
      <formula>0.8</formula>
    </cfRule>
    <cfRule type="cellIs" dxfId="6352" priority="2647" operator="greaterThan">
      <formula>1</formula>
    </cfRule>
  </conditionalFormatting>
  <conditionalFormatting sqref="R31">
    <cfRule type="cellIs" dxfId="6351" priority="2644" operator="greaterThan">
      <formula>1</formula>
    </cfRule>
    <cfRule type="cellIs" dxfId="6350" priority="2645" operator="lessThan">
      <formula>0.8</formula>
    </cfRule>
  </conditionalFormatting>
  <conditionalFormatting sqref="P31">
    <cfRule type="cellIs" dxfId="6349" priority="2637" operator="greaterThan">
      <formula>0</formula>
    </cfRule>
  </conditionalFormatting>
  <conditionalFormatting sqref="Q31">
    <cfRule type="cellIs" dxfId="6348" priority="2642" operator="lessThan">
      <formula>0</formula>
    </cfRule>
  </conditionalFormatting>
  <conditionalFormatting sqref="R31">
    <cfRule type="cellIs" dxfId="6347" priority="2640" operator="lessThan">
      <formula>0.8</formula>
    </cfRule>
    <cfRule type="cellIs" dxfId="6346" priority="2641" operator="greaterThan">
      <formula>1</formula>
    </cfRule>
  </conditionalFormatting>
  <conditionalFormatting sqref="R31">
    <cfRule type="cellIs" dxfId="6345" priority="2638" operator="greaterThan">
      <formula>1</formula>
    </cfRule>
    <cfRule type="cellIs" dxfId="6344" priority="2639" operator="lessThan">
      <formula>0.8</formula>
    </cfRule>
  </conditionalFormatting>
  <conditionalFormatting sqref="R31">
    <cfRule type="cellIs" dxfId="6343" priority="2634" operator="lessThan">
      <formula>0.8</formula>
    </cfRule>
    <cfRule type="cellIs" dxfId="6342" priority="2635" operator="greaterThan">
      <formula>1</formula>
    </cfRule>
  </conditionalFormatting>
  <conditionalFormatting sqref="R31">
    <cfRule type="cellIs" dxfId="6341" priority="2632" operator="greaterThan">
      <formula>1</formula>
    </cfRule>
    <cfRule type="cellIs" dxfId="6340" priority="2633" operator="lessThan">
      <formula>0.8</formula>
    </cfRule>
  </conditionalFormatting>
  <conditionalFormatting sqref="P31">
    <cfRule type="cellIs" dxfId="6339" priority="2631" operator="greaterThan">
      <formula>0</formula>
    </cfRule>
  </conditionalFormatting>
  <conditionalFormatting sqref="Q31">
    <cfRule type="cellIs" dxfId="6338" priority="2636" operator="lessThan">
      <formula>0</formula>
    </cfRule>
  </conditionalFormatting>
  <conditionalFormatting sqref="P79">
    <cfRule type="cellIs" dxfId="6337" priority="2625" operator="greaterThan">
      <formula>0</formula>
    </cfRule>
  </conditionalFormatting>
  <conditionalFormatting sqref="Q79">
    <cfRule type="cellIs" dxfId="6336" priority="2630" operator="lessThan">
      <formula>0</formula>
    </cfRule>
  </conditionalFormatting>
  <conditionalFormatting sqref="R79">
    <cfRule type="cellIs" dxfId="6335" priority="2628" operator="lessThan">
      <formula>0.8</formula>
    </cfRule>
    <cfRule type="cellIs" dxfId="6334" priority="2629" operator="greaterThan">
      <formula>1</formula>
    </cfRule>
  </conditionalFormatting>
  <conditionalFormatting sqref="R79">
    <cfRule type="cellIs" dxfId="6333" priority="2626" operator="greaterThan">
      <formula>1</formula>
    </cfRule>
    <cfRule type="cellIs" dxfId="6332" priority="2627" operator="lessThan">
      <formula>0.8</formula>
    </cfRule>
  </conditionalFormatting>
  <conditionalFormatting sqref="Q79">
    <cfRule type="cellIs" dxfId="6331" priority="2624" operator="lessThan">
      <formula>0</formula>
    </cfRule>
  </conditionalFormatting>
  <conditionalFormatting sqref="R79">
    <cfRule type="cellIs" dxfId="6330" priority="2622" operator="lessThan">
      <formula>0.8</formula>
    </cfRule>
    <cfRule type="cellIs" dxfId="6329" priority="2623" operator="greaterThan">
      <formula>1</formula>
    </cfRule>
  </conditionalFormatting>
  <conditionalFormatting sqref="R79">
    <cfRule type="cellIs" dxfId="6328" priority="2620" operator="greaterThan">
      <formula>1</formula>
    </cfRule>
    <cfRule type="cellIs" dxfId="6327" priority="2621" operator="lessThan">
      <formula>0.8</formula>
    </cfRule>
  </conditionalFormatting>
  <conditionalFormatting sqref="P79">
    <cfRule type="cellIs" dxfId="6326" priority="2619" operator="greaterThan">
      <formula>0</formula>
    </cfRule>
  </conditionalFormatting>
  <conditionalFormatting sqref="P79">
    <cfRule type="cellIs" dxfId="6325" priority="2613" operator="greaterThan">
      <formula>0</formula>
    </cfRule>
  </conditionalFormatting>
  <conditionalFormatting sqref="Q79">
    <cfRule type="cellIs" dxfId="6324" priority="2618" operator="lessThan">
      <formula>0</formula>
    </cfRule>
  </conditionalFormatting>
  <conditionalFormatting sqref="R79">
    <cfRule type="cellIs" dxfId="6323" priority="2616" operator="lessThan">
      <formula>0.8</formula>
    </cfRule>
    <cfRule type="cellIs" dxfId="6322" priority="2617" operator="greaterThan">
      <formula>1</formula>
    </cfRule>
  </conditionalFormatting>
  <conditionalFormatting sqref="R79">
    <cfRule type="cellIs" dxfId="6321" priority="2614" operator="greaterThan">
      <formula>1</formula>
    </cfRule>
    <cfRule type="cellIs" dxfId="6320" priority="2615" operator="lessThan">
      <formula>0.8</formula>
    </cfRule>
  </conditionalFormatting>
  <conditionalFormatting sqref="Q79">
    <cfRule type="cellIs" dxfId="6319" priority="2607" operator="lessThan">
      <formula>0</formula>
    </cfRule>
  </conditionalFormatting>
  <conditionalFormatting sqref="P79">
    <cfRule type="cellIs" dxfId="6318" priority="2608" operator="greaterThan">
      <formula>0</formula>
    </cfRule>
  </conditionalFormatting>
  <conditionalFormatting sqref="R79">
    <cfRule type="cellIs" dxfId="6317" priority="2611" operator="lessThan">
      <formula>0.8</formula>
    </cfRule>
    <cfRule type="cellIs" dxfId="6316" priority="2612" operator="greaterThan">
      <formula>1</formula>
    </cfRule>
  </conditionalFormatting>
  <conditionalFormatting sqref="R79">
    <cfRule type="cellIs" dxfId="6315" priority="2609" operator="greaterThan">
      <formula>1</formula>
    </cfRule>
    <cfRule type="cellIs" dxfId="6314" priority="2610" operator="lessThan">
      <formula>0.8</formula>
    </cfRule>
  </conditionalFormatting>
  <conditionalFormatting sqref="Q79">
    <cfRule type="cellIs" dxfId="6313" priority="2601" operator="lessThan">
      <formula>0</formula>
    </cfRule>
  </conditionalFormatting>
  <conditionalFormatting sqref="R79">
    <cfRule type="cellIs" dxfId="6312" priority="2605" operator="lessThan">
      <formula>0.8</formula>
    </cfRule>
    <cfRule type="cellIs" dxfId="6311" priority="2606" operator="greaterThan">
      <formula>1</formula>
    </cfRule>
  </conditionalFormatting>
  <conditionalFormatting sqref="R79">
    <cfRule type="cellIs" dxfId="6310" priority="2603" operator="greaterThan">
      <formula>1</formula>
    </cfRule>
    <cfRule type="cellIs" dxfId="6309" priority="2604" operator="lessThan">
      <formula>0.8</formula>
    </cfRule>
  </conditionalFormatting>
  <conditionalFormatting sqref="P79">
    <cfRule type="cellIs" dxfId="6308" priority="2602" operator="greaterThan">
      <formula>0</formula>
    </cfRule>
  </conditionalFormatting>
  <conditionalFormatting sqref="Q79">
    <cfRule type="cellIs" dxfId="6307" priority="2600" operator="lessThan">
      <formula>0</formula>
    </cfRule>
  </conditionalFormatting>
  <conditionalFormatting sqref="R79">
    <cfRule type="cellIs" dxfId="6306" priority="2598" operator="lessThan">
      <formula>0.8</formula>
    </cfRule>
    <cfRule type="cellIs" dxfId="6305" priority="2599" operator="greaterThan">
      <formula>1</formula>
    </cfRule>
  </conditionalFormatting>
  <conditionalFormatting sqref="R79">
    <cfRule type="cellIs" dxfId="6304" priority="2596" operator="greaterThan">
      <formula>1</formula>
    </cfRule>
    <cfRule type="cellIs" dxfId="6303" priority="2597" operator="lessThan">
      <formula>0.8</formula>
    </cfRule>
  </conditionalFormatting>
  <conditionalFormatting sqref="P79">
    <cfRule type="cellIs" dxfId="6302" priority="2595" operator="greaterThan">
      <formula>0</formula>
    </cfRule>
  </conditionalFormatting>
  <conditionalFormatting sqref="Q79">
    <cfRule type="cellIs" dxfId="6301" priority="2594" operator="lessThan">
      <formula>0</formula>
    </cfRule>
  </conditionalFormatting>
  <conditionalFormatting sqref="R79">
    <cfRule type="cellIs" dxfId="6300" priority="2592" operator="lessThan">
      <formula>0.8</formula>
    </cfRule>
    <cfRule type="cellIs" dxfId="6299" priority="2593" operator="greaterThan">
      <formula>1</formula>
    </cfRule>
  </conditionalFormatting>
  <conditionalFormatting sqref="R79">
    <cfRule type="cellIs" dxfId="6298" priority="2590" operator="greaterThan">
      <formula>1</formula>
    </cfRule>
    <cfRule type="cellIs" dxfId="6297" priority="2591" operator="lessThan">
      <formula>0.8</formula>
    </cfRule>
  </conditionalFormatting>
  <conditionalFormatting sqref="P79">
    <cfRule type="cellIs" dxfId="6296" priority="2589" operator="greaterThan">
      <formula>0</formula>
    </cfRule>
  </conditionalFormatting>
  <conditionalFormatting sqref="P79">
    <cfRule type="cellIs" dxfId="6295" priority="2583" operator="greaterThan">
      <formula>0</formula>
    </cfRule>
  </conditionalFormatting>
  <conditionalFormatting sqref="Q79">
    <cfRule type="cellIs" dxfId="6294" priority="2588" operator="lessThan">
      <formula>0</formula>
    </cfRule>
  </conditionalFormatting>
  <conditionalFormatting sqref="R79">
    <cfRule type="cellIs" dxfId="6293" priority="2586" operator="lessThan">
      <formula>0.8</formula>
    </cfRule>
    <cfRule type="cellIs" dxfId="6292" priority="2587" operator="greaterThan">
      <formula>1</formula>
    </cfRule>
  </conditionalFormatting>
  <conditionalFormatting sqref="R79">
    <cfRule type="cellIs" dxfId="6291" priority="2584" operator="greaterThan">
      <formula>1</formula>
    </cfRule>
    <cfRule type="cellIs" dxfId="6290" priority="2585" operator="lessThan">
      <formula>0.8</formula>
    </cfRule>
  </conditionalFormatting>
  <conditionalFormatting sqref="P71:P78">
    <cfRule type="cellIs" dxfId="6289" priority="2577" operator="greaterThan">
      <formula>0</formula>
    </cfRule>
  </conditionalFormatting>
  <conditionalFormatting sqref="Q71:Q78">
    <cfRule type="cellIs" dxfId="6288" priority="2582" operator="lessThan">
      <formula>0</formula>
    </cfRule>
  </conditionalFormatting>
  <conditionalFormatting sqref="R71:R78">
    <cfRule type="cellIs" dxfId="6287" priority="2580" operator="lessThan">
      <formula>0.8</formula>
    </cfRule>
    <cfRule type="cellIs" dxfId="6286" priority="2581" operator="greaterThan">
      <formula>1</formula>
    </cfRule>
  </conditionalFormatting>
  <conditionalFormatting sqref="R71:R78">
    <cfRule type="cellIs" dxfId="6285" priority="2578" operator="greaterThan">
      <formula>1</formula>
    </cfRule>
    <cfRule type="cellIs" dxfId="6284" priority="2579" operator="lessThan">
      <formula>0.8</formula>
    </cfRule>
  </conditionalFormatting>
  <conditionalFormatting sqref="Q148:Q153">
    <cfRule type="cellIs" dxfId="6283" priority="2576" operator="lessThan">
      <formula>0</formula>
    </cfRule>
  </conditionalFormatting>
  <conditionalFormatting sqref="R148:R153">
    <cfRule type="cellIs" dxfId="6282" priority="2574" operator="lessThan">
      <formula>0.8</formula>
    </cfRule>
    <cfRule type="cellIs" dxfId="6281" priority="2575" operator="greaterThan">
      <formula>1</formula>
    </cfRule>
  </conditionalFormatting>
  <conditionalFormatting sqref="R148:R153">
    <cfRule type="cellIs" dxfId="6280" priority="2572" operator="greaterThan">
      <formula>1</formula>
    </cfRule>
    <cfRule type="cellIs" dxfId="6279" priority="2573" operator="lessThan">
      <formula>0.8</formula>
    </cfRule>
  </conditionalFormatting>
  <conditionalFormatting sqref="P148:P153">
    <cfRule type="cellIs" dxfId="6278" priority="2571" operator="greaterThan">
      <formula>0</formula>
    </cfRule>
  </conditionalFormatting>
  <conditionalFormatting sqref="Q148:Q153">
    <cfRule type="cellIs" dxfId="6277" priority="2570" operator="lessThan">
      <formula>0</formula>
    </cfRule>
  </conditionalFormatting>
  <conditionalFormatting sqref="R148:R153">
    <cfRule type="cellIs" dxfId="6276" priority="2568" operator="lessThan">
      <formula>0.8</formula>
    </cfRule>
    <cfRule type="cellIs" dxfId="6275" priority="2569" operator="greaterThan">
      <formula>1</formula>
    </cfRule>
  </conditionalFormatting>
  <conditionalFormatting sqref="R148:R153">
    <cfRule type="cellIs" dxfId="6274" priority="2566" operator="greaterThan">
      <formula>1</formula>
    </cfRule>
    <cfRule type="cellIs" dxfId="6273" priority="2567" operator="lessThan">
      <formula>0.8</formula>
    </cfRule>
  </conditionalFormatting>
  <conditionalFormatting sqref="P148:P153">
    <cfRule type="cellIs" dxfId="6272" priority="2565" operator="greaterThan">
      <formula>0</formula>
    </cfRule>
  </conditionalFormatting>
  <conditionalFormatting sqref="Q148:Q153">
    <cfRule type="cellIs" dxfId="6271" priority="2564" operator="lessThan">
      <formula>0</formula>
    </cfRule>
  </conditionalFormatting>
  <conditionalFormatting sqref="R148:R153">
    <cfRule type="cellIs" dxfId="6270" priority="2562" operator="lessThan">
      <formula>0.8</formula>
    </cfRule>
    <cfRule type="cellIs" dxfId="6269" priority="2563" operator="greaterThan">
      <formula>1</formula>
    </cfRule>
  </conditionalFormatting>
  <conditionalFormatting sqref="R148:R153">
    <cfRule type="cellIs" dxfId="6268" priority="2560" operator="greaterThan">
      <formula>1</formula>
    </cfRule>
    <cfRule type="cellIs" dxfId="6267" priority="2561" operator="lessThan">
      <formula>0.8</formula>
    </cfRule>
  </conditionalFormatting>
  <conditionalFormatting sqref="P148:P153">
    <cfRule type="cellIs" dxfId="6266" priority="2559" operator="greaterThan">
      <formula>0</formula>
    </cfRule>
  </conditionalFormatting>
  <conditionalFormatting sqref="Q148:Q153">
    <cfRule type="cellIs" dxfId="6265" priority="2558" operator="lessThan">
      <formula>0</formula>
    </cfRule>
  </conditionalFormatting>
  <conditionalFormatting sqref="R148:R153">
    <cfRule type="cellIs" dxfId="6264" priority="2556" operator="lessThan">
      <formula>0.8</formula>
    </cfRule>
    <cfRule type="cellIs" dxfId="6263" priority="2557" operator="greaterThan">
      <formula>1</formula>
    </cfRule>
  </conditionalFormatting>
  <conditionalFormatting sqref="R148:R153">
    <cfRule type="cellIs" dxfId="6262" priority="2554" operator="greaterThan">
      <formula>1</formula>
    </cfRule>
    <cfRule type="cellIs" dxfId="6261" priority="2555" operator="lessThan">
      <formula>0.8</formula>
    </cfRule>
  </conditionalFormatting>
  <conditionalFormatting sqref="P148:P153">
    <cfRule type="cellIs" dxfId="6260" priority="2553" operator="greaterThan">
      <formula>0</formula>
    </cfRule>
  </conditionalFormatting>
  <conditionalFormatting sqref="P148:P153">
    <cfRule type="cellIs" dxfId="6259" priority="2547" operator="greaterThan">
      <formula>0</formula>
    </cfRule>
  </conditionalFormatting>
  <conditionalFormatting sqref="Q148:Q153">
    <cfRule type="cellIs" dxfId="6258" priority="2552" operator="lessThan">
      <formula>0</formula>
    </cfRule>
  </conditionalFormatting>
  <conditionalFormatting sqref="R148:R153">
    <cfRule type="cellIs" dxfId="6257" priority="2550" operator="lessThan">
      <formula>0.8</formula>
    </cfRule>
    <cfRule type="cellIs" dxfId="6256" priority="2551" operator="greaterThan">
      <formula>1</formula>
    </cfRule>
  </conditionalFormatting>
  <conditionalFormatting sqref="R148:R153">
    <cfRule type="cellIs" dxfId="6255" priority="2548" operator="greaterThan">
      <formula>1</formula>
    </cfRule>
    <cfRule type="cellIs" dxfId="6254" priority="2549" operator="lessThan">
      <formula>0.8</formula>
    </cfRule>
  </conditionalFormatting>
  <conditionalFormatting sqref="P148:P153">
    <cfRule type="cellIs" dxfId="6253" priority="2541" operator="greaterThan">
      <formula>0</formula>
    </cfRule>
  </conditionalFormatting>
  <conditionalFormatting sqref="Q148:Q153">
    <cfRule type="cellIs" dxfId="6252" priority="2546" operator="lessThan">
      <formula>0</formula>
    </cfRule>
  </conditionalFormatting>
  <conditionalFormatting sqref="R148:R153">
    <cfRule type="cellIs" dxfId="6251" priority="2544" operator="lessThan">
      <formula>0.8</formula>
    </cfRule>
    <cfRule type="cellIs" dxfId="6250" priority="2545" operator="greaterThan">
      <formula>1</formula>
    </cfRule>
  </conditionalFormatting>
  <conditionalFormatting sqref="R148:R153">
    <cfRule type="cellIs" dxfId="6249" priority="2542" operator="greaterThan">
      <formula>1</formula>
    </cfRule>
    <cfRule type="cellIs" dxfId="6248" priority="2543" operator="lessThan">
      <formula>0.8</formula>
    </cfRule>
  </conditionalFormatting>
  <conditionalFormatting sqref="R148:R153">
    <cfRule type="cellIs" dxfId="6247" priority="2538" operator="lessThan">
      <formula>0.8</formula>
    </cfRule>
    <cfRule type="cellIs" dxfId="6246" priority="2539" operator="greaterThan">
      <formula>1</formula>
    </cfRule>
  </conditionalFormatting>
  <conditionalFormatting sqref="R148:R153">
    <cfRule type="cellIs" dxfId="6245" priority="2536" operator="greaterThan">
      <formula>1</formula>
    </cfRule>
    <cfRule type="cellIs" dxfId="6244" priority="2537" operator="lessThan">
      <formula>0.8</formula>
    </cfRule>
  </conditionalFormatting>
  <conditionalFormatting sqref="P148:P153">
    <cfRule type="cellIs" dxfId="6243" priority="2535" operator="greaterThan">
      <formula>0</formula>
    </cfRule>
  </conditionalFormatting>
  <conditionalFormatting sqref="Q148:Q153">
    <cfRule type="cellIs" dxfId="6242" priority="2540" operator="lessThan">
      <formula>0</formula>
    </cfRule>
  </conditionalFormatting>
  <conditionalFormatting sqref="Q148:Q153">
    <cfRule type="cellIs" dxfId="6241" priority="2534" operator="lessThan">
      <formula>0</formula>
    </cfRule>
  </conditionalFormatting>
  <conditionalFormatting sqref="R148:R153">
    <cfRule type="cellIs" dxfId="6240" priority="2532" operator="lessThan">
      <formula>0.8</formula>
    </cfRule>
    <cfRule type="cellIs" dxfId="6239" priority="2533" operator="greaterThan">
      <formula>1</formula>
    </cfRule>
  </conditionalFormatting>
  <conditionalFormatting sqref="R148:R153">
    <cfRule type="cellIs" dxfId="6238" priority="2530" operator="greaterThan">
      <formula>1</formula>
    </cfRule>
    <cfRule type="cellIs" dxfId="6237" priority="2531" operator="lessThan">
      <formula>0.8</formula>
    </cfRule>
  </conditionalFormatting>
  <conditionalFormatting sqref="P148:P153">
    <cfRule type="cellIs" dxfId="6236" priority="2529" operator="greaterThan">
      <formula>0</formula>
    </cfRule>
  </conditionalFormatting>
  <conditionalFormatting sqref="P148:P153">
    <cfRule type="cellIs" dxfId="6235" priority="2523" operator="greaterThan">
      <formula>0</formula>
    </cfRule>
  </conditionalFormatting>
  <conditionalFormatting sqref="Q148:Q153">
    <cfRule type="cellIs" dxfId="6234" priority="2528" operator="lessThan">
      <formula>0</formula>
    </cfRule>
  </conditionalFormatting>
  <conditionalFormatting sqref="R148:R153">
    <cfRule type="cellIs" dxfId="6233" priority="2526" operator="lessThan">
      <formula>0.8</formula>
    </cfRule>
    <cfRule type="cellIs" dxfId="6232" priority="2527" operator="greaterThan">
      <formula>1</formula>
    </cfRule>
  </conditionalFormatting>
  <conditionalFormatting sqref="R148:R153">
    <cfRule type="cellIs" dxfId="6231" priority="2524" operator="greaterThan">
      <formula>1</formula>
    </cfRule>
    <cfRule type="cellIs" dxfId="6230" priority="2525" operator="lessThan">
      <formula>0.8</formula>
    </cfRule>
  </conditionalFormatting>
  <conditionalFormatting sqref="P148:P153">
    <cfRule type="cellIs" dxfId="6229" priority="2517" operator="greaterThan">
      <formula>0</formula>
    </cfRule>
  </conditionalFormatting>
  <conditionalFormatting sqref="Q148:Q153">
    <cfRule type="cellIs" dxfId="6228" priority="2522" operator="lessThan">
      <formula>0</formula>
    </cfRule>
  </conditionalFormatting>
  <conditionalFormatting sqref="R148:R153">
    <cfRule type="cellIs" dxfId="6227" priority="2520" operator="lessThan">
      <formula>0.8</formula>
    </cfRule>
    <cfRule type="cellIs" dxfId="6226" priority="2521" operator="greaterThan">
      <formula>1</formula>
    </cfRule>
  </conditionalFormatting>
  <conditionalFormatting sqref="R148:R153">
    <cfRule type="cellIs" dxfId="6225" priority="2518" operator="greaterThan">
      <formula>1</formula>
    </cfRule>
    <cfRule type="cellIs" dxfId="6224" priority="2519" operator="lessThan">
      <formula>0.8</formula>
    </cfRule>
  </conditionalFormatting>
  <conditionalFormatting sqref="R148:R153">
    <cfRule type="cellIs" dxfId="6223" priority="2514" operator="lessThan">
      <formula>0.8</formula>
    </cfRule>
    <cfRule type="cellIs" dxfId="6222" priority="2515" operator="greaterThan">
      <formula>1</formula>
    </cfRule>
  </conditionalFormatting>
  <conditionalFormatting sqref="R148:R153">
    <cfRule type="cellIs" dxfId="6221" priority="2512" operator="greaterThan">
      <formula>1</formula>
    </cfRule>
    <cfRule type="cellIs" dxfId="6220" priority="2513" operator="lessThan">
      <formula>0.8</formula>
    </cfRule>
  </conditionalFormatting>
  <conditionalFormatting sqref="P148:P153">
    <cfRule type="cellIs" dxfId="6219" priority="2511" operator="greaterThan">
      <formula>0</formula>
    </cfRule>
  </conditionalFormatting>
  <conditionalFormatting sqref="Q148:Q153">
    <cfRule type="cellIs" dxfId="6218" priority="2516" operator="lessThan">
      <formula>0</formula>
    </cfRule>
  </conditionalFormatting>
  <conditionalFormatting sqref="P148:P153">
    <cfRule type="cellIs" dxfId="6217" priority="2505" operator="greaterThan">
      <formula>0</formula>
    </cfRule>
  </conditionalFormatting>
  <conditionalFormatting sqref="Q148:Q153">
    <cfRule type="cellIs" dxfId="6216" priority="2510" operator="lessThan">
      <formula>0</formula>
    </cfRule>
  </conditionalFormatting>
  <conditionalFormatting sqref="R148:R153">
    <cfRule type="cellIs" dxfId="6215" priority="2508" operator="lessThan">
      <formula>0.8</formula>
    </cfRule>
    <cfRule type="cellIs" dxfId="6214" priority="2509" operator="greaterThan">
      <formula>1</formula>
    </cfRule>
  </conditionalFormatting>
  <conditionalFormatting sqref="R148:R153">
    <cfRule type="cellIs" dxfId="6213" priority="2506" operator="greaterThan">
      <formula>1</formula>
    </cfRule>
    <cfRule type="cellIs" dxfId="6212" priority="2507" operator="lessThan">
      <formula>0.8</formula>
    </cfRule>
  </conditionalFormatting>
  <conditionalFormatting sqref="R148:R153">
    <cfRule type="cellIs" dxfId="6211" priority="2502" operator="lessThan">
      <formula>0.8</formula>
    </cfRule>
    <cfRule type="cellIs" dxfId="6210" priority="2503" operator="greaterThan">
      <formula>1</formula>
    </cfRule>
  </conditionalFormatting>
  <conditionalFormatting sqref="R148:R153">
    <cfRule type="cellIs" dxfId="6209" priority="2500" operator="greaterThan">
      <formula>1</formula>
    </cfRule>
    <cfRule type="cellIs" dxfId="6208" priority="2501" operator="lessThan">
      <formula>0.8</formula>
    </cfRule>
  </conditionalFormatting>
  <conditionalFormatting sqref="P148:P153">
    <cfRule type="cellIs" dxfId="6207" priority="2499" operator="greaterThan">
      <formula>0</formula>
    </cfRule>
  </conditionalFormatting>
  <conditionalFormatting sqref="Q148:Q153">
    <cfRule type="cellIs" dxfId="6206" priority="2504" operator="lessThan">
      <formula>0</formula>
    </cfRule>
  </conditionalFormatting>
  <conditionalFormatting sqref="R148:R153">
    <cfRule type="cellIs" dxfId="6205" priority="2496" operator="lessThan">
      <formula>0.8</formula>
    </cfRule>
    <cfRule type="cellIs" dxfId="6204" priority="2497" operator="greaterThan">
      <formula>1</formula>
    </cfRule>
  </conditionalFormatting>
  <conditionalFormatting sqref="R148:R153">
    <cfRule type="cellIs" dxfId="6203" priority="2494" operator="greaterThan">
      <formula>1</formula>
    </cfRule>
    <cfRule type="cellIs" dxfId="6202" priority="2495" operator="lessThan">
      <formula>0.8</formula>
    </cfRule>
  </conditionalFormatting>
  <conditionalFormatting sqref="P148:P153">
    <cfRule type="cellIs" dxfId="6201" priority="2493" operator="greaterThan">
      <formula>0</formula>
    </cfRule>
  </conditionalFormatting>
  <conditionalFormatting sqref="Q148:Q153">
    <cfRule type="cellIs" dxfId="6200" priority="2498" operator="lessThan">
      <formula>0</formula>
    </cfRule>
  </conditionalFormatting>
  <conditionalFormatting sqref="Q148:Q153">
    <cfRule type="cellIs" dxfId="6199" priority="2492" operator="lessThan">
      <formula>0</formula>
    </cfRule>
  </conditionalFormatting>
  <conditionalFormatting sqref="R148:R153">
    <cfRule type="cellIs" dxfId="6198" priority="2490" operator="lessThan">
      <formula>0.8</formula>
    </cfRule>
    <cfRule type="cellIs" dxfId="6197" priority="2491" operator="greaterThan">
      <formula>1</formula>
    </cfRule>
  </conditionalFormatting>
  <conditionalFormatting sqref="R148:R153">
    <cfRule type="cellIs" dxfId="6196" priority="2488" operator="greaterThan">
      <formula>1</formula>
    </cfRule>
    <cfRule type="cellIs" dxfId="6195" priority="2489" operator="lessThan">
      <formula>0.8</formula>
    </cfRule>
  </conditionalFormatting>
  <conditionalFormatting sqref="P148:P153">
    <cfRule type="cellIs" dxfId="6194" priority="2487" operator="greaterThan">
      <formula>0</formula>
    </cfRule>
  </conditionalFormatting>
  <conditionalFormatting sqref="Q148:Q153">
    <cfRule type="cellIs" dxfId="6193" priority="2481" operator="lessThan">
      <formula>0</formula>
    </cfRule>
  </conditionalFormatting>
  <conditionalFormatting sqref="R148:R153">
    <cfRule type="cellIs" dxfId="6192" priority="2485" operator="lessThan">
      <formula>0.8</formula>
    </cfRule>
    <cfRule type="cellIs" dxfId="6191" priority="2486" operator="greaterThan">
      <formula>1</formula>
    </cfRule>
  </conditionalFormatting>
  <conditionalFormatting sqref="R148:R153">
    <cfRule type="cellIs" dxfId="6190" priority="2483" operator="greaterThan">
      <formula>1</formula>
    </cfRule>
    <cfRule type="cellIs" dxfId="6189" priority="2484" operator="lessThan">
      <formula>0.8</formula>
    </cfRule>
  </conditionalFormatting>
  <conditionalFormatting sqref="P148:P153">
    <cfRule type="cellIs" dxfId="6188" priority="2482" operator="greaterThan">
      <formula>0</formula>
    </cfRule>
  </conditionalFormatting>
  <conditionalFormatting sqref="Q148:Q153">
    <cfRule type="cellIs" dxfId="6187" priority="2480" operator="lessThan">
      <formula>0</formula>
    </cfRule>
  </conditionalFormatting>
  <conditionalFormatting sqref="R148:R153">
    <cfRule type="cellIs" dxfId="6186" priority="2478" operator="lessThan">
      <formula>0.8</formula>
    </cfRule>
    <cfRule type="cellIs" dxfId="6185" priority="2479" operator="greaterThan">
      <formula>1</formula>
    </cfRule>
  </conditionalFormatting>
  <conditionalFormatting sqref="R148:R153">
    <cfRule type="cellIs" dxfId="6184" priority="2476" operator="greaterThan">
      <formula>1</formula>
    </cfRule>
    <cfRule type="cellIs" dxfId="6183" priority="2477" operator="lessThan">
      <formula>0.8</formula>
    </cfRule>
  </conditionalFormatting>
  <conditionalFormatting sqref="P148:P153">
    <cfRule type="cellIs" dxfId="6182" priority="2475" operator="greaterThan">
      <formula>0</formula>
    </cfRule>
  </conditionalFormatting>
  <conditionalFormatting sqref="Q148:Q153">
    <cfRule type="cellIs" dxfId="6181" priority="2474" operator="lessThan">
      <formula>0</formula>
    </cfRule>
  </conditionalFormatting>
  <conditionalFormatting sqref="R148:R153">
    <cfRule type="cellIs" dxfId="6180" priority="2472" operator="lessThan">
      <formula>0.8</formula>
    </cfRule>
    <cfRule type="cellIs" dxfId="6179" priority="2473" operator="greaterThan">
      <formula>1</formula>
    </cfRule>
  </conditionalFormatting>
  <conditionalFormatting sqref="R148:R153">
    <cfRule type="cellIs" dxfId="6178" priority="2470" operator="greaterThan">
      <formula>1</formula>
    </cfRule>
    <cfRule type="cellIs" dxfId="6177" priority="2471" operator="lessThan">
      <formula>0.8</formula>
    </cfRule>
  </conditionalFormatting>
  <conditionalFormatting sqref="P148:P153">
    <cfRule type="cellIs" dxfId="6176" priority="2469" operator="greaterThan">
      <formula>0</formula>
    </cfRule>
  </conditionalFormatting>
  <conditionalFormatting sqref="Q148:Q153">
    <cfRule type="cellIs" dxfId="6175" priority="2468" operator="lessThan">
      <formula>0</formula>
    </cfRule>
  </conditionalFormatting>
  <conditionalFormatting sqref="R148:R153">
    <cfRule type="cellIs" dxfId="6174" priority="2466" operator="lessThan">
      <formula>0.8</formula>
    </cfRule>
    <cfRule type="cellIs" dxfId="6173" priority="2467" operator="greaterThan">
      <formula>1</formula>
    </cfRule>
  </conditionalFormatting>
  <conditionalFormatting sqref="R148:R153">
    <cfRule type="cellIs" dxfId="6172" priority="2464" operator="greaterThan">
      <formula>1</formula>
    </cfRule>
    <cfRule type="cellIs" dxfId="6171" priority="2465" operator="lessThan">
      <formula>0.8</formula>
    </cfRule>
  </conditionalFormatting>
  <conditionalFormatting sqref="P148:P153">
    <cfRule type="cellIs" dxfId="6170" priority="2463" operator="greaterThan">
      <formula>0</formula>
    </cfRule>
  </conditionalFormatting>
  <conditionalFormatting sqref="Q148:Q153">
    <cfRule type="cellIs" dxfId="6169" priority="2462" operator="lessThan">
      <formula>0</formula>
    </cfRule>
  </conditionalFormatting>
  <conditionalFormatting sqref="R148:R153">
    <cfRule type="cellIs" dxfId="6168" priority="2460" operator="lessThan">
      <formula>0.8</formula>
    </cfRule>
    <cfRule type="cellIs" dxfId="6167" priority="2461" operator="greaterThan">
      <formula>1</formula>
    </cfRule>
  </conditionalFormatting>
  <conditionalFormatting sqref="R148:R153">
    <cfRule type="cellIs" dxfId="6166" priority="2458" operator="greaterThan">
      <formula>1</formula>
    </cfRule>
    <cfRule type="cellIs" dxfId="6165" priority="2459" operator="lessThan">
      <formula>0.8</formula>
    </cfRule>
  </conditionalFormatting>
  <conditionalFormatting sqref="P148:P153">
    <cfRule type="cellIs" dxfId="6164" priority="2457" operator="greaterThan">
      <formula>0</formula>
    </cfRule>
  </conditionalFormatting>
  <conditionalFormatting sqref="Q148:Q153">
    <cfRule type="cellIs" dxfId="6163" priority="2456" operator="lessThan">
      <formula>0</formula>
    </cfRule>
  </conditionalFormatting>
  <conditionalFormatting sqref="R148:R153">
    <cfRule type="cellIs" dxfId="6162" priority="2454" operator="lessThan">
      <formula>0.8</formula>
    </cfRule>
    <cfRule type="cellIs" dxfId="6161" priority="2455" operator="greaterThan">
      <formula>1</formula>
    </cfRule>
  </conditionalFormatting>
  <conditionalFormatting sqref="R148:R153">
    <cfRule type="cellIs" dxfId="6160" priority="2452" operator="greaterThan">
      <formula>1</formula>
    </cfRule>
    <cfRule type="cellIs" dxfId="6159" priority="2453" operator="lessThan">
      <formula>0.8</formula>
    </cfRule>
  </conditionalFormatting>
  <conditionalFormatting sqref="P148:P153">
    <cfRule type="cellIs" dxfId="6158" priority="2451" operator="greaterThan">
      <formula>0</formula>
    </cfRule>
  </conditionalFormatting>
  <conditionalFormatting sqref="P148:P153">
    <cfRule type="cellIs" dxfId="6157" priority="2445" operator="greaterThan">
      <formula>0</formula>
    </cfRule>
  </conditionalFormatting>
  <conditionalFormatting sqref="Q148:Q153">
    <cfRule type="cellIs" dxfId="6156" priority="2450" operator="lessThan">
      <formula>0</formula>
    </cfRule>
  </conditionalFormatting>
  <conditionalFormatting sqref="R148:R153">
    <cfRule type="cellIs" dxfId="6155" priority="2448" operator="lessThan">
      <formula>0.8</formula>
    </cfRule>
    <cfRule type="cellIs" dxfId="6154" priority="2449" operator="greaterThan">
      <formula>1</formula>
    </cfRule>
  </conditionalFormatting>
  <conditionalFormatting sqref="R148:R153">
    <cfRule type="cellIs" dxfId="6153" priority="2446" operator="greaterThan">
      <formula>1</formula>
    </cfRule>
    <cfRule type="cellIs" dxfId="6152" priority="2447" operator="lessThan">
      <formula>0.8</formula>
    </cfRule>
  </conditionalFormatting>
  <conditionalFormatting sqref="P148:P153">
    <cfRule type="cellIs" dxfId="6151" priority="2439" operator="greaterThan">
      <formula>0</formula>
    </cfRule>
  </conditionalFormatting>
  <conditionalFormatting sqref="Q148:Q153">
    <cfRule type="cellIs" dxfId="6150" priority="2444" operator="lessThan">
      <formula>0</formula>
    </cfRule>
  </conditionalFormatting>
  <conditionalFormatting sqref="R148:R153">
    <cfRule type="cellIs" dxfId="6149" priority="2442" operator="lessThan">
      <formula>0.8</formula>
    </cfRule>
    <cfRule type="cellIs" dxfId="6148" priority="2443" operator="greaterThan">
      <formula>1</formula>
    </cfRule>
  </conditionalFormatting>
  <conditionalFormatting sqref="R148:R153">
    <cfRule type="cellIs" dxfId="6147" priority="2440" operator="greaterThan">
      <formula>1</formula>
    </cfRule>
    <cfRule type="cellIs" dxfId="6146" priority="2441" operator="lessThan">
      <formula>0.8</formula>
    </cfRule>
  </conditionalFormatting>
  <conditionalFormatting sqref="R148:R153">
    <cfRule type="cellIs" dxfId="6145" priority="2436" operator="lessThan">
      <formula>0.8</formula>
    </cfRule>
    <cfRule type="cellIs" dxfId="6144" priority="2437" operator="greaterThan">
      <formula>1</formula>
    </cfRule>
  </conditionalFormatting>
  <conditionalFormatting sqref="R148:R153">
    <cfRule type="cellIs" dxfId="6143" priority="2434" operator="greaterThan">
      <formula>1</formula>
    </cfRule>
    <cfRule type="cellIs" dxfId="6142" priority="2435" operator="lessThan">
      <formula>0.8</formula>
    </cfRule>
  </conditionalFormatting>
  <conditionalFormatting sqref="P148:P153">
    <cfRule type="cellIs" dxfId="6141" priority="2433" operator="greaterThan">
      <formula>0</formula>
    </cfRule>
  </conditionalFormatting>
  <conditionalFormatting sqref="Q148:Q153">
    <cfRule type="cellIs" dxfId="6140" priority="2438" operator="lessThan">
      <formula>0</formula>
    </cfRule>
  </conditionalFormatting>
  <conditionalFormatting sqref="Q148:Q153">
    <cfRule type="cellIs" dxfId="6139" priority="2427" operator="lessThan">
      <formula>0</formula>
    </cfRule>
  </conditionalFormatting>
  <conditionalFormatting sqref="P148:P153">
    <cfRule type="cellIs" dxfId="6138" priority="2428" operator="greaterThan">
      <formula>0</formula>
    </cfRule>
  </conditionalFormatting>
  <conditionalFormatting sqref="R148:R153">
    <cfRule type="cellIs" dxfId="6137" priority="2431" operator="lessThan">
      <formula>0.8</formula>
    </cfRule>
    <cfRule type="cellIs" dxfId="6136" priority="2432" operator="greaterThan">
      <formula>1</formula>
    </cfRule>
  </conditionalFormatting>
  <conditionalFormatting sqref="R148:R153">
    <cfRule type="cellIs" dxfId="6135" priority="2429" operator="greaterThan">
      <formula>1</formula>
    </cfRule>
    <cfRule type="cellIs" dxfId="6134" priority="2430" operator="lessThan">
      <formula>0.8</formula>
    </cfRule>
  </conditionalFormatting>
  <conditionalFormatting sqref="Q148:Q153">
    <cfRule type="cellIs" dxfId="6133" priority="2421" operator="lessThan">
      <formula>0</formula>
    </cfRule>
  </conditionalFormatting>
  <conditionalFormatting sqref="R148:R153">
    <cfRule type="cellIs" dxfId="6132" priority="2425" operator="lessThan">
      <formula>0.8</formula>
    </cfRule>
    <cfRule type="cellIs" dxfId="6131" priority="2426" operator="greaterThan">
      <formula>1</formula>
    </cfRule>
  </conditionalFormatting>
  <conditionalFormatting sqref="R148:R153">
    <cfRule type="cellIs" dxfId="6130" priority="2423" operator="greaterThan">
      <formula>1</formula>
    </cfRule>
    <cfRule type="cellIs" dxfId="6129" priority="2424" operator="lessThan">
      <formula>0.8</formula>
    </cfRule>
  </conditionalFormatting>
  <conditionalFormatting sqref="P148:P153">
    <cfRule type="cellIs" dxfId="6128" priority="2422" operator="greaterThan">
      <formula>0</formula>
    </cfRule>
  </conditionalFormatting>
  <conditionalFormatting sqref="Q148:Q153">
    <cfRule type="cellIs" dxfId="6127" priority="2420" operator="lessThan">
      <formula>0</formula>
    </cfRule>
  </conditionalFormatting>
  <conditionalFormatting sqref="R148:R153">
    <cfRule type="cellIs" dxfId="6126" priority="2418" operator="lessThan">
      <formula>0.8</formula>
    </cfRule>
    <cfRule type="cellIs" dxfId="6125" priority="2419" operator="greaterThan">
      <formula>1</formula>
    </cfRule>
  </conditionalFormatting>
  <conditionalFormatting sqref="R148:R153">
    <cfRule type="cellIs" dxfId="6124" priority="2416" operator="greaterThan">
      <formula>1</formula>
    </cfRule>
    <cfRule type="cellIs" dxfId="6123" priority="2417" operator="lessThan">
      <formula>0.8</formula>
    </cfRule>
  </conditionalFormatting>
  <conditionalFormatting sqref="P148:P153">
    <cfRule type="cellIs" dxfId="6122" priority="2415" operator="greaterThan">
      <formula>0</formula>
    </cfRule>
  </conditionalFormatting>
  <conditionalFormatting sqref="Q148:Q153">
    <cfRule type="cellIs" dxfId="6121" priority="2414" operator="lessThan">
      <formula>0</formula>
    </cfRule>
  </conditionalFormatting>
  <conditionalFormatting sqref="R148:R153">
    <cfRule type="cellIs" dxfId="6120" priority="2412" operator="lessThan">
      <formula>0.8</formula>
    </cfRule>
    <cfRule type="cellIs" dxfId="6119" priority="2413" operator="greaterThan">
      <formula>1</formula>
    </cfRule>
  </conditionalFormatting>
  <conditionalFormatting sqref="R148:R153">
    <cfRule type="cellIs" dxfId="6118" priority="2410" operator="greaterThan">
      <formula>1</formula>
    </cfRule>
    <cfRule type="cellIs" dxfId="6117" priority="2411" operator="lessThan">
      <formula>0.8</formula>
    </cfRule>
  </conditionalFormatting>
  <conditionalFormatting sqref="P148:P153">
    <cfRule type="cellIs" dxfId="6116" priority="2409" operator="greaterThan">
      <formula>0</formula>
    </cfRule>
  </conditionalFormatting>
  <conditionalFormatting sqref="Q148:Q153">
    <cfRule type="cellIs" dxfId="6115" priority="2408" operator="lessThan">
      <formula>0</formula>
    </cfRule>
  </conditionalFormatting>
  <conditionalFormatting sqref="R148:R153">
    <cfRule type="cellIs" dxfId="6114" priority="2406" operator="lessThan">
      <formula>0.8</formula>
    </cfRule>
    <cfRule type="cellIs" dxfId="6113" priority="2407" operator="greaterThan">
      <formula>1</formula>
    </cfRule>
  </conditionalFormatting>
  <conditionalFormatting sqref="R148:R153">
    <cfRule type="cellIs" dxfId="6112" priority="2404" operator="greaterThan">
      <formula>1</formula>
    </cfRule>
    <cfRule type="cellIs" dxfId="6111" priority="2405" operator="lessThan">
      <formula>0.8</formula>
    </cfRule>
  </conditionalFormatting>
  <conditionalFormatting sqref="P148:P153">
    <cfRule type="cellIs" dxfId="6110" priority="2403" operator="greaterThan">
      <formula>0</formula>
    </cfRule>
  </conditionalFormatting>
  <conditionalFormatting sqref="Q148:Q153">
    <cfRule type="cellIs" dxfId="6109" priority="2402" operator="lessThan">
      <formula>0</formula>
    </cfRule>
  </conditionalFormatting>
  <conditionalFormatting sqref="R148:R153">
    <cfRule type="cellIs" dxfId="6108" priority="2400" operator="lessThan">
      <formula>0.8</formula>
    </cfRule>
    <cfRule type="cellIs" dxfId="6107" priority="2401" operator="greaterThan">
      <formula>1</formula>
    </cfRule>
  </conditionalFormatting>
  <conditionalFormatting sqref="R148:R153">
    <cfRule type="cellIs" dxfId="6106" priority="2398" operator="greaterThan">
      <formula>1</formula>
    </cfRule>
    <cfRule type="cellIs" dxfId="6105" priority="2399" operator="lessThan">
      <formula>0.8</formula>
    </cfRule>
  </conditionalFormatting>
  <conditionalFormatting sqref="P148:P153">
    <cfRule type="cellIs" dxfId="6104" priority="2397" operator="greaterThan">
      <formula>0</formula>
    </cfRule>
  </conditionalFormatting>
  <conditionalFormatting sqref="Q124">
    <cfRule type="cellIs" dxfId="6103" priority="2391" operator="lessThan">
      <formula>0</formula>
    </cfRule>
  </conditionalFormatting>
  <conditionalFormatting sqref="P124">
    <cfRule type="cellIs" dxfId="6102" priority="2392" operator="greaterThan">
      <formula>0</formula>
    </cfRule>
  </conditionalFormatting>
  <conditionalFormatting sqref="R124">
    <cfRule type="cellIs" dxfId="6101" priority="2395" operator="lessThan">
      <formula>0.8</formula>
    </cfRule>
    <cfRule type="cellIs" dxfId="6100" priority="2396" operator="greaterThan">
      <formula>1</formula>
    </cfRule>
  </conditionalFormatting>
  <conditionalFormatting sqref="R124">
    <cfRule type="cellIs" dxfId="6099" priority="2393" operator="greaterThan">
      <formula>1</formula>
    </cfRule>
    <cfRule type="cellIs" dxfId="6098" priority="2394" operator="lessThan">
      <formula>0.8</formula>
    </cfRule>
  </conditionalFormatting>
  <conditionalFormatting sqref="Q124">
    <cfRule type="cellIs" dxfId="6097" priority="2385" operator="lessThan">
      <formula>0</formula>
    </cfRule>
  </conditionalFormatting>
  <conditionalFormatting sqref="R124">
    <cfRule type="cellIs" dxfId="6096" priority="2389" operator="lessThan">
      <formula>0.8</formula>
    </cfRule>
    <cfRule type="cellIs" dxfId="6095" priority="2390" operator="greaterThan">
      <formula>1</formula>
    </cfRule>
  </conditionalFormatting>
  <conditionalFormatting sqref="R124">
    <cfRule type="cellIs" dxfId="6094" priority="2387" operator="greaterThan">
      <formula>1</formula>
    </cfRule>
    <cfRule type="cellIs" dxfId="6093" priority="2388" operator="lessThan">
      <formula>0.8</formula>
    </cfRule>
  </conditionalFormatting>
  <conditionalFormatting sqref="P124">
    <cfRule type="cellIs" dxfId="6092" priority="2386" operator="greaterThan">
      <formula>0</formula>
    </cfRule>
  </conditionalFormatting>
  <conditionalFormatting sqref="Q124">
    <cfRule type="cellIs" dxfId="6091" priority="2384" operator="lessThan">
      <formula>0</formula>
    </cfRule>
  </conditionalFormatting>
  <conditionalFormatting sqref="R124">
    <cfRule type="cellIs" dxfId="6090" priority="2382" operator="lessThan">
      <formula>0.8</formula>
    </cfRule>
    <cfRule type="cellIs" dxfId="6089" priority="2383" operator="greaterThan">
      <formula>1</formula>
    </cfRule>
  </conditionalFormatting>
  <conditionalFormatting sqref="R124">
    <cfRule type="cellIs" dxfId="6088" priority="2380" operator="greaterThan">
      <formula>1</formula>
    </cfRule>
    <cfRule type="cellIs" dxfId="6087" priority="2381" operator="lessThan">
      <formula>0.8</formula>
    </cfRule>
  </conditionalFormatting>
  <conditionalFormatting sqref="P124">
    <cfRule type="cellIs" dxfId="6086" priority="2379" operator="greaterThan">
      <formula>0</formula>
    </cfRule>
  </conditionalFormatting>
  <conditionalFormatting sqref="Q124">
    <cfRule type="cellIs" dxfId="6085" priority="2378" operator="lessThan">
      <formula>0</formula>
    </cfRule>
  </conditionalFormatting>
  <conditionalFormatting sqref="R124">
    <cfRule type="cellIs" dxfId="6084" priority="2376" operator="lessThan">
      <formula>0.8</formula>
    </cfRule>
    <cfRule type="cellIs" dxfId="6083" priority="2377" operator="greaterThan">
      <formula>1</formula>
    </cfRule>
  </conditionalFormatting>
  <conditionalFormatting sqref="R124">
    <cfRule type="cellIs" dxfId="6082" priority="2374" operator="greaterThan">
      <formula>1</formula>
    </cfRule>
    <cfRule type="cellIs" dxfId="6081" priority="2375" operator="lessThan">
      <formula>0.8</formula>
    </cfRule>
  </conditionalFormatting>
  <conditionalFormatting sqref="P124">
    <cfRule type="cellIs" dxfId="6080" priority="2373" operator="greaterThan">
      <formula>0</formula>
    </cfRule>
  </conditionalFormatting>
  <conditionalFormatting sqref="Q124">
    <cfRule type="cellIs" dxfId="6079" priority="2372" operator="lessThan">
      <formula>0</formula>
    </cfRule>
  </conditionalFormatting>
  <conditionalFormatting sqref="R124">
    <cfRule type="cellIs" dxfId="6078" priority="2370" operator="lessThan">
      <formula>0.8</formula>
    </cfRule>
    <cfRule type="cellIs" dxfId="6077" priority="2371" operator="greaterThan">
      <formula>1</formula>
    </cfRule>
  </conditionalFormatting>
  <conditionalFormatting sqref="R124">
    <cfRule type="cellIs" dxfId="6076" priority="2368" operator="greaterThan">
      <formula>1</formula>
    </cfRule>
    <cfRule type="cellIs" dxfId="6075" priority="2369" operator="lessThan">
      <formula>0.8</formula>
    </cfRule>
  </conditionalFormatting>
  <conditionalFormatting sqref="P124">
    <cfRule type="cellIs" dxfId="6074" priority="2367" operator="greaterThan">
      <formula>0</formula>
    </cfRule>
  </conditionalFormatting>
  <conditionalFormatting sqref="Q124">
    <cfRule type="cellIs" dxfId="6073" priority="2366" operator="lessThan">
      <formula>0</formula>
    </cfRule>
  </conditionalFormatting>
  <conditionalFormatting sqref="R124">
    <cfRule type="cellIs" dxfId="6072" priority="2364" operator="lessThan">
      <formula>0.8</formula>
    </cfRule>
    <cfRule type="cellIs" dxfId="6071" priority="2365" operator="greaterThan">
      <formula>1</formula>
    </cfRule>
  </conditionalFormatting>
  <conditionalFormatting sqref="R124">
    <cfRule type="cellIs" dxfId="6070" priority="2362" operator="greaterThan">
      <formula>1</formula>
    </cfRule>
    <cfRule type="cellIs" dxfId="6069" priority="2363" operator="lessThan">
      <formula>0.8</formula>
    </cfRule>
  </conditionalFormatting>
  <conditionalFormatting sqref="P124">
    <cfRule type="cellIs" dxfId="6068" priority="2361" operator="greaterThan">
      <formula>0</formula>
    </cfRule>
  </conditionalFormatting>
  <conditionalFormatting sqref="Q124">
    <cfRule type="cellIs" dxfId="6067" priority="2360" operator="lessThan">
      <formula>0</formula>
    </cfRule>
  </conditionalFormatting>
  <conditionalFormatting sqref="R124">
    <cfRule type="cellIs" dxfId="6066" priority="2358" operator="lessThan">
      <formula>0.8</formula>
    </cfRule>
    <cfRule type="cellIs" dxfId="6065" priority="2359" operator="greaterThan">
      <formula>1</formula>
    </cfRule>
  </conditionalFormatting>
  <conditionalFormatting sqref="R124">
    <cfRule type="cellIs" dxfId="6064" priority="2356" operator="greaterThan">
      <formula>1</formula>
    </cfRule>
    <cfRule type="cellIs" dxfId="6063" priority="2357" operator="lessThan">
      <formula>0.8</formula>
    </cfRule>
  </conditionalFormatting>
  <conditionalFormatting sqref="P124">
    <cfRule type="cellIs" dxfId="6062" priority="2355" operator="greaterThan">
      <formula>0</formula>
    </cfRule>
  </conditionalFormatting>
  <conditionalFormatting sqref="Q124">
    <cfRule type="cellIs" dxfId="6061" priority="2354" operator="lessThan">
      <formula>0</formula>
    </cfRule>
  </conditionalFormatting>
  <conditionalFormatting sqref="R124">
    <cfRule type="cellIs" dxfId="6060" priority="2352" operator="lessThan">
      <formula>0.8</formula>
    </cfRule>
    <cfRule type="cellIs" dxfId="6059" priority="2353" operator="greaterThan">
      <formula>1</formula>
    </cfRule>
  </conditionalFormatting>
  <conditionalFormatting sqref="R124">
    <cfRule type="cellIs" dxfId="6058" priority="2350" operator="greaterThan">
      <formula>1</formula>
    </cfRule>
    <cfRule type="cellIs" dxfId="6057" priority="2351" operator="lessThan">
      <formula>0.8</formula>
    </cfRule>
  </conditionalFormatting>
  <conditionalFormatting sqref="P124">
    <cfRule type="cellIs" dxfId="6056" priority="2349" operator="greaterThan">
      <formula>0</formula>
    </cfRule>
  </conditionalFormatting>
  <conditionalFormatting sqref="Q124">
    <cfRule type="cellIs" dxfId="6055" priority="2348" operator="lessThan">
      <formula>0</formula>
    </cfRule>
  </conditionalFormatting>
  <conditionalFormatting sqref="R124">
    <cfRule type="cellIs" dxfId="6054" priority="2346" operator="lessThan">
      <formula>0.8</formula>
    </cfRule>
    <cfRule type="cellIs" dxfId="6053" priority="2347" operator="greaterThan">
      <formula>1</formula>
    </cfRule>
  </conditionalFormatting>
  <conditionalFormatting sqref="R124">
    <cfRule type="cellIs" dxfId="6052" priority="2344" operator="greaterThan">
      <formula>1</formula>
    </cfRule>
    <cfRule type="cellIs" dxfId="6051" priority="2345" operator="lessThan">
      <formula>0.8</formula>
    </cfRule>
  </conditionalFormatting>
  <conditionalFormatting sqref="P124">
    <cfRule type="cellIs" dxfId="6050" priority="2343" operator="greaterThan">
      <formula>0</formula>
    </cfRule>
  </conditionalFormatting>
  <conditionalFormatting sqref="P124">
    <cfRule type="cellIs" dxfId="6049" priority="2337" operator="greaterThan">
      <formula>0</formula>
    </cfRule>
  </conditionalFormatting>
  <conditionalFormatting sqref="Q124">
    <cfRule type="cellIs" dxfId="6048" priority="2342" operator="lessThan">
      <formula>0</formula>
    </cfRule>
  </conditionalFormatting>
  <conditionalFormatting sqref="R124">
    <cfRule type="cellIs" dxfId="6047" priority="2340" operator="lessThan">
      <formula>0.8</formula>
    </cfRule>
    <cfRule type="cellIs" dxfId="6046" priority="2341" operator="greaterThan">
      <formula>1</formula>
    </cfRule>
  </conditionalFormatting>
  <conditionalFormatting sqref="R124">
    <cfRule type="cellIs" dxfId="6045" priority="2338" operator="greaterThan">
      <formula>1</formula>
    </cfRule>
    <cfRule type="cellIs" dxfId="6044" priority="2339" operator="lessThan">
      <formula>0.8</formula>
    </cfRule>
  </conditionalFormatting>
  <conditionalFormatting sqref="P124">
    <cfRule type="cellIs" dxfId="6043" priority="2331" operator="greaterThan">
      <formula>0</formula>
    </cfRule>
  </conditionalFormatting>
  <conditionalFormatting sqref="Q124">
    <cfRule type="cellIs" dxfId="6042" priority="2336" operator="lessThan">
      <formula>0</formula>
    </cfRule>
  </conditionalFormatting>
  <conditionalFormatting sqref="R124">
    <cfRule type="cellIs" dxfId="6041" priority="2334" operator="lessThan">
      <formula>0.8</formula>
    </cfRule>
    <cfRule type="cellIs" dxfId="6040" priority="2335" operator="greaterThan">
      <formula>1</formula>
    </cfRule>
  </conditionalFormatting>
  <conditionalFormatting sqref="R124">
    <cfRule type="cellIs" dxfId="6039" priority="2332" operator="greaterThan">
      <formula>1</formula>
    </cfRule>
    <cfRule type="cellIs" dxfId="6038" priority="2333" operator="lessThan">
      <formula>0.8</formula>
    </cfRule>
  </conditionalFormatting>
  <conditionalFormatting sqref="R124">
    <cfRule type="cellIs" dxfId="6037" priority="2328" operator="lessThan">
      <formula>0.8</formula>
    </cfRule>
    <cfRule type="cellIs" dxfId="6036" priority="2329" operator="greaterThan">
      <formula>1</formula>
    </cfRule>
  </conditionalFormatting>
  <conditionalFormatting sqref="R124">
    <cfRule type="cellIs" dxfId="6035" priority="2326" operator="greaterThan">
      <formula>1</formula>
    </cfRule>
    <cfRule type="cellIs" dxfId="6034" priority="2327" operator="lessThan">
      <formula>0.8</formula>
    </cfRule>
  </conditionalFormatting>
  <conditionalFormatting sqref="P124">
    <cfRule type="cellIs" dxfId="6033" priority="2325" operator="greaterThan">
      <formula>0</formula>
    </cfRule>
  </conditionalFormatting>
  <conditionalFormatting sqref="Q124">
    <cfRule type="cellIs" dxfId="6032" priority="2330" operator="lessThan">
      <formula>0</formula>
    </cfRule>
  </conditionalFormatting>
  <conditionalFormatting sqref="Q124">
    <cfRule type="cellIs" dxfId="6031" priority="2324" operator="lessThan">
      <formula>0</formula>
    </cfRule>
  </conditionalFormatting>
  <conditionalFormatting sqref="R124">
    <cfRule type="cellIs" dxfId="6030" priority="2322" operator="lessThan">
      <formula>0.8</formula>
    </cfRule>
    <cfRule type="cellIs" dxfId="6029" priority="2323" operator="greaterThan">
      <formula>1</formula>
    </cfRule>
  </conditionalFormatting>
  <conditionalFormatting sqref="R124">
    <cfRule type="cellIs" dxfId="6028" priority="2320" operator="greaterThan">
      <formula>1</formula>
    </cfRule>
    <cfRule type="cellIs" dxfId="6027" priority="2321" operator="lessThan">
      <formula>0.8</formula>
    </cfRule>
  </conditionalFormatting>
  <conditionalFormatting sqref="P124">
    <cfRule type="cellIs" dxfId="6026" priority="2319" operator="greaterThan">
      <formula>0</formula>
    </cfRule>
  </conditionalFormatting>
  <conditionalFormatting sqref="P124">
    <cfRule type="cellIs" dxfId="6025" priority="2313" operator="greaterThan">
      <formula>0</formula>
    </cfRule>
  </conditionalFormatting>
  <conditionalFormatting sqref="Q124">
    <cfRule type="cellIs" dxfId="6024" priority="2318" operator="lessThan">
      <formula>0</formula>
    </cfRule>
  </conditionalFormatting>
  <conditionalFormatting sqref="R124">
    <cfRule type="cellIs" dxfId="6023" priority="2316" operator="lessThan">
      <formula>0.8</formula>
    </cfRule>
    <cfRule type="cellIs" dxfId="6022" priority="2317" operator="greaterThan">
      <formula>1</formula>
    </cfRule>
  </conditionalFormatting>
  <conditionalFormatting sqref="R124">
    <cfRule type="cellIs" dxfId="6021" priority="2314" operator="greaterThan">
      <formula>1</formula>
    </cfRule>
    <cfRule type="cellIs" dxfId="6020" priority="2315" operator="lessThan">
      <formula>0.8</formula>
    </cfRule>
  </conditionalFormatting>
  <conditionalFormatting sqref="P124">
    <cfRule type="cellIs" dxfId="6019" priority="2307" operator="greaterThan">
      <formula>0</formula>
    </cfRule>
  </conditionalFormatting>
  <conditionalFormatting sqref="Q124">
    <cfRule type="cellIs" dxfId="6018" priority="2312" operator="lessThan">
      <formula>0</formula>
    </cfRule>
  </conditionalFormatting>
  <conditionalFormatting sqref="R124">
    <cfRule type="cellIs" dxfId="6017" priority="2310" operator="lessThan">
      <formula>0.8</formula>
    </cfRule>
    <cfRule type="cellIs" dxfId="6016" priority="2311" operator="greaterThan">
      <formula>1</formula>
    </cfRule>
  </conditionalFormatting>
  <conditionalFormatting sqref="R124">
    <cfRule type="cellIs" dxfId="6015" priority="2308" operator="greaterThan">
      <formula>1</formula>
    </cfRule>
    <cfRule type="cellIs" dxfId="6014" priority="2309" operator="lessThan">
      <formula>0.8</formula>
    </cfRule>
  </conditionalFormatting>
  <conditionalFormatting sqref="R124">
    <cfRule type="cellIs" dxfId="6013" priority="2304" operator="lessThan">
      <formula>0.8</formula>
    </cfRule>
    <cfRule type="cellIs" dxfId="6012" priority="2305" operator="greaterThan">
      <formula>1</formula>
    </cfRule>
  </conditionalFormatting>
  <conditionalFormatting sqref="R124">
    <cfRule type="cellIs" dxfId="6011" priority="2302" operator="greaterThan">
      <formula>1</formula>
    </cfRule>
    <cfRule type="cellIs" dxfId="6010" priority="2303" operator="lessThan">
      <formula>0.8</formula>
    </cfRule>
  </conditionalFormatting>
  <conditionalFormatting sqref="P124">
    <cfRule type="cellIs" dxfId="6009" priority="2301" operator="greaterThan">
      <formula>0</formula>
    </cfRule>
  </conditionalFormatting>
  <conditionalFormatting sqref="Q124">
    <cfRule type="cellIs" dxfId="6008" priority="2306" operator="lessThan">
      <formula>0</formula>
    </cfRule>
  </conditionalFormatting>
  <conditionalFormatting sqref="P124">
    <cfRule type="cellIs" dxfId="6007" priority="2295" operator="greaterThan">
      <formula>0</formula>
    </cfRule>
  </conditionalFormatting>
  <conditionalFormatting sqref="Q124">
    <cfRule type="cellIs" dxfId="6006" priority="2300" operator="lessThan">
      <formula>0</formula>
    </cfRule>
  </conditionalFormatting>
  <conditionalFormatting sqref="R124">
    <cfRule type="cellIs" dxfId="6005" priority="2298" operator="lessThan">
      <formula>0.8</formula>
    </cfRule>
    <cfRule type="cellIs" dxfId="6004" priority="2299" operator="greaterThan">
      <formula>1</formula>
    </cfRule>
  </conditionalFormatting>
  <conditionalFormatting sqref="R124">
    <cfRule type="cellIs" dxfId="6003" priority="2296" operator="greaterThan">
      <formula>1</formula>
    </cfRule>
    <cfRule type="cellIs" dxfId="6002" priority="2297" operator="lessThan">
      <formula>0.8</formula>
    </cfRule>
  </conditionalFormatting>
  <conditionalFormatting sqref="R124">
    <cfRule type="cellIs" dxfId="6001" priority="2292" operator="lessThan">
      <formula>0.8</formula>
    </cfRule>
    <cfRule type="cellIs" dxfId="6000" priority="2293" operator="greaterThan">
      <formula>1</formula>
    </cfRule>
  </conditionalFormatting>
  <conditionalFormatting sqref="R124">
    <cfRule type="cellIs" dxfId="5999" priority="2290" operator="greaterThan">
      <formula>1</formula>
    </cfRule>
    <cfRule type="cellIs" dxfId="5998" priority="2291" operator="lessThan">
      <formula>0.8</formula>
    </cfRule>
  </conditionalFormatting>
  <conditionalFormatting sqref="P124">
    <cfRule type="cellIs" dxfId="5997" priority="2289" operator="greaterThan">
      <formula>0</formula>
    </cfRule>
  </conditionalFormatting>
  <conditionalFormatting sqref="Q124">
    <cfRule type="cellIs" dxfId="5996" priority="2294" operator="lessThan">
      <formula>0</formula>
    </cfRule>
  </conditionalFormatting>
  <conditionalFormatting sqref="R124">
    <cfRule type="cellIs" dxfId="5995" priority="2286" operator="lessThan">
      <formula>0.8</formula>
    </cfRule>
    <cfRule type="cellIs" dxfId="5994" priority="2287" operator="greaterThan">
      <formula>1</formula>
    </cfRule>
  </conditionalFormatting>
  <conditionalFormatting sqref="R124">
    <cfRule type="cellIs" dxfId="5993" priority="2284" operator="greaterThan">
      <formula>1</formula>
    </cfRule>
    <cfRule type="cellIs" dxfId="5992" priority="2285" operator="lessThan">
      <formula>0.8</formula>
    </cfRule>
  </conditionalFormatting>
  <conditionalFormatting sqref="P124">
    <cfRule type="cellIs" dxfId="5991" priority="2283" operator="greaterThan">
      <formula>0</formula>
    </cfRule>
  </conditionalFormatting>
  <conditionalFormatting sqref="Q124">
    <cfRule type="cellIs" dxfId="5990" priority="2288" operator="lessThan">
      <formula>0</formula>
    </cfRule>
  </conditionalFormatting>
  <conditionalFormatting sqref="Q124">
    <cfRule type="cellIs" dxfId="5989" priority="2282" operator="lessThan">
      <formula>0</formula>
    </cfRule>
  </conditionalFormatting>
  <conditionalFormatting sqref="R124">
    <cfRule type="cellIs" dxfId="5988" priority="2280" operator="lessThan">
      <formula>0.8</formula>
    </cfRule>
    <cfRule type="cellIs" dxfId="5987" priority="2281" operator="greaterThan">
      <formula>1</formula>
    </cfRule>
  </conditionalFormatting>
  <conditionalFormatting sqref="R124">
    <cfRule type="cellIs" dxfId="5986" priority="2278" operator="greaterThan">
      <formula>1</formula>
    </cfRule>
    <cfRule type="cellIs" dxfId="5985" priority="2279" operator="lessThan">
      <formula>0.8</formula>
    </cfRule>
  </conditionalFormatting>
  <conditionalFormatting sqref="P124">
    <cfRule type="cellIs" dxfId="5984" priority="2277" operator="greaterThan">
      <formula>0</formula>
    </cfRule>
  </conditionalFormatting>
  <conditionalFormatting sqref="Q124">
    <cfRule type="cellIs" dxfId="5983" priority="2271" operator="lessThan">
      <formula>0</formula>
    </cfRule>
  </conditionalFormatting>
  <conditionalFormatting sqref="R124">
    <cfRule type="cellIs" dxfId="5982" priority="2275" operator="lessThan">
      <formula>0.8</formula>
    </cfRule>
    <cfRule type="cellIs" dxfId="5981" priority="2276" operator="greaterThan">
      <formula>1</formula>
    </cfRule>
  </conditionalFormatting>
  <conditionalFormatting sqref="R124">
    <cfRule type="cellIs" dxfId="5980" priority="2273" operator="greaterThan">
      <formula>1</formula>
    </cfRule>
    <cfRule type="cellIs" dxfId="5979" priority="2274" operator="lessThan">
      <formula>0.8</formula>
    </cfRule>
  </conditionalFormatting>
  <conditionalFormatting sqref="P124">
    <cfRule type="cellIs" dxfId="5978" priority="2272" operator="greaterThan">
      <formula>0</formula>
    </cfRule>
  </conditionalFormatting>
  <conditionalFormatting sqref="Q124">
    <cfRule type="cellIs" dxfId="5977" priority="2270" operator="lessThan">
      <formula>0</formula>
    </cfRule>
  </conditionalFormatting>
  <conditionalFormatting sqref="R124">
    <cfRule type="cellIs" dxfId="5976" priority="2268" operator="lessThan">
      <formula>0.8</formula>
    </cfRule>
    <cfRule type="cellIs" dxfId="5975" priority="2269" operator="greaterThan">
      <formula>1</formula>
    </cfRule>
  </conditionalFormatting>
  <conditionalFormatting sqref="R124">
    <cfRule type="cellIs" dxfId="5974" priority="2266" operator="greaterThan">
      <formula>1</formula>
    </cfRule>
    <cfRule type="cellIs" dxfId="5973" priority="2267" operator="lessThan">
      <formula>0.8</formula>
    </cfRule>
  </conditionalFormatting>
  <conditionalFormatting sqref="P124">
    <cfRule type="cellIs" dxfId="5972" priority="2265" operator="greaterThan">
      <formula>0</formula>
    </cfRule>
  </conditionalFormatting>
  <conditionalFormatting sqref="Q124">
    <cfRule type="cellIs" dxfId="5971" priority="2264" operator="lessThan">
      <formula>0</formula>
    </cfRule>
  </conditionalFormatting>
  <conditionalFormatting sqref="R124">
    <cfRule type="cellIs" dxfId="5970" priority="2262" operator="lessThan">
      <formula>0.8</formula>
    </cfRule>
    <cfRule type="cellIs" dxfId="5969" priority="2263" operator="greaterThan">
      <formula>1</formula>
    </cfRule>
  </conditionalFormatting>
  <conditionalFormatting sqref="R124">
    <cfRule type="cellIs" dxfId="5968" priority="2260" operator="greaterThan">
      <formula>1</formula>
    </cfRule>
    <cfRule type="cellIs" dxfId="5967" priority="2261" operator="lessThan">
      <formula>0.8</formula>
    </cfRule>
  </conditionalFormatting>
  <conditionalFormatting sqref="P124">
    <cfRule type="cellIs" dxfId="5966" priority="2259" operator="greaterThan">
      <formula>0</formula>
    </cfRule>
  </conditionalFormatting>
  <conditionalFormatting sqref="Q124">
    <cfRule type="cellIs" dxfId="5965" priority="2258" operator="lessThan">
      <formula>0</formula>
    </cfRule>
  </conditionalFormatting>
  <conditionalFormatting sqref="R124">
    <cfRule type="cellIs" dxfId="5964" priority="2256" operator="lessThan">
      <formula>0.8</formula>
    </cfRule>
    <cfRule type="cellIs" dxfId="5963" priority="2257" operator="greaterThan">
      <formula>1</formula>
    </cfRule>
  </conditionalFormatting>
  <conditionalFormatting sqref="R124">
    <cfRule type="cellIs" dxfId="5962" priority="2254" operator="greaterThan">
      <formula>1</formula>
    </cfRule>
    <cfRule type="cellIs" dxfId="5961" priority="2255" operator="lessThan">
      <formula>0.8</formula>
    </cfRule>
  </conditionalFormatting>
  <conditionalFormatting sqref="P124">
    <cfRule type="cellIs" dxfId="5960" priority="2253" operator="greaterThan">
      <formula>0</formula>
    </cfRule>
  </conditionalFormatting>
  <conditionalFormatting sqref="Q124">
    <cfRule type="cellIs" dxfId="5959" priority="2252" operator="lessThan">
      <formula>0</formula>
    </cfRule>
  </conditionalFormatting>
  <conditionalFormatting sqref="R124">
    <cfRule type="cellIs" dxfId="5958" priority="2250" operator="lessThan">
      <formula>0.8</formula>
    </cfRule>
    <cfRule type="cellIs" dxfId="5957" priority="2251" operator="greaterThan">
      <formula>1</formula>
    </cfRule>
  </conditionalFormatting>
  <conditionalFormatting sqref="R124">
    <cfRule type="cellIs" dxfId="5956" priority="2248" operator="greaterThan">
      <formula>1</formula>
    </cfRule>
    <cfRule type="cellIs" dxfId="5955" priority="2249" operator="lessThan">
      <formula>0.8</formula>
    </cfRule>
  </conditionalFormatting>
  <conditionalFormatting sqref="P124">
    <cfRule type="cellIs" dxfId="5954" priority="2247" operator="greaterThan">
      <formula>0</formula>
    </cfRule>
  </conditionalFormatting>
  <conditionalFormatting sqref="Q124">
    <cfRule type="cellIs" dxfId="5953" priority="2246" operator="lessThan">
      <formula>0</formula>
    </cfRule>
  </conditionalFormatting>
  <conditionalFormatting sqref="R124">
    <cfRule type="cellIs" dxfId="5952" priority="2244" operator="lessThan">
      <formula>0.8</formula>
    </cfRule>
    <cfRule type="cellIs" dxfId="5951" priority="2245" operator="greaterThan">
      <formula>1</formula>
    </cfRule>
  </conditionalFormatting>
  <conditionalFormatting sqref="R124">
    <cfRule type="cellIs" dxfId="5950" priority="2242" operator="greaterThan">
      <formula>1</formula>
    </cfRule>
    <cfRule type="cellIs" dxfId="5949" priority="2243" operator="lessThan">
      <formula>0.8</formula>
    </cfRule>
  </conditionalFormatting>
  <conditionalFormatting sqref="P124">
    <cfRule type="cellIs" dxfId="5948" priority="2241" operator="greaterThan">
      <formula>0</formula>
    </cfRule>
  </conditionalFormatting>
  <conditionalFormatting sqref="P124">
    <cfRule type="cellIs" dxfId="5947" priority="2235" operator="greaterThan">
      <formula>0</formula>
    </cfRule>
  </conditionalFormatting>
  <conditionalFormatting sqref="Q124">
    <cfRule type="cellIs" dxfId="5946" priority="2240" operator="lessThan">
      <formula>0</formula>
    </cfRule>
  </conditionalFormatting>
  <conditionalFormatting sqref="R124">
    <cfRule type="cellIs" dxfId="5945" priority="2238" operator="lessThan">
      <formula>0.8</formula>
    </cfRule>
    <cfRule type="cellIs" dxfId="5944" priority="2239" operator="greaterThan">
      <formula>1</formula>
    </cfRule>
  </conditionalFormatting>
  <conditionalFormatting sqref="R124">
    <cfRule type="cellIs" dxfId="5943" priority="2236" operator="greaterThan">
      <formula>1</formula>
    </cfRule>
    <cfRule type="cellIs" dxfId="5942" priority="2237" operator="lessThan">
      <formula>0.8</formula>
    </cfRule>
  </conditionalFormatting>
  <conditionalFormatting sqref="P124">
    <cfRule type="cellIs" dxfId="5941" priority="2229" operator="greaterThan">
      <formula>0</formula>
    </cfRule>
  </conditionalFormatting>
  <conditionalFormatting sqref="Q124">
    <cfRule type="cellIs" dxfId="5940" priority="2234" operator="lessThan">
      <formula>0</formula>
    </cfRule>
  </conditionalFormatting>
  <conditionalFormatting sqref="R124">
    <cfRule type="cellIs" dxfId="5939" priority="2232" operator="lessThan">
      <formula>0.8</formula>
    </cfRule>
    <cfRule type="cellIs" dxfId="5938" priority="2233" operator="greaterThan">
      <formula>1</formula>
    </cfRule>
  </conditionalFormatting>
  <conditionalFormatting sqref="R124">
    <cfRule type="cellIs" dxfId="5937" priority="2230" operator="greaterThan">
      <formula>1</formula>
    </cfRule>
    <cfRule type="cellIs" dxfId="5936" priority="2231" operator="lessThan">
      <formula>0.8</formula>
    </cfRule>
  </conditionalFormatting>
  <conditionalFormatting sqref="R124">
    <cfRule type="cellIs" dxfId="5935" priority="2226" operator="lessThan">
      <formula>0.8</formula>
    </cfRule>
    <cfRule type="cellIs" dxfId="5934" priority="2227" operator="greaterThan">
      <formula>1</formula>
    </cfRule>
  </conditionalFormatting>
  <conditionalFormatting sqref="R124">
    <cfRule type="cellIs" dxfId="5933" priority="2224" operator="greaterThan">
      <formula>1</formula>
    </cfRule>
    <cfRule type="cellIs" dxfId="5932" priority="2225" operator="lessThan">
      <formula>0.8</formula>
    </cfRule>
  </conditionalFormatting>
  <conditionalFormatting sqref="P124">
    <cfRule type="cellIs" dxfId="5931" priority="2223" operator="greaterThan">
      <formula>0</formula>
    </cfRule>
  </conditionalFormatting>
  <conditionalFormatting sqref="Q124">
    <cfRule type="cellIs" dxfId="5930" priority="2228" operator="lessThan">
      <formula>0</formula>
    </cfRule>
  </conditionalFormatting>
  <conditionalFormatting sqref="Q14 Q5:Q12">
    <cfRule type="cellIs" dxfId="5929" priority="2222" operator="lessThan">
      <formula>0</formula>
    </cfRule>
  </conditionalFormatting>
  <conditionalFormatting sqref="R14 R5:R12">
    <cfRule type="cellIs" dxfId="5928" priority="2220" operator="lessThan">
      <formula>0.8</formula>
    </cfRule>
    <cfRule type="cellIs" dxfId="5927" priority="2221" operator="greaterThan">
      <formula>1</formula>
    </cfRule>
  </conditionalFormatting>
  <conditionalFormatting sqref="R14 R5:R12">
    <cfRule type="cellIs" dxfId="5926" priority="2218" operator="greaterThan">
      <formula>1</formula>
    </cfRule>
    <cfRule type="cellIs" dxfId="5925" priority="2219" operator="lessThan">
      <formula>0.8</formula>
    </cfRule>
  </conditionalFormatting>
  <conditionalFormatting sqref="P14 P5:P12">
    <cfRule type="cellIs" dxfId="5924" priority="2217" operator="greaterThan">
      <formula>0</formula>
    </cfRule>
  </conditionalFormatting>
  <conditionalFormatting sqref="Q83">
    <cfRule type="cellIs" dxfId="5923" priority="2216" operator="lessThan">
      <formula>0</formula>
    </cfRule>
  </conditionalFormatting>
  <conditionalFormatting sqref="R83">
    <cfRule type="cellIs" dxfId="5922" priority="2214" operator="lessThan">
      <formula>0.8</formula>
    </cfRule>
    <cfRule type="cellIs" dxfId="5921" priority="2215" operator="greaterThan">
      <formula>1</formula>
    </cfRule>
  </conditionalFormatting>
  <conditionalFormatting sqref="R83">
    <cfRule type="cellIs" dxfId="5920" priority="2212" operator="greaterThan">
      <formula>1</formula>
    </cfRule>
    <cfRule type="cellIs" dxfId="5919" priority="2213" operator="lessThan">
      <formula>0.8</formula>
    </cfRule>
  </conditionalFormatting>
  <conditionalFormatting sqref="P83">
    <cfRule type="cellIs" dxfId="5918" priority="2211" operator="greaterThan">
      <formula>0</formula>
    </cfRule>
  </conditionalFormatting>
  <conditionalFormatting sqref="Q83">
    <cfRule type="cellIs" dxfId="5917" priority="2210" operator="lessThan">
      <formula>0</formula>
    </cfRule>
  </conditionalFormatting>
  <conditionalFormatting sqref="R83">
    <cfRule type="cellIs" dxfId="5916" priority="2208" operator="lessThan">
      <formula>0.8</formula>
    </cfRule>
    <cfRule type="cellIs" dxfId="5915" priority="2209" operator="greaterThan">
      <formula>1</formula>
    </cfRule>
  </conditionalFormatting>
  <conditionalFormatting sqref="R83">
    <cfRule type="cellIs" dxfId="5914" priority="2206" operator="greaterThan">
      <formula>1</formula>
    </cfRule>
    <cfRule type="cellIs" dxfId="5913" priority="2207" operator="lessThan">
      <formula>0.8</formula>
    </cfRule>
  </conditionalFormatting>
  <conditionalFormatting sqref="P83">
    <cfRule type="cellIs" dxfId="5912" priority="2205" operator="greaterThan">
      <formula>0</formula>
    </cfRule>
  </conditionalFormatting>
  <conditionalFormatting sqref="Q83">
    <cfRule type="cellIs" dxfId="5911" priority="2204" operator="lessThan">
      <formula>0</formula>
    </cfRule>
  </conditionalFormatting>
  <conditionalFormatting sqref="R83">
    <cfRule type="cellIs" dxfId="5910" priority="2202" operator="lessThan">
      <formula>0.8</formula>
    </cfRule>
    <cfRule type="cellIs" dxfId="5909" priority="2203" operator="greaterThan">
      <formula>1</formula>
    </cfRule>
  </conditionalFormatting>
  <conditionalFormatting sqref="R83">
    <cfRule type="cellIs" dxfId="5908" priority="2200" operator="greaterThan">
      <formula>1</formula>
    </cfRule>
    <cfRule type="cellIs" dxfId="5907" priority="2201" operator="lessThan">
      <formula>0.8</formula>
    </cfRule>
  </conditionalFormatting>
  <conditionalFormatting sqref="P83">
    <cfRule type="cellIs" dxfId="5906" priority="2199" operator="greaterThan">
      <formula>0</formula>
    </cfRule>
  </conditionalFormatting>
  <conditionalFormatting sqref="Q83">
    <cfRule type="cellIs" dxfId="5905" priority="2198" operator="lessThan">
      <formula>0</formula>
    </cfRule>
  </conditionalFormatting>
  <conditionalFormatting sqref="R83">
    <cfRule type="cellIs" dxfId="5904" priority="2196" operator="lessThan">
      <formula>0.8</formula>
    </cfRule>
    <cfRule type="cellIs" dxfId="5903" priority="2197" operator="greaterThan">
      <formula>1</formula>
    </cfRule>
  </conditionalFormatting>
  <conditionalFormatting sqref="R83">
    <cfRule type="cellIs" dxfId="5902" priority="2194" operator="greaterThan">
      <formula>1</formula>
    </cfRule>
    <cfRule type="cellIs" dxfId="5901" priority="2195" operator="lessThan">
      <formula>0.8</formula>
    </cfRule>
  </conditionalFormatting>
  <conditionalFormatting sqref="P83">
    <cfRule type="cellIs" dxfId="5900" priority="2193" operator="greaterThan">
      <formula>0</formula>
    </cfRule>
  </conditionalFormatting>
  <conditionalFormatting sqref="P83">
    <cfRule type="cellIs" dxfId="5899" priority="2187" operator="greaterThan">
      <formula>0</formula>
    </cfRule>
  </conditionalFormatting>
  <conditionalFormatting sqref="Q83">
    <cfRule type="cellIs" dxfId="5898" priority="2192" operator="lessThan">
      <formula>0</formula>
    </cfRule>
  </conditionalFormatting>
  <conditionalFormatting sqref="R83">
    <cfRule type="cellIs" dxfId="5897" priority="2190" operator="lessThan">
      <formula>0.8</formula>
    </cfRule>
    <cfRule type="cellIs" dxfId="5896" priority="2191" operator="greaterThan">
      <formula>1</formula>
    </cfRule>
  </conditionalFormatting>
  <conditionalFormatting sqref="R83">
    <cfRule type="cellIs" dxfId="5895" priority="2188" operator="greaterThan">
      <formula>1</formula>
    </cfRule>
    <cfRule type="cellIs" dxfId="5894" priority="2189" operator="lessThan">
      <formula>0.8</formula>
    </cfRule>
  </conditionalFormatting>
  <conditionalFormatting sqref="P83">
    <cfRule type="cellIs" dxfId="5893" priority="2181" operator="greaterThan">
      <formula>0</formula>
    </cfRule>
  </conditionalFormatting>
  <conditionalFormatting sqref="Q83">
    <cfRule type="cellIs" dxfId="5892" priority="2186" operator="lessThan">
      <formula>0</formula>
    </cfRule>
  </conditionalFormatting>
  <conditionalFormatting sqref="R83">
    <cfRule type="cellIs" dxfId="5891" priority="2184" operator="lessThan">
      <formula>0.8</formula>
    </cfRule>
    <cfRule type="cellIs" dxfId="5890" priority="2185" operator="greaterThan">
      <formula>1</formula>
    </cfRule>
  </conditionalFormatting>
  <conditionalFormatting sqref="R83">
    <cfRule type="cellIs" dxfId="5889" priority="2182" operator="greaterThan">
      <formula>1</formula>
    </cfRule>
    <cfRule type="cellIs" dxfId="5888" priority="2183" operator="lessThan">
      <formula>0.8</formula>
    </cfRule>
  </conditionalFormatting>
  <conditionalFormatting sqref="R83">
    <cfRule type="cellIs" dxfId="5887" priority="2178" operator="lessThan">
      <formula>0.8</formula>
    </cfRule>
    <cfRule type="cellIs" dxfId="5886" priority="2179" operator="greaterThan">
      <formula>1</formula>
    </cfRule>
  </conditionalFormatting>
  <conditionalFormatting sqref="R83">
    <cfRule type="cellIs" dxfId="5885" priority="2176" operator="greaterThan">
      <formula>1</formula>
    </cfRule>
    <cfRule type="cellIs" dxfId="5884" priority="2177" operator="lessThan">
      <formula>0.8</formula>
    </cfRule>
  </conditionalFormatting>
  <conditionalFormatting sqref="P83">
    <cfRule type="cellIs" dxfId="5883" priority="2175" operator="greaterThan">
      <formula>0</formula>
    </cfRule>
  </conditionalFormatting>
  <conditionalFormatting sqref="Q83">
    <cfRule type="cellIs" dxfId="5882" priority="2180" operator="lessThan">
      <formula>0</formula>
    </cfRule>
  </conditionalFormatting>
  <conditionalFormatting sqref="Q83">
    <cfRule type="cellIs" dxfId="5881" priority="2174" operator="lessThan">
      <formula>0</formula>
    </cfRule>
  </conditionalFormatting>
  <conditionalFormatting sqref="R83">
    <cfRule type="cellIs" dxfId="5880" priority="2172" operator="lessThan">
      <formula>0.8</formula>
    </cfRule>
    <cfRule type="cellIs" dxfId="5879" priority="2173" operator="greaterThan">
      <formula>1</formula>
    </cfRule>
  </conditionalFormatting>
  <conditionalFormatting sqref="R83">
    <cfRule type="cellIs" dxfId="5878" priority="2170" operator="greaterThan">
      <formula>1</formula>
    </cfRule>
    <cfRule type="cellIs" dxfId="5877" priority="2171" operator="lessThan">
      <formula>0.8</formula>
    </cfRule>
  </conditionalFormatting>
  <conditionalFormatting sqref="P83">
    <cfRule type="cellIs" dxfId="5876" priority="2169" operator="greaterThan">
      <formula>0</formula>
    </cfRule>
  </conditionalFormatting>
  <conditionalFormatting sqref="P83">
    <cfRule type="cellIs" dxfId="5875" priority="2163" operator="greaterThan">
      <formula>0</formula>
    </cfRule>
  </conditionalFormatting>
  <conditionalFormatting sqref="Q83">
    <cfRule type="cellIs" dxfId="5874" priority="2168" operator="lessThan">
      <formula>0</formula>
    </cfRule>
  </conditionalFormatting>
  <conditionalFormatting sqref="R83">
    <cfRule type="cellIs" dxfId="5873" priority="2166" operator="lessThan">
      <formula>0.8</formula>
    </cfRule>
    <cfRule type="cellIs" dxfId="5872" priority="2167" operator="greaterThan">
      <formula>1</formula>
    </cfRule>
  </conditionalFormatting>
  <conditionalFormatting sqref="R83">
    <cfRule type="cellIs" dxfId="5871" priority="2164" operator="greaterThan">
      <formula>1</formula>
    </cfRule>
    <cfRule type="cellIs" dxfId="5870" priority="2165" operator="lessThan">
      <formula>0.8</formula>
    </cfRule>
  </conditionalFormatting>
  <conditionalFormatting sqref="P83">
    <cfRule type="cellIs" dxfId="5869" priority="2157" operator="greaterThan">
      <formula>0</formula>
    </cfRule>
  </conditionalFormatting>
  <conditionalFormatting sqref="Q83">
    <cfRule type="cellIs" dxfId="5868" priority="2162" operator="lessThan">
      <formula>0</formula>
    </cfRule>
  </conditionalFormatting>
  <conditionalFormatting sqref="R83">
    <cfRule type="cellIs" dxfId="5867" priority="2160" operator="lessThan">
      <formula>0.8</formula>
    </cfRule>
    <cfRule type="cellIs" dxfId="5866" priority="2161" operator="greaterThan">
      <formula>1</formula>
    </cfRule>
  </conditionalFormatting>
  <conditionalFormatting sqref="R83">
    <cfRule type="cellIs" dxfId="5865" priority="2158" operator="greaterThan">
      <formula>1</formula>
    </cfRule>
    <cfRule type="cellIs" dxfId="5864" priority="2159" operator="lessThan">
      <formula>0.8</formula>
    </cfRule>
  </conditionalFormatting>
  <conditionalFormatting sqref="R83">
    <cfRule type="cellIs" dxfId="5863" priority="2154" operator="lessThan">
      <formula>0.8</formula>
    </cfRule>
    <cfRule type="cellIs" dxfId="5862" priority="2155" operator="greaterThan">
      <formula>1</formula>
    </cfRule>
  </conditionalFormatting>
  <conditionalFormatting sqref="R83">
    <cfRule type="cellIs" dxfId="5861" priority="2152" operator="greaterThan">
      <formula>1</formula>
    </cfRule>
    <cfRule type="cellIs" dxfId="5860" priority="2153" operator="lessThan">
      <formula>0.8</formula>
    </cfRule>
  </conditionalFormatting>
  <conditionalFormatting sqref="P83">
    <cfRule type="cellIs" dxfId="5859" priority="2151" operator="greaterThan">
      <formula>0</formula>
    </cfRule>
  </conditionalFormatting>
  <conditionalFormatting sqref="Q83">
    <cfRule type="cellIs" dxfId="5858" priority="2156" operator="lessThan">
      <formula>0</formula>
    </cfRule>
  </conditionalFormatting>
  <conditionalFormatting sqref="P83">
    <cfRule type="cellIs" dxfId="5857" priority="2145" operator="greaterThan">
      <formula>0</formula>
    </cfRule>
  </conditionalFormatting>
  <conditionalFormatting sqref="Q83">
    <cfRule type="cellIs" dxfId="5856" priority="2150" operator="lessThan">
      <formula>0</formula>
    </cfRule>
  </conditionalFormatting>
  <conditionalFormatting sqref="R83">
    <cfRule type="cellIs" dxfId="5855" priority="2148" operator="lessThan">
      <formula>0.8</formula>
    </cfRule>
    <cfRule type="cellIs" dxfId="5854" priority="2149" operator="greaterThan">
      <formula>1</formula>
    </cfRule>
  </conditionalFormatting>
  <conditionalFormatting sqref="R83">
    <cfRule type="cellIs" dxfId="5853" priority="2146" operator="greaterThan">
      <formula>1</formula>
    </cfRule>
    <cfRule type="cellIs" dxfId="5852" priority="2147" operator="lessThan">
      <formula>0.8</formula>
    </cfRule>
  </conditionalFormatting>
  <conditionalFormatting sqref="R83">
    <cfRule type="cellIs" dxfId="5851" priority="2142" operator="lessThan">
      <formula>0.8</formula>
    </cfRule>
    <cfRule type="cellIs" dxfId="5850" priority="2143" operator="greaterThan">
      <formula>1</formula>
    </cfRule>
  </conditionalFormatting>
  <conditionalFormatting sqref="R83">
    <cfRule type="cellIs" dxfId="5849" priority="2140" operator="greaterThan">
      <formula>1</formula>
    </cfRule>
    <cfRule type="cellIs" dxfId="5848" priority="2141" operator="lessThan">
      <formula>0.8</formula>
    </cfRule>
  </conditionalFormatting>
  <conditionalFormatting sqref="P83">
    <cfRule type="cellIs" dxfId="5847" priority="2139" operator="greaterThan">
      <formula>0</formula>
    </cfRule>
  </conditionalFormatting>
  <conditionalFormatting sqref="Q83">
    <cfRule type="cellIs" dxfId="5846" priority="2144" operator="lessThan">
      <formula>0</formula>
    </cfRule>
  </conditionalFormatting>
  <conditionalFormatting sqref="R83">
    <cfRule type="cellIs" dxfId="5845" priority="2136" operator="lessThan">
      <formula>0.8</formula>
    </cfRule>
    <cfRule type="cellIs" dxfId="5844" priority="2137" operator="greaterThan">
      <formula>1</formula>
    </cfRule>
  </conditionalFormatting>
  <conditionalFormatting sqref="R83">
    <cfRule type="cellIs" dxfId="5843" priority="2134" operator="greaterThan">
      <formula>1</formula>
    </cfRule>
    <cfRule type="cellIs" dxfId="5842" priority="2135" operator="lessThan">
      <formula>0.8</formula>
    </cfRule>
  </conditionalFormatting>
  <conditionalFormatting sqref="P83">
    <cfRule type="cellIs" dxfId="5841" priority="2133" operator="greaterThan">
      <formula>0</formula>
    </cfRule>
  </conditionalFormatting>
  <conditionalFormatting sqref="Q83">
    <cfRule type="cellIs" dxfId="5840" priority="2138" operator="lessThan">
      <formula>0</formula>
    </cfRule>
  </conditionalFormatting>
  <conditionalFormatting sqref="Q83">
    <cfRule type="cellIs" dxfId="5839" priority="2132" operator="lessThan">
      <formula>0</formula>
    </cfRule>
  </conditionalFormatting>
  <conditionalFormatting sqref="R83">
    <cfRule type="cellIs" dxfId="5838" priority="2130" operator="lessThan">
      <formula>0.8</formula>
    </cfRule>
    <cfRule type="cellIs" dxfId="5837" priority="2131" operator="greaterThan">
      <formula>1</formula>
    </cfRule>
  </conditionalFormatting>
  <conditionalFormatting sqref="R83">
    <cfRule type="cellIs" dxfId="5836" priority="2128" operator="greaterThan">
      <formula>1</formula>
    </cfRule>
    <cfRule type="cellIs" dxfId="5835" priority="2129" operator="lessThan">
      <formula>0.8</formula>
    </cfRule>
  </conditionalFormatting>
  <conditionalFormatting sqref="P83">
    <cfRule type="cellIs" dxfId="5834" priority="2127" operator="greaterThan">
      <formula>0</formula>
    </cfRule>
  </conditionalFormatting>
  <conditionalFormatting sqref="Q83">
    <cfRule type="cellIs" dxfId="5833" priority="2121" operator="lessThan">
      <formula>0</formula>
    </cfRule>
  </conditionalFormatting>
  <conditionalFormatting sqref="R83">
    <cfRule type="cellIs" dxfId="5832" priority="2125" operator="lessThan">
      <formula>0.8</formula>
    </cfRule>
    <cfRule type="cellIs" dxfId="5831" priority="2126" operator="greaterThan">
      <formula>1</formula>
    </cfRule>
  </conditionalFormatting>
  <conditionalFormatting sqref="R83">
    <cfRule type="cellIs" dxfId="5830" priority="2123" operator="greaterThan">
      <formula>1</formula>
    </cfRule>
    <cfRule type="cellIs" dxfId="5829" priority="2124" operator="lessThan">
      <formula>0.8</formula>
    </cfRule>
  </conditionalFormatting>
  <conditionalFormatting sqref="P83">
    <cfRule type="cellIs" dxfId="5828" priority="2122" operator="greaterThan">
      <formula>0</formula>
    </cfRule>
  </conditionalFormatting>
  <conditionalFormatting sqref="Q83">
    <cfRule type="cellIs" dxfId="5827" priority="2120" operator="lessThan">
      <formula>0</formula>
    </cfRule>
  </conditionalFormatting>
  <conditionalFormatting sqref="R83">
    <cfRule type="cellIs" dxfId="5826" priority="2118" operator="lessThan">
      <formula>0.8</formula>
    </cfRule>
    <cfRule type="cellIs" dxfId="5825" priority="2119" operator="greaterThan">
      <formula>1</formula>
    </cfRule>
  </conditionalFormatting>
  <conditionalFormatting sqref="R83">
    <cfRule type="cellIs" dxfId="5824" priority="2116" operator="greaterThan">
      <formula>1</formula>
    </cfRule>
    <cfRule type="cellIs" dxfId="5823" priority="2117" operator="lessThan">
      <formula>0.8</formula>
    </cfRule>
  </conditionalFormatting>
  <conditionalFormatting sqref="P83">
    <cfRule type="cellIs" dxfId="5822" priority="2115" operator="greaterThan">
      <formula>0</formula>
    </cfRule>
  </conditionalFormatting>
  <conditionalFormatting sqref="Q83">
    <cfRule type="cellIs" dxfId="5821" priority="2114" operator="lessThan">
      <formula>0</formula>
    </cfRule>
  </conditionalFormatting>
  <conditionalFormatting sqref="R83">
    <cfRule type="cellIs" dxfId="5820" priority="2112" operator="lessThan">
      <formula>0.8</formula>
    </cfRule>
    <cfRule type="cellIs" dxfId="5819" priority="2113" operator="greaterThan">
      <formula>1</formula>
    </cfRule>
  </conditionalFormatting>
  <conditionalFormatting sqref="R83">
    <cfRule type="cellIs" dxfId="5818" priority="2110" operator="greaterThan">
      <formula>1</formula>
    </cfRule>
    <cfRule type="cellIs" dxfId="5817" priority="2111" operator="lessThan">
      <formula>0.8</formula>
    </cfRule>
  </conditionalFormatting>
  <conditionalFormatting sqref="P83">
    <cfRule type="cellIs" dxfId="5816" priority="2109" operator="greaterThan">
      <formula>0</formula>
    </cfRule>
  </conditionalFormatting>
  <conditionalFormatting sqref="Q83">
    <cfRule type="cellIs" dxfId="5815" priority="2108" operator="lessThan">
      <formula>0</formula>
    </cfRule>
  </conditionalFormatting>
  <conditionalFormatting sqref="R83">
    <cfRule type="cellIs" dxfId="5814" priority="2106" operator="lessThan">
      <formula>0.8</formula>
    </cfRule>
    <cfRule type="cellIs" dxfId="5813" priority="2107" operator="greaterThan">
      <formula>1</formula>
    </cfRule>
  </conditionalFormatting>
  <conditionalFormatting sqref="R83">
    <cfRule type="cellIs" dxfId="5812" priority="2104" operator="greaterThan">
      <formula>1</formula>
    </cfRule>
    <cfRule type="cellIs" dxfId="5811" priority="2105" operator="lessThan">
      <formula>0.8</formula>
    </cfRule>
  </conditionalFormatting>
  <conditionalFormatting sqref="P83">
    <cfRule type="cellIs" dxfId="5810" priority="2103" operator="greaterThan">
      <formula>0</formula>
    </cfRule>
  </conditionalFormatting>
  <conditionalFormatting sqref="Q83">
    <cfRule type="cellIs" dxfId="5809" priority="2102" operator="lessThan">
      <formula>0</formula>
    </cfRule>
  </conditionalFormatting>
  <conditionalFormatting sqref="R83">
    <cfRule type="cellIs" dxfId="5808" priority="2100" operator="lessThan">
      <formula>0.8</formula>
    </cfRule>
    <cfRule type="cellIs" dxfId="5807" priority="2101" operator="greaterThan">
      <formula>1</formula>
    </cfRule>
  </conditionalFormatting>
  <conditionalFormatting sqref="R83">
    <cfRule type="cellIs" dxfId="5806" priority="2098" operator="greaterThan">
      <formula>1</formula>
    </cfRule>
    <cfRule type="cellIs" dxfId="5805" priority="2099" operator="lessThan">
      <formula>0.8</formula>
    </cfRule>
  </conditionalFormatting>
  <conditionalFormatting sqref="P83">
    <cfRule type="cellIs" dxfId="5804" priority="2097" operator="greaterThan">
      <formula>0</formula>
    </cfRule>
  </conditionalFormatting>
  <conditionalFormatting sqref="Q83">
    <cfRule type="cellIs" dxfId="5803" priority="2096" operator="lessThan">
      <formula>0</formula>
    </cfRule>
  </conditionalFormatting>
  <conditionalFormatting sqref="R83">
    <cfRule type="cellIs" dxfId="5802" priority="2094" operator="lessThan">
      <formula>0.8</formula>
    </cfRule>
    <cfRule type="cellIs" dxfId="5801" priority="2095" operator="greaterThan">
      <formula>1</formula>
    </cfRule>
  </conditionalFormatting>
  <conditionalFormatting sqref="R83">
    <cfRule type="cellIs" dxfId="5800" priority="2092" operator="greaterThan">
      <formula>1</formula>
    </cfRule>
    <cfRule type="cellIs" dxfId="5799" priority="2093" operator="lessThan">
      <formula>0.8</formula>
    </cfRule>
  </conditionalFormatting>
  <conditionalFormatting sqref="P83">
    <cfRule type="cellIs" dxfId="5798" priority="2091" operator="greaterThan">
      <formula>0</formula>
    </cfRule>
  </conditionalFormatting>
  <conditionalFormatting sqref="P83">
    <cfRule type="cellIs" dxfId="5797" priority="2085" operator="greaterThan">
      <formula>0</formula>
    </cfRule>
  </conditionalFormatting>
  <conditionalFormatting sqref="Q83">
    <cfRule type="cellIs" dxfId="5796" priority="2090" operator="lessThan">
      <formula>0</formula>
    </cfRule>
  </conditionalFormatting>
  <conditionalFormatting sqref="R83">
    <cfRule type="cellIs" dxfId="5795" priority="2088" operator="lessThan">
      <formula>0.8</formula>
    </cfRule>
    <cfRule type="cellIs" dxfId="5794" priority="2089" operator="greaterThan">
      <formula>1</formula>
    </cfRule>
  </conditionalFormatting>
  <conditionalFormatting sqref="R83">
    <cfRule type="cellIs" dxfId="5793" priority="2086" operator="greaterThan">
      <formula>1</formula>
    </cfRule>
    <cfRule type="cellIs" dxfId="5792" priority="2087" operator="lessThan">
      <formula>0.8</formula>
    </cfRule>
  </conditionalFormatting>
  <conditionalFormatting sqref="P83">
    <cfRule type="cellIs" dxfId="5791" priority="2079" operator="greaterThan">
      <formula>0</formula>
    </cfRule>
  </conditionalFormatting>
  <conditionalFormatting sqref="Q83">
    <cfRule type="cellIs" dxfId="5790" priority="2084" operator="lessThan">
      <formula>0</formula>
    </cfRule>
  </conditionalFormatting>
  <conditionalFormatting sqref="R83">
    <cfRule type="cellIs" dxfId="5789" priority="2082" operator="lessThan">
      <formula>0.8</formula>
    </cfRule>
    <cfRule type="cellIs" dxfId="5788" priority="2083" operator="greaterThan">
      <formula>1</formula>
    </cfRule>
  </conditionalFormatting>
  <conditionalFormatting sqref="R83">
    <cfRule type="cellIs" dxfId="5787" priority="2080" operator="greaterThan">
      <formula>1</formula>
    </cfRule>
    <cfRule type="cellIs" dxfId="5786" priority="2081" operator="lessThan">
      <formula>0.8</formula>
    </cfRule>
  </conditionalFormatting>
  <conditionalFormatting sqref="R83">
    <cfRule type="cellIs" dxfId="5785" priority="2076" operator="lessThan">
      <formula>0.8</formula>
    </cfRule>
    <cfRule type="cellIs" dxfId="5784" priority="2077" operator="greaterThan">
      <formula>1</formula>
    </cfRule>
  </conditionalFormatting>
  <conditionalFormatting sqref="R83">
    <cfRule type="cellIs" dxfId="5783" priority="2074" operator="greaterThan">
      <formula>1</formula>
    </cfRule>
    <cfRule type="cellIs" dxfId="5782" priority="2075" operator="lessThan">
      <formula>0.8</formula>
    </cfRule>
  </conditionalFormatting>
  <conditionalFormatting sqref="P83">
    <cfRule type="cellIs" dxfId="5781" priority="2073" operator="greaterThan">
      <formula>0</formula>
    </cfRule>
  </conditionalFormatting>
  <conditionalFormatting sqref="Q83">
    <cfRule type="cellIs" dxfId="5780" priority="2078" operator="lessThan">
      <formula>0</formula>
    </cfRule>
  </conditionalFormatting>
  <conditionalFormatting sqref="Q83">
    <cfRule type="cellIs" dxfId="5779" priority="2067" operator="lessThan">
      <formula>0</formula>
    </cfRule>
  </conditionalFormatting>
  <conditionalFormatting sqref="P83">
    <cfRule type="cellIs" dxfId="5778" priority="2068" operator="greaterThan">
      <formula>0</formula>
    </cfRule>
  </conditionalFormatting>
  <conditionalFormatting sqref="R83">
    <cfRule type="cellIs" dxfId="5777" priority="2071" operator="lessThan">
      <formula>0.8</formula>
    </cfRule>
    <cfRule type="cellIs" dxfId="5776" priority="2072" operator="greaterThan">
      <formula>1</formula>
    </cfRule>
  </conditionalFormatting>
  <conditionalFormatting sqref="R83">
    <cfRule type="cellIs" dxfId="5775" priority="2069" operator="greaterThan">
      <formula>1</formula>
    </cfRule>
    <cfRule type="cellIs" dxfId="5774" priority="2070" operator="lessThan">
      <formula>0.8</formula>
    </cfRule>
  </conditionalFormatting>
  <conditionalFormatting sqref="Q83">
    <cfRule type="cellIs" dxfId="5773" priority="2061" operator="lessThan">
      <formula>0</formula>
    </cfRule>
  </conditionalFormatting>
  <conditionalFormatting sqref="R83">
    <cfRule type="cellIs" dxfId="5772" priority="2065" operator="lessThan">
      <formula>0.8</formula>
    </cfRule>
    <cfRule type="cellIs" dxfId="5771" priority="2066" operator="greaterThan">
      <formula>1</formula>
    </cfRule>
  </conditionalFormatting>
  <conditionalFormatting sqref="R83">
    <cfRule type="cellIs" dxfId="5770" priority="2063" operator="greaterThan">
      <formula>1</formula>
    </cfRule>
    <cfRule type="cellIs" dxfId="5769" priority="2064" operator="lessThan">
      <formula>0.8</formula>
    </cfRule>
  </conditionalFormatting>
  <conditionalFormatting sqref="P83">
    <cfRule type="cellIs" dxfId="5768" priority="2062" operator="greaterThan">
      <formula>0</formula>
    </cfRule>
  </conditionalFormatting>
  <conditionalFormatting sqref="Q83">
    <cfRule type="cellIs" dxfId="5767" priority="2060" operator="lessThan">
      <formula>0</formula>
    </cfRule>
  </conditionalFormatting>
  <conditionalFormatting sqref="R83">
    <cfRule type="cellIs" dxfId="5766" priority="2058" operator="lessThan">
      <formula>0.8</formula>
    </cfRule>
    <cfRule type="cellIs" dxfId="5765" priority="2059" operator="greaterThan">
      <formula>1</formula>
    </cfRule>
  </conditionalFormatting>
  <conditionalFormatting sqref="R83">
    <cfRule type="cellIs" dxfId="5764" priority="2056" operator="greaterThan">
      <formula>1</formula>
    </cfRule>
    <cfRule type="cellIs" dxfId="5763" priority="2057" operator="lessThan">
      <formula>0.8</formula>
    </cfRule>
  </conditionalFormatting>
  <conditionalFormatting sqref="P83">
    <cfRule type="cellIs" dxfId="5762" priority="2055" operator="greaterThan">
      <formula>0</formula>
    </cfRule>
  </conditionalFormatting>
  <conditionalFormatting sqref="Q83">
    <cfRule type="cellIs" dxfId="5761" priority="2054" operator="lessThan">
      <formula>0</formula>
    </cfRule>
  </conditionalFormatting>
  <conditionalFormatting sqref="R83">
    <cfRule type="cellIs" dxfId="5760" priority="2052" operator="lessThan">
      <formula>0.8</formula>
    </cfRule>
    <cfRule type="cellIs" dxfId="5759" priority="2053" operator="greaterThan">
      <formula>1</formula>
    </cfRule>
  </conditionalFormatting>
  <conditionalFormatting sqref="R83">
    <cfRule type="cellIs" dxfId="5758" priority="2050" operator="greaterThan">
      <formula>1</formula>
    </cfRule>
    <cfRule type="cellIs" dxfId="5757" priority="2051" operator="lessThan">
      <formula>0.8</formula>
    </cfRule>
  </conditionalFormatting>
  <conditionalFormatting sqref="P83">
    <cfRule type="cellIs" dxfId="5756" priority="2049" operator="greaterThan">
      <formula>0</formula>
    </cfRule>
  </conditionalFormatting>
  <conditionalFormatting sqref="Q83">
    <cfRule type="cellIs" dxfId="5755" priority="2048" operator="lessThan">
      <formula>0</formula>
    </cfRule>
  </conditionalFormatting>
  <conditionalFormatting sqref="R83">
    <cfRule type="cellIs" dxfId="5754" priority="2046" operator="lessThan">
      <formula>0.8</formula>
    </cfRule>
    <cfRule type="cellIs" dxfId="5753" priority="2047" operator="greaterThan">
      <formula>1</formula>
    </cfRule>
  </conditionalFormatting>
  <conditionalFormatting sqref="R83">
    <cfRule type="cellIs" dxfId="5752" priority="2044" operator="greaterThan">
      <formula>1</formula>
    </cfRule>
    <cfRule type="cellIs" dxfId="5751" priority="2045" operator="lessThan">
      <formula>0.8</formula>
    </cfRule>
  </conditionalFormatting>
  <conditionalFormatting sqref="P83">
    <cfRule type="cellIs" dxfId="5750" priority="2043" operator="greaterThan">
      <formula>0</formula>
    </cfRule>
  </conditionalFormatting>
  <conditionalFormatting sqref="Q32:Q39">
    <cfRule type="cellIs" dxfId="5749" priority="2037" operator="lessThan">
      <formula>0</formula>
    </cfRule>
  </conditionalFormatting>
  <conditionalFormatting sqref="P32:P39">
    <cfRule type="cellIs" dxfId="5748" priority="2038" operator="greaterThan">
      <formula>0</formula>
    </cfRule>
  </conditionalFormatting>
  <conditionalFormatting sqref="R32:R39">
    <cfRule type="cellIs" dxfId="5747" priority="2041" operator="lessThan">
      <formula>0.8</formula>
    </cfRule>
    <cfRule type="cellIs" dxfId="5746" priority="2042" operator="greaterThan">
      <formula>1</formula>
    </cfRule>
  </conditionalFormatting>
  <conditionalFormatting sqref="R32:R39">
    <cfRule type="cellIs" dxfId="5745" priority="2039" operator="greaterThan">
      <formula>1</formula>
    </cfRule>
    <cfRule type="cellIs" dxfId="5744" priority="2040" operator="lessThan">
      <formula>0.8</formula>
    </cfRule>
  </conditionalFormatting>
  <conditionalFormatting sqref="Q32:Q39">
    <cfRule type="cellIs" dxfId="5743" priority="2031" operator="lessThan">
      <formula>0</formula>
    </cfRule>
  </conditionalFormatting>
  <conditionalFormatting sqref="R32:R39">
    <cfRule type="cellIs" dxfId="5742" priority="2035" operator="lessThan">
      <formula>0.8</formula>
    </cfRule>
    <cfRule type="cellIs" dxfId="5741" priority="2036" operator="greaterThan">
      <formula>1</formula>
    </cfRule>
  </conditionalFormatting>
  <conditionalFormatting sqref="R32:R39">
    <cfRule type="cellIs" dxfId="5740" priority="2033" operator="greaterThan">
      <formula>1</formula>
    </cfRule>
    <cfRule type="cellIs" dxfId="5739" priority="2034" operator="lessThan">
      <formula>0.8</formula>
    </cfRule>
  </conditionalFormatting>
  <conditionalFormatting sqref="P32:P39">
    <cfRule type="cellIs" dxfId="5738" priority="2032" operator="greaterThan">
      <formula>0</formula>
    </cfRule>
  </conditionalFormatting>
  <conditionalFormatting sqref="Q32:Q39">
    <cfRule type="cellIs" dxfId="5737" priority="2030" operator="lessThan">
      <formula>0</formula>
    </cfRule>
  </conditionalFormatting>
  <conditionalFormatting sqref="R32:R39">
    <cfRule type="cellIs" dxfId="5736" priority="2028" operator="lessThan">
      <formula>0.8</formula>
    </cfRule>
    <cfRule type="cellIs" dxfId="5735" priority="2029" operator="greaterThan">
      <formula>1</formula>
    </cfRule>
  </conditionalFormatting>
  <conditionalFormatting sqref="R32:R39">
    <cfRule type="cellIs" dxfId="5734" priority="2026" operator="greaterThan">
      <formula>1</formula>
    </cfRule>
    <cfRule type="cellIs" dxfId="5733" priority="2027" operator="lessThan">
      <formula>0.8</formula>
    </cfRule>
  </conditionalFormatting>
  <conditionalFormatting sqref="P32:P39">
    <cfRule type="cellIs" dxfId="5732" priority="2025" operator="greaterThan">
      <formula>0</formula>
    </cfRule>
  </conditionalFormatting>
  <conditionalFormatting sqref="Q32:Q39">
    <cfRule type="cellIs" dxfId="5731" priority="2024" operator="lessThan">
      <formula>0</formula>
    </cfRule>
  </conditionalFormatting>
  <conditionalFormatting sqref="R32:R39">
    <cfRule type="cellIs" dxfId="5730" priority="2022" operator="lessThan">
      <formula>0.8</formula>
    </cfRule>
    <cfRule type="cellIs" dxfId="5729" priority="2023" operator="greaterThan">
      <formula>1</formula>
    </cfRule>
  </conditionalFormatting>
  <conditionalFormatting sqref="R32:R39">
    <cfRule type="cellIs" dxfId="5728" priority="2020" operator="greaterThan">
      <formula>1</formula>
    </cfRule>
    <cfRule type="cellIs" dxfId="5727" priority="2021" operator="lessThan">
      <formula>0.8</formula>
    </cfRule>
  </conditionalFormatting>
  <conditionalFormatting sqref="P32:P39">
    <cfRule type="cellIs" dxfId="5726" priority="2019" operator="greaterThan">
      <formula>0</formula>
    </cfRule>
  </conditionalFormatting>
  <conditionalFormatting sqref="Q32:Q39">
    <cfRule type="cellIs" dxfId="5725" priority="2013" operator="lessThan">
      <formula>0</formula>
    </cfRule>
  </conditionalFormatting>
  <conditionalFormatting sqref="R32:R39">
    <cfRule type="cellIs" dxfId="5724" priority="2017" operator="lessThan">
      <formula>0.8</formula>
    </cfRule>
    <cfRule type="cellIs" dxfId="5723" priority="2018" operator="greaterThan">
      <formula>1</formula>
    </cfRule>
  </conditionalFormatting>
  <conditionalFormatting sqref="R32:R39">
    <cfRule type="cellIs" dxfId="5722" priority="2015" operator="greaterThan">
      <formula>1</formula>
    </cfRule>
    <cfRule type="cellIs" dxfId="5721" priority="2016" operator="lessThan">
      <formula>0.8</formula>
    </cfRule>
  </conditionalFormatting>
  <conditionalFormatting sqref="P32:P39">
    <cfRule type="cellIs" dxfId="5720" priority="2014" operator="greaterThan">
      <formula>0</formula>
    </cfRule>
  </conditionalFormatting>
  <conditionalFormatting sqref="Q32:Q39">
    <cfRule type="cellIs" dxfId="5719" priority="2012" operator="lessThan">
      <formula>0</formula>
    </cfRule>
  </conditionalFormatting>
  <conditionalFormatting sqref="R32:R39">
    <cfRule type="cellIs" dxfId="5718" priority="2010" operator="lessThan">
      <formula>0.8</formula>
    </cfRule>
    <cfRule type="cellIs" dxfId="5717" priority="2011" operator="greaterThan">
      <formula>1</formula>
    </cfRule>
  </conditionalFormatting>
  <conditionalFormatting sqref="R32:R39">
    <cfRule type="cellIs" dxfId="5716" priority="2008" operator="greaterThan">
      <formula>1</formula>
    </cfRule>
    <cfRule type="cellIs" dxfId="5715" priority="2009" operator="lessThan">
      <formula>0.8</formula>
    </cfRule>
  </conditionalFormatting>
  <conditionalFormatting sqref="P32:P39">
    <cfRule type="cellIs" dxfId="5714" priority="2007" operator="greaterThan">
      <formula>0</formula>
    </cfRule>
  </conditionalFormatting>
  <conditionalFormatting sqref="Q32:Q39">
    <cfRule type="cellIs" dxfId="5713" priority="2006" operator="lessThan">
      <formula>0</formula>
    </cfRule>
  </conditionalFormatting>
  <conditionalFormatting sqref="R32:R39">
    <cfRule type="cellIs" dxfId="5712" priority="2004" operator="lessThan">
      <formula>0.8</formula>
    </cfRule>
    <cfRule type="cellIs" dxfId="5711" priority="2005" operator="greaterThan">
      <formula>1</formula>
    </cfRule>
  </conditionalFormatting>
  <conditionalFormatting sqref="R32:R39">
    <cfRule type="cellIs" dxfId="5710" priority="2002" operator="greaterThan">
      <formula>1</formula>
    </cfRule>
    <cfRule type="cellIs" dxfId="5709" priority="2003" operator="lessThan">
      <formula>0.8</formula>
    </cfRule>
  </conditionalFormatting>
  <conditionalFormatting sqref="P32:P39">
    <cfRule type="cellIs" dxfId="5708" priority="2001" operator="greaterThan">
      <formula>0</formula>
    </cfRule>
  </conditionalFormatting>
  <conditionalFormatting sqref="Q32:Q39">
    <cfRule type="cellIs" dxfId="5707" priority="2000" operator="lessThan">
      <formula>0</formula>
    </cfRule>
  </conditionalFormatting>
  <conditionalFormatting sqref="R32:R39">
    <cfRule type="cellIs" dxfId="5706" priority="1998" operator="lessThan">
      <formula>0.8</formula>
    </cfRule>
    <cfRule type="cellIs" dxfId="5705" priority="1999" operator="greaterThan">
      <formula>1</formula>
    </cfRule>
  </conditionalFormatting>
  <conditionalFormatting sqref="R32:R39">
    <cfRule type="cellIs" dxfId="5704" priority="1996" operator="greaterThan">
      <formula>1</formula>
    </cfRule>
    <cfRule type="cellIs" dxfId="5703" priority="1997" operator="lessThan">
      <formula>0.8</formula>
    </cfRule>
  </conditionalFormatting>
  <conditionalFormatting sqref="P32:P39">
    <cfRule type="cellIs" dxfId="5702" priority="1995" operator="greaterThan">
      <formula>0</formula>
    </cfRule>
  </conditionalFormatting>
  <conditionalFormatting sqref="Q32:Q39">
    <cfRule type="cellIs" dxfId="5701" priority="1994" operator="lessThan">
      <formula>0</formula>
    </cfRule>
  </conditionalFormatting>
  <conditionalFormatting sqref="R32:R39">
    <cfRule type="cellIs" dxfId="5700" priority="1992" operator="lessThan">
      <formula>0.8</formula>
    </cfRule>
    <cfRule type="cellIs" dxfId="5699" priority="1993" operator="greaterThan">
      <formula>1</formula>
    </cfRule>
  </conditionalFormatting>
  <conditionalFormatting sqref="R32:R39">
    <cfRule type="cellIs" dxfId="5698" priority="1990" operator="greaterThan">
      <formula>1</formula>
    </cfRule>
    <cfRule type="cellIs" dxfId="5697" priority="1991" operator="lessThan">
      <formula>0.8</formula>
    </cfRule>
  </conditionalFormatting>
  <conditionalFormatting sqref="P32:P39">
    <cfRule type="cellIs" dxfId="5696" priority="1989" operator="greaterThan">
      <formula>0</formula>
    </cfRule>
  </conditionalFormatting>
  <conditionalFormatting sqref="Q32:Q39">
    <cfRule type="cellIs" dxfId="5695" priority="1988" operator="lessThan">
      <formula>0</formula>
    </cfRule>
  </conditionalFormatting>
  <conditionalFormatting sqref="R32:R39">
    <cfRule type="cellIs" dxfId="5694" priority="1986" operator="lessThan">
      <formula>0.8</formula>
    </cfRule>
    <cfRule type="cellIs" dxfId="5693" priority="1987" operator="greaterThan">
      <formula>1</formula>
    </cfRule>
  </conditionalFormatting>
  <conditionalFormatting sqref="R32:R39">
    <cfRule type="cellIs" dxfId="5692" priority="1984" operator="greaterThan">
      <formula>1</formula>
    </cfRule>
    <cfRule type="cellIs" dxfId="5691" priority="1985" operator="lessThan">
      <formula>0.8</formula>
    </cfRule>
  </conditionalFormatting>
  <conditionalFormatting sqref="P32:P39">
    <cfRule type="cellIs" dxfId="5690" priority="1983" operator="greaterThan">
      <formula>0</formula>
    </cfRule>
  </conditionalFormatting>
  <conditionalFormatting sqref="P32:P39">
    <cfRule type="cellIs" dxfId="5689" priority="1977" operator="greaterThan">
      <formula>0</formula>
    </cfRule>
  </conditionalFormatting>
  <conditionalFormatting sqref="Q32:Q39">
    <cfRule type="cellIs" dxfId="5688" priority="1982" operator="lessThan">
      <formula>0</formula>
    </cfRule>
  </conditionalFormatting>
  <conditionalFormatting sqref="R32:R39">
    <cfRule type="cellIs" dxfId="5687" priority="1980" operator="lessThan">
      <formula>0.8</formula>
    </cfRule>
    <cfRule type="cellIs" dxfId="5686" priority="1981" operator="greaterThan">
      <formula>1</formula>
    </cfRule>
  </conditionalFormatting>
  <conditionalFormatting sqref="R32:R39">
    <cfRule type="cellIs" dxfId="5685" priority="1978" operator="greaterThan">
      <formula>1</formula>
    </cfRule>
    <cfRule type="cellIs" dxfId="5684" priority="1979" operator="lessThan">
      <formula>0.8</formula>
    </cfRule>
  </conditionalFormatting>
  <conditionalFormatting sqref="P32:P39">
    <cfRule type="cellIs" dxfId="5683" priority="1971" operator="greaterThan">
      <formula>0</formula>
    </cfRule>
  </conditionalFormatting>
  <conditionalFormatting sqref="Q32:Q39">
    <cfRule type="cellIs" dxfId="5682" priority="1976" operator="lessThan">
      <formula>0</formula>
    </cfRule>
  </conditionalFormatting>
  <conditionalFormatting sqref="R32:R39">
    <cfRule type="cellIs" dxfId="5681" priority="1974" operator="lessThan">
      <formula>0.8</formula>
    </cfRule>
    <cfRule type="cellIs" dxfId="5680" priority="1975" operator="greaterThan">
      <formula>1</formula>
    </cfRule>
  </conditionalFormatting>
  <conditionalFormatting sqref="R32:R39">
    <cfRule type="cellIs" dxfId="5679" priority="1972" operator="greaterThan">
      <formula>1</formula>
    </cfRule>
    <cfRule type="cellIs" dxfId="5678" priority="1973" operator="lessThan">
      <formula>0.8</formula>
    </cfRule>
  </conditionalFormatting>
  <conditionalFormatting sqref="R32:R39">
    <cfRule type="cellIs" dxfId="5677" priority="1968" operator="lessThan">
      <formula>0.8</formula>
    </cfRule>
    <cfRule type="cellIs" dxfId="5676" priority="1969" operator="greaterThan">
      <formula>1</formula>
    </cfRule>
  </conditionalFormatting>
  <conditionalFormatting sqref="R32:R39">
    <cfRule type="cellIs" dxfId="5675" priority="1966" operator="greaterThan">
      <formula>1</formula>
    </cfRule>
    <cfRule type="cellIs" dxfId="5674" priority="1967" operator="lessThan">
      <formula>0.8</formula>
    </cfRule>
  </conditionalFormatting>
  <conditionalFormatting sqref="P32:P39">
    <cfRule type="cellIs" dxfId="5673" priority="1965" operator="greaterThan">
      <formula>0</formula>
    </cfRule>
  </conditionalFormatting>
  <conditionalFormatting sqref="Q32:Q39">
    <cfRule type="cellIs" dxfId="5672" priority="1970" operator="lessThan">
      <formula>0</formula>
    </cfRule>
  </conditionalFormatting>
  <conditionalFormatting sqref="Q32:Q39">
    <cfRule type="cellIs" dxfId="5671" priority="1959" operator="lessThan">
      <formula>0</formula>
    </cfRule>
  </conditionalFormatting>
  <conditionalFormatting sqref="P32:P39">
    <cfRule type="cellIs" dxfId="5670" priority="1960" operator="greaterThan">
      <formula>0</formula>
    </cfRule>
  </conditionalFormatting>
  <conditionalFormatting sqref="R32:R39">
    <cfRule type="cellIs" dxfId="5669" priority="1963" operator="lessThan">
      <formula>0.8</formula>
    </cfRule>
    <cfRule type="cellIs" dxfId="5668" priority="1964" operator="greaterThan">
      <formula>1</formula>
    </cfRule>
  </conditionalFormatting>
  <conditionalFormatting sqref="R32:R39">
    <cfRule type="cellIs" dxfId="5667" priority="1961" operator="greaterThan">
      <formula>1</formula>
    </cfRule>
    <cfRule type="cellIs" dxfId="5666" priority="1962" operator="lessThan">
      <formula>0.8</formula>
    </cfRule>
  </conditionalFormatting>
  <conditionalFormatting sqref="Q32:Q39">
    <cfRule type="cellIs" dxfId="5665" priority="1953" operator="lessThan">
      <formula>0</formula>
    </cfRule>
  </conditionalFormatting>
  <conditionalFormatting sqref="R32:R39">
    <cfRule type="cellIs" dxfId="5664" priority="1957" operator="lessThan">
      <formula>0.8</formula>
    </cfRule>
    <cfRule type="cellIs" dxfId="5663" priority="1958" operator="greaterThan">
      <formula>1</formula>
    </cfRule>
  </conditionalFormatting>
  <conditionalFormatting sqref="R32:R39">
    <cfRule type="cellIs" dxfId="5662" priority="1955" operator="greaterThan">
      <formula>1</formula>
    </cfRule>
    <cfRule type="cellIs" dxfId="5661" priority="1956" operator="lessThan">
      <formula>0.8</formula>
    </cfRule>
  </conditionalFormatting>
  <conditionalFormatting sqref="P32:P39">
    <cfRule type="cellIs" dxfId="5660" priority="1954" operator="greaterThan">
      <formula>0</formula>
    </cfRule>
  </conditionalFormatting>
  <conditionalFormatting sqref="Q32:Q39">
    <cfRule type="cellIs" dxfId="5659" priority="1952" operator="lessThan">
      <formula>0</formula>
    </cfRule>
  </conditionalFormatting>
  <conditionalFormatting sqref="R32:R39">
    <cfRule type="cellIs" dxfId="5658" priority="1950" operator="lessThan">
      <formula>0.8</formula>
    </cfRule>
    <cfRule type="cellIs" dxfId="5657" priority="1951" operator="greaterThan">
      <formula>1</formula>
    </cfRule>
  </conditionalFormatting>
  <conditionalFormatting sqref="R32:R39">
    <cfRule type="cellIs" dxfId="5656" priority="1948" operator="greaterThan">
      <formula>1</formula>
    </cfRule>
    <cfRule type="cellIs" dxfId="5655" priority="1949" operator="lessThan">
      <formula>0.8</formula>
    </cfRule>
  </conditionalFormatting>
  <conditionalFormatting sqref="P32:P39">
    <cfRule type="cellIs" dxfId="5654" priority="1947" operator="greaterThan">
      <formula>0</formula>
    </cfRule>
  </conditionalFormatting>
  <conditionalFormatting sqref="Q32:Q39">
    <cfRule type="cellIs" dxfId="5653" priority="1946" operator="lessThan">
      <formula>0</formula>
    </cfRule>
  </conditionalFormatting>
  <conditionalFormatting sqref="R32:R39">
    <cfRule type="cellIs" dxfId="5652" priority="1944" operator="lessThan">
      <formula>0.8</formula>
    </cfRule>
    <cfRule type="cellIs" dxfId="5651" priority="1945" operator="greaterThan">
      <formula>1</formula>
    </cfRule>
  </conditionalFormatting>
  <conditionalFormatting sqref="R32:R39">
    <cfRule type="cellIs" dxfId="5650" priority="1942" operator="greaterThan">
      <formula>1</formula>
    </cfRule>
    <cfRule type="cellIs" dxfId="5649" priority="1943" operator="lessThan">
      <formula>0.8</formula>
    </cfRule>
  </conditionalFormatting>
  <conditionalFormatting sqref="P32:P39">
    <cfRule type="cellIs" dxfId="5648" priority="1941" operator="greaterThan">
      <formula>0</formula>
    </cfRule>
  </conditionalFormatting>
  <conditionalFormatting sqref="Q32:Q39">
    <cfRule type="cellIs" dxfId="5647" priority="1935" operator="lessThan">
      <formula>0</formula>
    </cfRule>
  </conditionalFormatting>
  <conditionalFormatting sqref="P32:P39">
    <cfRule type="cellIs" dxfId="5646" priority="1936" operator="greaterThan">
      <formula>0</formula>
    </cfRule>
  </conditionalFormatting>
  <conditionalFormatting sqref="R32:R39">
    <cfRule type="cellIs" dxfId="5645" priority="1939" operator="lessThan">
      <formula>0.8</formula>
    </cfRule>
    <cfRule type="cellIs" dxfId="5644" priority="1940" operator="greaterThan">
      <formula>1</formula>
    </cfRule>
  </conditionalFormatting>
  <conditionalFormatting sqref="R32:R39">
    <cfRule type="cellIs" dxfId="5643" priority="1937" operator="greaterThan">
      <formula>1</formula>
    </cfRule>
    <cfRule type="cellIs" dxfId="5642" priority="1938" operator="lessThan">
      <formula>0.8</formula>
    </cfRule>
  </conditionalFormatting>
  <conditionalFormatting sqref="Q32:Q39">
    <cfRule type="cellIs" dxfId="5641" priority="1929" operator="lessThan">
      <formula>0</formula>
    </cfRule>
  </conditionalFormatting>
  <conditionalFormatting sqref="R32:R39">
    <cfRule type="cellIs" dxfId="5640" priority="1933" operator="lessThan">
      <formula>0.8</formula>
    </cfRule>
    <cfRule type="cellIs" dxfId="5639" priority="1934" operator="greaterThan">
      <formula>1</formula>
    </cfRule>
  </conditionalFormatting>
  <conditionalFormatting sqref="R32:R39">
    <cfRule type="cellIs" dxfId="5638" priority="1931" operator="greaterThan">
      <formula>1</formula>
    </cfRule>
    <cfRule type="cellIs" dxfId="5637" priority="1932" operator="lessThan">
      <formula>0.8</formula>
    </cfRule>
  </conditionalFormatting>
  <conditionalFormatting sqref="P32:P39">
    <cfRule type="cellIs" dxfId="5636" priority="1930" operator="greaterThan">
      <formula>0</formula>
    </cfRule>
  </conditionalFormatting>
  <conditionalFormatting sqref="Q32:Q39">
    <cfRule type="cellIs" dxfId="5635" priority="1928" operator="lessThan">
      <formula>0</formula>
    </cfRule>
  </conditionalFormatting>
  <conditionalFormatting sqref="R32:R39">
    <cfRule type="cellIs" dxfId="5634" priority="1926" operator="lessThan">
      <formula>0.8</formula>
    </cfRule>
    <cfRule type="cellIs" dxfId="5633" priority="1927" operator="greaterThan">
      <formula>1</formula>
    </cfRule>
  </conditionalFormatting>
  <conditionalFormatting sqref="R32:R39">
    <cfRule type="cellIs" dxfId="5632" priority="1924" operator="greaterThan">
      <formula>1</formula>
    </cfRule>
    <cfRule type="cellIs" dxfId="5631" priority="1925" operator="lessThan">
      <formula>0.8</formula>
    </cfRule>
  </conditionalFormatting>
  <conditionalFormatting sqref="P32:P39">
    <cfRule type="cellIs" dxfId="5630" priority="1923" operator="greaterThan">
      <formula>0</formula>
    </cfRule>
  </conditionalFormatting>
  <conditionalFormatting sqref="Q32:Q39">
    <cfRule type="cellIs" dxfId="5629" priority="1922" operator="lessThan">
      <formula>0</formula>
    </cfRule>
  </conditionalFormatting>
  <conditionalFormatting sqref="R32:R39">
    <cfRule type="cellIs" dxfId="5628" priority="1920" operator="lessThan">
      <formula>0.8</formula>
    </cfRule>
    <cfRule type="cellIs" dxfId="5627" priority="1921" operator="greaterThan">
      <formula>1</formula>
    </cfRule>
  </conditionalFormatting>
  <conditionalFormatting sqref="R32:R39">
    <cfRule type="cellIs" dxfId="5626" priority="1918" operator="greaterThan">
      <formula>1</formula>
    </cfRule>
    <cfRule type="cellIs" dxfId="5625" priority="1919" operator="lessThan">
      <formula>0.8</formula>
    </cfRule>
  </conditionalFormatting>
  <conditionalFormatting sqref="P32:P39">
    <cfRule type="cellIs" dxfId="5624" priority="1917" operator="greaterThan">
      <formula>0</formula>
    </cfRule>
  </conditionalFormatting>
  <conditionalFormatting sqref="Q19:Q24">
    <cfRule type="cellIs" dxfId="5623" priority="1916" operator="lessThan">
      <formula>0</formula>
    </cfRule>
  </conditionalFormatting>
  <conditionalFormatting sqref="R19:R24">
    <cfRule type="cellIs" dxfId="5622" priority="1914" operator="lessThan">
      <formula>0.8</formula>
    </cfRule>
    <cfRule type="cellIs" dxfId="5621" priority="1915" operator="greaterThan">
      <formula>1</formula>
    </cfRule>
  </conditionalFormatting>
  <conditionalFormatting sqref="R19:R24">
    <cfRule type="cellIs" dxfId="5620" priority="1912" operator="greaterThan">
      <formula>1</formula>
    </cfRule>
    <cfRule type="cellIs" dxfId="5619" priority="1913" operator="lessThan">
      <formula>0.8</formula>
    </cfRule>
  </conditionalFormatting>
  <conditionalFormatting sqref="P19:P24">
    <cfRule type="cellIs" dxfId="5618" priority="1911" operator="greaterThan">
      <formula>0</formula>
    </cfRule>
  </conditionalFormatting>
  <conditionalFormatting sqref="R19:R24">
    <cfRule type="cellIs" dxfId="5617" priority="1908" operator="lessThan">
      <formula>0.8</formula>
    </cfRule>
    <cfRule type="cellIs" dxfId="5616" priority="1909" operator="greaterThan">
      <formula>1</formula>
    </cfRule>
  </conditionalFormatting>
  <conditionalFormatting sqref="R19:R24">
    <cfRule type="cellIs" dxfId="5615" priority="1906" operator="greaterThan">
      <formula>1</formula>
    </cfRule>
    <cfRule type="cellIs" dxfId="5614" priority="1907" operator="lessThan">
      <formula>0.8</formula>
    </cfRule>
  </conditionalFormatting>
  <conditionalFormatting sqref="P19:P24">
    <cfRule type="cellIs" dxfId="5613" priority="1905" operator="greaterThan">
      <formula>0</formula>
    </cfRule>
  </conditionalFormatting>
  <conditionalFormatting sqref="Q19:Q24">
    <cfRule type="cellIs" dxfId="5612" priority="1910" operator="lessThan">
      <formula>0</formula>
    </cfRule>
  </conditionalFormatting>
  <conditionalFormatting sqref="R19:R24">
    <cfRule type="cellIs" dxfId="5611" priority="1902" operator="lessThan">
      <formula>0.8</formula>
    </cfRule>
    <cfRule type="cellIs" dxfId="5610" priority="1903" operator="greaterThan">
      <formula>1</formula>
    </cfRule>
  </conditionalFormatting>
  <conditionalFormatting sqref="R19:R24">
    <cfRule type="cellIs" dxfId="5609" priority="1900" operator="greaterThan">
      <formula>1</formula>
    </cfRule>
    <cfRule type="cellIs" dxfId="5608" priority="1901" operator="lessThan">
      <formula>0.8</formula>
    </cfRule>
  </conditionalFormatting>
  <conditionalFormatting sqref="P19:P24">
    <cfRule type="cellIs" dxfId="5607" priority="1899" operator="greaterThan">
      <formula>0</formula>
    </cfRule>
  </conditionalFormatting>
  <conditionalFormatting sqref="Q19:Q24">
    <cfRule type="cellIs" dxfId="5606" priority="1904" operator="lessThan">
      <formula>0</formula>
    </cfRule>
  </conditionalFormatting>
  <conditionalFormatting sqref="Q19:Q24">
    <cfRule type="cellIs" dxfId="5605" priority="1898" operator="lessThan">
      <formula>0</formula>
    </cfRule>
  </conditionalFormatting>
  <conditionalFormatting sqref="R19:R24">
    <cfRule type="cellIs" dxfId="5604" priority="1896" operator="lessThan">
      <formula>0.8</formula>
    </cfRule>
    <cfRule type="cellIs" dxfId="5603" priority="1897" operator="greaterThan">
      <formula>1</formula>
    </cfRule>
  </conditionalFormatting>
  <conditionalFormatting sqref="R19:R24">
    <cfRule type="cellIs" dxfId="5602" priority="1894" operator="greaterThan">
      <formula>1</formula>
    </cfRule>
    <cfRule type="cellIs" dxfId="5601" priority="1895" operator="lessThan">
      <formula>0.8</formula>
    </cfRule>
  </conditionalFormatting>
  <conditionalFormatting sqref="P19:P24">
    <cfRule type="cellIs" dxfId="5600" priority="1893" operator="greaterThan">
      <formula>0</formula>
    </cfRule>
  </conditionalFormatting>
  <conditionalFormatting sqref="Q135:Q136">
    <cfRule type="cellIs" dxfId="5599" priority="1892" operator="lessThan">
      <formula>0</formula>
    </cfRule>
  </conditionalFormatting>
  <conditionalFormatting sqref="R135:R136">
    <cfRule type="cellIs" dxfId="5598" priority="1890" operator="lessThan">
      <formula>0.8</formula>
    </cfRule>
    <cfRule type="cellIs" dxfId="5597" priority="1891" operator="greaterThan">
      <formula>1</formula>
    </cfRule>
  </conditionalFormatting>
  <conditionalFormatting sqref="R135:R136">
    <cfRule type="cellIs" dxfId="5596" priority="1888" operator="greaterThan">
      <formula>1</formula>
    </cfRule>
    <cfRule type="cellIs" dxfId="5595" priority="1889" operator="lessThan">
      <formula>0.8</formula>
    </cfRule>
  </conditionalFormatting>
  <conditionalFormatting sqref="P135:P136">
    <cfRule type="cellIs" dxfId="5594" priority="1887" operator="greaterThan">
      <formula>0</formula>
    </cfRule>
  </conditionalFormatting>
  <conditionalFormatting sqref="P135:P136">
    <cfRule type="cellIs" dxfId="5593" priority="1881" operator="greaterThan">
      <formula>0</formula>
    </cfRule>
  </conditionalFormatting>
  <conditionalFormatting sqref="Q135:Q136">
    <cfRule type="cellIs" dxfId="5592" priority="1886" operator="lessThan">
      <formula>0</formula>
    </cfRule>
  </conditionalFormatting>
  <conditionalFormatting sqref="R135:R136">
    <cfRule type="cellIs" dxfId="5591" priority="1884" operator="lessThan">
      <formula>0.8</formula>
    </cfRule>
    <cfRule type="cellIs" dxfId="5590" priority="1885" operator="greaterThan">
      <formula>1</formula>
    </cfRule>
  </conditionalFormatting>
  <conditionalFormatting sqref="R135:R136">
    <cfRule type="cellIs" dxfId="5589" priority="1882" operator="greaterThan">
      <formula>1</formula>
    </cfRule>
    <cfRule type="cellIs" dxfId="5588" priority="1883" operator="lessThan">
      <formula>0.8</formula>
    </cfRule>
  </conditionalFormatting>
  <conditionalFormatting sqref="Q25">
    <cfRule type="cellIs" dxfId="5587" priority="1880" operator="lessThan">
      <formula>0</formula>
    </cfRule>
  </conditionalFormatting>
  <conditionalFormatting sqref="R25">
    <cfRule type="cellIs" dxfId="5586" priority="1878" operator="lessThan">
      <formula>0.8</formula>
    </cfRule>
    <cfRule type="cellIs" dxfId="5585" priority="1879" operator="greaterThan">
      <formula>1</formula>
    </cfRule>
  </conditionalFormatting>
  <conditionalFormatting sqref="R25">
    <cfRule type="cellIs" dxfId="5584" priority="1876" operator="greaterThan">
      <formula>1</formula>
    </cfRule>
    <cfRule type="cellIs" dxfId="5583" priority="1877" operator="lessThan">
      <formula>0.8</formula>
    </cfRule>
  </conditionalFormatting>
  <conditionalFormatting sqref="P25">
    <cfRule type="cellIs" dxfId="5582" priority="1875" operator="greaterThan">
      <formula>0</formula>
    </cfRule>
  </conditionalFormatting>
  <conditionalFormatting sqref="R25">
    <cfRule type="cellIs" dxfId="5581" priority="1872" operator="lessThan">
      <formula>0.8</formula>
    </cfRule>
    <cfRule type="cellIs" dxfId="5580" priority="1873" operator="greaterThan">
      <formula>1</formula>
    </cfRule>
  </conditionalFormatting>
  <conditionalFormatting sqref="R25">
    <cfRule type="cellIs" dxfId="5579" priority="1870" operator="greaterThan">
      <formula>1</formula>
    </cfRule>
    <cfRule type="cellIs" dxfId="5578" priority="1871" operator="lessThan">
      <formula>0.8</formula>
    </cfRule>
  </conditionalFormatting>
  <conditionalFormatting sqref="P25">
    <cfRule type="cellIs" dxfId="5577" priority="1869" operator="greaterThan">
      <formula>0</formula>
    </cfRule>
  </conditionalFormatting>
  <conditionalFormatting sqref="Q25">
    <cfRule type="cellIs" dxfId="5576" priority="1874" operator="lessThan">
      <formula>0</formula>
    </cfRule>
  </conditionalFormatting>
  <conditionalFormatting sqref="R25">
    <cfRule type="cellIs" dxfId="5575" priority="1866" operator="lessThan">
      <formula>0.8</formula>
    </cfRule>
    <cfRule type="cellIs" dxfId="5574" priority="1867" operator="greaterThan">
      <formula>1</formula>
    </cfRule>
  </conditionalFormatting>
  <conditionalFormatting sqref="R25">
    <cfRule type="cellIs" dxfId="5573" priority="1864" operator="greaterThan">
      <formula>1</formula>
    </cfRule>
    <cfRule type="cellIs" dxfId="5572" priority="1865" operator="lessThan">
      <formula>0.8</formula>
    </cfRule>
  </conditionalFormatting>
  <conditionalFormatting sqref="P25">
    <cfRule type="cellIs" dxfId="5571" priority="1863" operator="greaterThan">
      <formula>0</formula>
    </cfRule>
  </conditionalFormatting>
  <conditionalFormatting sqref="Q25">
    <cfRule type="cellIs" dxfId="5570" priority="1868" operator="lessThan">
      <formula>0</formula>
    </cfRule>
  </conditionalFormatting>
  <conditionalFormatting sqref="Q25">
    <cfRule type="cellIs" dxfId="5569" priority="1862" operator="lessThan">
      <formula>0</formula>
    </cfRule>
  </conditionalFormatting>
  <conditionalFormatting sqref="R25">
    <cfRule type="cellIs" dxfId="5568" priority="1860" operator="lessThan">
      <formula>0.8</formula>
    </cfRule>
    <cfRule type="cellIs" dxfId="5567" priority="1861" operator="greaterThan">
      <formula>1</formula>
    </cfRule>
  </conditionalFormatting>
  <conditionalFormatting sqref="R25">
    <cfRule type="cellIs" dxfId="5566" priority="1858" operator="greaterThan">
      <formula>1</formula>
    </cfRule>
    <cfRule type="cellIs" dxfId="5565" priority="1859" operator="lessThan">
      <formula>0.8</formula>
    </cfRule>
  </conditionalFormatting>
  <conditionalFormatting sqref="P25">
    <cfRule type="cellIs" dxfId="5564" priority="1857" operator="greaterThan">
      <formula>0</formula>
    </cfRule>
  </conditionalFormatting>
  <conditionalFormatting sqref="Q25">
    <cfRule type="cellIs" dxfId="5563" priority="1856" operator="lessThan">
      <formula>0</formula>
    </cfRule>
  </conditionalFormatting>
  <conditionalFormatting sqref="R25">
    <cfRule type="cellIs" dxfId="5562" priority="1854" operator="lessThan">
      <formula>0.8</formula>
    </cfRule>
    <cfRule type="cellIs" dxfId="5561" priority="1855" operator="greaterThan">
      <formula>1</formula>
    </cfRule>
  </conditionalFormatting>
  <conditionalFormatting sqref="R25">
    <cfRule type="cellIs" dxfId="5560" priority="1852" operator="greaterThan">
      <formula>1</formula>
    </cfRule>
    <cfRule type="cellIs" dxfId="5559" priority="1853" operator="lessThan">
      <formula>0.8</formula>
    </cfRule>
  </conditionalFormatting>
  <conditionalFormatting sqref="P25">
    <cfRule type="cellIs" dxfId="5558" priority="1851" operator="greaterThan">
      <formula>0</formula>
    </cfRule>
  </conditionalFormatting>
  <conditionalFormatting sqref="P19:P24">
    <cfRule type="cellIs" dxfId="5557" priority="1845" operator="greaterThan">
      <formula>0</formula>
    </cfRule>
  </conditionalFormatting>
  <conditionalFormatting sqref="Q19:Q24">
    <cfRule type="cellIs" dxfId="5556" priority="1850" operator="lessThan">
      <formula>0</formula>
    </cfRule>
  </conditionalFormatting>
  <conditionalFormatting sqref="R19:R24">
    <cfRule type="cellIs" dxfId="5555" priority="1848" operator="lessThan">
      <formula>0.8</formula>
    </cfRule>
    <cfRule type="cellIs" dxfId="5554" priority="1849" operator="greaterThan">
      <formula>1</formula>
    </cfRule>
  </conditionalFormatting>
  <conditionalFormatting sqref="R19:R24">
    <cfRule type="cellIs" dxfId="5553" priority="1846" operator="greaterThan">
      <formula>1</formula>
    </cfRule>
    <cfRule type="cellIs" dxfId="5552" priority="1847" operator="lessThan">
      <formula>0.8</formula>
    </cfRule>
  </conditionalFormatting>
  <conditionalFormatting sqref="Q19:Q24">
    <cfRule type="cellIs" dxfId="5551" priority="1844" operator="lessThan">
      <formula>0</formula>
    </cfRule>
  </conditionalFormatting>
  <conditionalFormatting sqref="R19:R24">
    <cfRule type="cellIs" dxfId="5550" priority="1842" operator="lessThan">
      <formula>0.8</formula>
    </cfRule>
    <cfRule type="cellIs" dxfId="5549" priority="1843" operator="greaterThan">
      <formula>1</formula>
    </cfRule>
  </conditionalFormatting>
  <conditionalFormatting sqref="R19:R24">
    <cfRule type="cellIs" dxfId="5548" priority="1840" operator="greaterThan">
      <formula>1</formula>
    </cfRule>
    <cfRule type="cellIs" dxfId="5547" priority="1841" operator="lessThan">
      <formula>0.8</formula>
    </cfRule>
  </conditionalFormatting>
  <conditionalFormatting sqref="P19:P24">
    <cfRule type="cellIs" dxfId="5546" priority="1839" operator="greaterThan">
      <formula>0</formula>
    </cfRule>
  </conditionalFormatting>
  <conditionalFormatting sqref="Q19:Q24">
    <cfRule type="cellIs" dxfId="5545" priority="1838" operator="lessThan">
      <formula>0</formula>
    </cfRule>
  </conditionalFormatting>
  <conditionalFormatting sqref="R19:R24">
    <cfRule type="cellIs" dxfId="5544" priority="1836" operator="lessThan">
      <formula>0.8</formula>
    </cfRule>
    <cfRule type="cellIs" dxfId="5543" priority="1837" operator="greaterThan">
      <formula>1</formula>
    </cfRule>
  </conditionalFormatting>
  <conditionalFormatting sqref="R19:R24">
    <cfRule type="cellIs" dxfId="5542" priority="1834" operator="greaterThan">
      <formula>1</formula>
    </cfRule>
    <cfRule type="cellIs" dxfId="5541" priority="1835" operator="lessThan">
      <formula>0.8</formula>
    </cfRule>
  </conditionalFormatting>
  <conditionalFormatting sqref="P19:P24">
    <cfRule type="cellIs" dxfId="5540" priority="1833" operator="greaterThan">
      <formula>0</formula>
    </cfRule>
  </conditionalFormatting>
  <conditionalFormatting sqref="Q19:Q24">
    <cfRule type="cellIs" dxfId="5539" priority="1832" operator="lessThan">
      <formula>0</formula>
    </cfRule>
  </conditionalFormatting>
  <conditionalFormatting sqref="R19:R24">
    <cfRule type="cellIs" dxfId="5538" priority="1830" operator="lessThan">
      <formula>0.8</formula>
    </cfRule>
    <cfRule type="cellIs" dxfId="5537" priority="1831" operator="greaterThan">
      <formula>1</formula>
    </cfRule>
  </conditionalFormatting>
  <conditionalFormatting sqref="R19:R24">
    <cfRule type="cellIs" dxfId="5536" priority="1828" operator="greaterThan">
      <formula>1</formula>
    </cfRule>
    <cfRule type="cellIs" dxfId="5535" priority="1829" operator="lessThan">
      <formula>0.8</formula>
    </cfRule>
  </conditionalFormatting>
  <conditionalFormatting sqref="P19:P24">
    <cfRule type="cellIs" dxfId="5534" priority="1827" operator="greaterThan">
      <formula>0</formula>
    </cfRule>
  </conditionalFormatting>
  <conditionalFormatting sqref="R19:R24">
    <cfRule type="cellIs" dxfId="5533" priority="1824" operator="lessThan">
      <formula>0.8</formula>
    </cfRule>
    <cfRule type="cellIs" dxfId="5532" priority="1825" operator="greaterThan">
      <formula>1</formula>
    </cfRule>
  </conditionalFormatting>
  <conditionalFormatting sqref="R19:R24">
    <cfRule type="cellIs" dxfId="5531" priority="1822" operator="greaterThan">
      <formula>1</formula>
    </cfRule>
    <cfRule type="cellIs" dxfId="5530" priority="1823" operator="lessThan">
      <formula>0.8</formula>
    </cfRule>
  </conditionalFormatting>
  <conditionalFormatting sqref="P19:P24">
    <cfRule type="cellIs" dxfId="5529" priority="1821" operator="greaterThan">
      <formula>0</formula>
    </cfRule>
  </conditionalFormatting>
  <conditionalFormatting sqref="Q19:Q24">
    <cfRule type="cellIs" dxfId="5528" priority="1826" operator="lessThan">
      <formula>0</formula>
    </cfRule>
  </conditionalFormatting>
  <conditionalFormatting sqref="Q19:Q24">
    <cfRule type="cellIs" dxfId="5527" priority="1820" operator="lessThan">
      <formula>0</formula>
    </cfRule>
  </conditionalFormatting>
  <conditionalFormatting sqref="R19:R24">
    <cfRule type="cellIs" dxfId="5526" priority="1818" operator="lessThan">
      <formula>0.8</formula>
    </cfRule>
    <cfRule type="cellIs" dxfId="5525" priority="1819" operator="greaterThan">
      <formula>1</formula>
    </cfRule>
  </conditionalFormatting>
  <conditionalFormatting sqref="R19:R24">
    <cfRule type="cellIs" dxfId="5524" priority="1816" operator="greaterThan">
      <formula>1</formula>
    </cfRule>
    <cfRule type="cellIs" dxfId="5523" priority="1817" operator="lessThan">
      <formula>0.8</formula>
    </cfRule>
  </conditionalFormatting>
  <conditionalFormatting sqref="P19:P24">
    <cfRule type="cellIs" dxfId="5522" priority="1815" operator="greaterThan">
      <formula>0</formula>
    </cfRule>
  </conditionalFormatting>
  <conditionalFormatting sqref="P19:P24">
    <cfRule type="cellIs" dxfId="5521" priority="1809" operator="greaterThan">
      <formula>0</formula>
    </cfRule>
  </conditionalFormatting>
  <conditionalFormatting sqref="Q19:Q24">
    <cfRule type="cellIs" dxfId="5520" priority="1814" operator="lessThan">
      <formula>0</formula>
    </cfRule>
  </conditionalFormatting>
  <conditionalFormatting sqref="R19:R24">
    <cfRule type="cellIs" dxfId="5519" priority="1812" operator="lessThan">
      <formula>0.8</formula>
    </cfRule>
    <cfRule type="cellIs" dxfId="5518" priority="1813" operator="greaterThan">
      <formula>1</formula>
    </cfRule>
  </conditionalFormatting>
  <conditionalFormatting sqref="R19:R24">
    <cfRule type="cellIs" dxfId="5517" priority="1810" operator="greaterThan">
      <formula>1</formula>
    </cfRule>
    <cfRule type="cellIs" dxfId="5516" priority="1811" operator="lessThan">
      <formula>0.8</formula>
    </cfRule>
  </conditionalFormatting>
  <conditionalFormatting sqref="P19:P24">
    <cfRule type="cellIs" dxfId="5515" priority="1803" operator="greaterThan">
      <formula>0</formula>
    </cfRule>
  </conditionalFormatting>
  <conditionalFormatting sqref="Q19:Q24">
    <cfRule type="cellIs" dxfId="5514" priority="1808" operator="lessThan">
      <formula>0</formula>
    </cfRule>
  </conditionalFormatting>
  <conditionalFormatting sqref="R19:R24">
    <cfRule type="cellIs" dxfId="5513" priority="1806" operator="lessThan">
      <formula>0.8</formula>
    </cfRule>
    <cfRule type="cellIs" dxfId="5512" priority="1807" operator="greaterThan">
      <formula>1</formula>
    </cfRule>
  </conditionalFormatting>
  <conditionalFormatting sqref="R19:R24">
    <cfRule type="cellIs" dxfId="5511" priority="1804" operator="greaterThan">
      <formula>1</formula>
    </cfRule>
    <cfRule type="cellIs" dxfId="5510" priority="1805" operator="lessThan">
      <formula>0.8</formula>
    </cfRule>
  </conditionalFormatting>
  <conditionalFormatting sqref="Q19:Q24">
    <cfRule type="cellIs" dxfId="5509" priority="1802" operator="lessThan">
      <formula>0</formula>
    </cfRule>
  </conditionalFormatting>
  <conditionalFormatting sqref="R19:R24">
    <cfRule type="cellIs" dxfId="5508" priority="1800" operator="lessThan">
      <formula>0.8</formula>
    </cfRule>
    <cfRule type="cellIs" dxfId="5507" priority="1801" operator="greaterThan">
      <formula>1</formula>
    </cfRule>
  </conditionalFormatting>
  <conditionalFormatting sqref="R19:R24">
    <cfRule type="cellIs" dxfId="5506" priority="1798" operator="greaterThan">
      <formula>1</formula>
    </cfRule>
    <cfRule type="cellIs" dxfId="5505" priority="1799" operator="lessThan">
      <formula>0.8</formula>
    </cfRule>
  </conditionalFormatting>
  <conditionalFormatting sqref="P19:P24">
    <cfRule type="cellIs" dxfId="5504" priority="1797" operator="greaterThan">
      <formula>0</formula>
    </cfRule>
  </conditionalFormatting>
  <conditionalFormatting sqref="Q19:Q24">
    <cfRule type="cellIs" dxfId="5503" priority="1796" operator="lessThan">
      <formula>0</formula>
    </cfRule>
  </conditionalFormatting>
  <conditionalFormatting sqref="R19:R24">
    <cfRule type="cellIs" dxfId="5502" priority="1794" operator="lessThan">
      <formula>0.8</formula>
    </cfRule>
    <cfRule type="cellIs" dxfId="5501" priority="1795" operator="greaterThan">
      <formula>1</formula>
    </cfRule>
  </conditionalFormatting>
  <conditionalFormatting sqref="R19:R24">
    <cfRule type="cellIs" dxfId="5500" priority="1792" operator="greaterThan">
      <formula>1</formula>
    </cfRule>
    <cfRule type="cellIs" dxfId="5499" priority="1793" operator="lessThan">
      <formula>0.8</formula>
    </cfRule>
  </conditionalFormatting>
  <conditionalFormatting sqref="P19:P24">
    <cfRule type="cellIs" dxfId="5498" priority="1791" operator="greaterThan">
      <formula>0</formula>
    </cfRule>
  </conditionalFormatting>
  <conditionalFormatting sqref="P19:P24">
    <cfRule type="cellIs" dxfId="5497" priority="1785" operator="greaterThan">
      <formula>0</formula>
    </cfRule>
  </conditionalFormatting>
  <conditionalFormatting sqref="Q19:Q24">
    <cfRule type="cellIs" dxfId="5496" priority="1790" operator="lessThan">
      <formula>0</formula>
    </cfRule>
  </conditionalFormatting>
  <conditionalFormatting sqref="R19:R24">
    <cfRule type="cellIs" dxfId="5495" priority="1788" operator="lessThan">
      <formula>0.8</formula>
    </cfRule>
    <cfRule type="cellIs" dxfId="5494" priority="1789" operator="greaterThan">
      <formula>1</formula>
    </cfRule>
  </conditionalFormatting>
  <conditionalFormatting sqref="R19:R24">
    <cfRule type="cellIs" dxfId="5493" priority="1786" operator="greaterThan">
      <formula>1</formula>
    </cfRule>
    <cfRule type="cellIs" dxfId="5492" priority="1787" operator="lessThan">
      <formula>0.8</formula>
    </cfRule>
  </conditionalFormatting>
  <conditionalFormatting sqref="Q19:Q24">
    <cfRule type="cellIs" dxfId="5491" priority="1784" operator="lessThan">
      <formula>0</formula>
    </cfRule>
  </conditionalFormatting>
  <conditionalFormatting sqref="R19:R24">
    <cfRule type="cellIs" dxfId="5490" priority="1782" operator="lessThan">
      <formula>0.8</formula>
    </cfRule>
    <cfRule type="cellIs" dxfId="5489" priority="1783" operator="greaterThan">
      <formula>1</formula>
    </cfRule>
  </conditionalFormatting>
  <conditionalFormatting sqref="R19:R24">
    <cfRule type="cellIs" dxfId="5488" priority="1780" operator="greaterThan">
      <formula>1</formula>
    </cfRule>
    <cfRule type="cellIs" dxfId="5487" priority="1781" operator="lessThan">
      <formula>0.8</formula>
    </cfRule>
  </conditionalFormatting>
  <conditionalFormatting sqref="P19:P24">
    <cfRule type="cellIs" dxfId="5486" priority="1779" operator="greaterThan">
      <formula>0</formula>
    </cfRule>
  </conditionalFormatting>
  <conditionalFormatting sqref="Q19:Q24">
    <cfRule type="cellIs" dxfId="5485" priority="1778" operator="lessThan">
      <formula>0</formula>
    </cfRule>
  </conditionalFormatting>
  <conditionalFormatting sqref="R19:R24">
    <cfRule type="cellIs" dxfId="5484" priority="1776" operator="lessThan">
      <formula>0.8</formula>
    </cfRule>
    <cfRule type="cellIs" dxfId="5483" priority="1777" operator="greaterThan">
      <formula>1</formula>
    </cfRule>
  </conditionalFormatting>
  <conditionalFormatting sqref="R19:R24">
    <cfRule type="cellIs" dxfId="5482" priority="1774" operator="greaterThan">
      <formula>1</formula>
    </cfRule>
    <cfRule type="cellIs" dxfId="5481" priority="1775" operator="lessThan">
      <formula>0.8</formula>
    </cfRule>
  </conditionalFormatting>
  <conditionalFormatting sqref="P19:P24">
    <cfRule type="cellIs" dxfId="5480" priority="1773" operator="greaterThan">
      <formula>0</formula>
    </cfRule>
  </conditionalFormatting>
  <conditionalFormatting sqref="Q19:Q24">
    <cfRule type="cellIs" dxfId="5479" priority="1772" operator="lessThan">
      <formula>0</formula>
    </cfRule>
  </conditionalFormatting>
  <conditionalFormatting sqref="R19:R24">
    <cfRule type="cellIs" dxfId="5478" priority="1770" operator="lessThan">
      <formula>0.8</formula>
    </cfRule>
    <cfRule type="cellIs" dxfId="5477" priority="1771" operator="greaterThan">
      <formula>1</formula>
    </cfRule>
  </conditionalFormatting>
  <conditionalFormatting sqref="R19:R24">
    <cfRule type="cellIs" dxfId="5476" priority="1768" operator="greaterThan">
      <formula>1</formula>
    </cfRule>
    <cfRule type="cellIs" dxfId="5475" priority="1769" operator="lessThan">
      <formula>0.8</formula>
    </cfRule>
  </conditionalFormatting>
  <conditionalFormatting sqref="P19:P24">
    <cfRule type="cellIs" dxfId="5474" priority="1767" operator="greaterThan">
      <formula>0</formula>
    </cfRule>
  </conditionalFormatting>
  <conditionalFormatting sqref="R19:R24">
    <cfRule type="cellIs" dxfId="5473" priority="1764" operator="lessThan">
      <formula>0.8</formula>
    </cfRule>
    <cfRule type="cellIs" dxfId="5472" priority="1765" operator="greaterThan">
      <formula>1</formula>
    </cfRule>
  </conditionalFormatting>
  <conditionalFormatting sqref="R19:R24">
    <cfRule type="cellIs" dxfId="5471" priority="1762" operator="greaterThan">
      <formula>1</formula>
    </cfRule>
    <cfRule type="cellIs" dxfId="5470" priority="1763" operator="lessThan">
      <formula>0.8</formula>
    </cfRule>
  </conditionalFormatting>
  <conditionalFormatting sqref="P19:P24">
    <cfRule type="cellIs" dxfId="5469" priority="1761" operator="greaterThan">
      <formula>0</formula>
    </cfRule>
  </conditionalFormatting>
  <conditionalFormatting sqref="Q19:Q24">
    <cfRule type="cellIs" dxfId="5468" priority="1766" operator="lessThan">
      <formula>0</formula>
    </cfRule>
  </conditionalFormatting>
  <conditionalFormatting sqref="Q40">
    <cfRule type="cellIs" dxfId="5467" priority="1760" operator="lessThan">
      <formula>0</formula>
    </cfRule>
  </conditionalFormatting>
  <conditionalFormatting sqref="R40">
    <cfRule type="cellIs" dxfId="5466" priority="1758" operator="lessThan">
      <formula>0.8</formula>
    </cfRule>
    <cfRule type="cellIs" dxfId="5465" priority="1759" operator="greaterThan">
      <formula>1</formula>
    </cfRule>
  </conditionalFormatting>
  <conditionalFormatting sqref="R40">
    <cfRule type="cellIs" dxfId="5464" priority="1756" operator="greaterThan">
      <formula>1</formula>
    </cfRule>
    <cfRule type="cellIs" dxfId="5463" priority="1757" operator="lessThan">
      <formula>0.8</formula>
    </cfRule>
  </conditionalFormatting>
  <conditionalFormatting sqref="P40">
    <cfRule type="cellIs" dxfId="5462" priority="1755" operator="greaterThan">
      <formula>0</formula>
    </cfRule>
  </conditionalFormatting>
  <conditionalFormatting sqref="P40">
    <cfRule type="cellIs" dxfId="5461" priority="1749" operator="greaterThan">
      <formula>0</formula>
    </cfRule>
  </conditionalFormatting>
  <conditionalFormatting sqref="Q40">
    <cfRule type="cellIs" dxfId="5460" priority="1754" operator="lessThan">
      <formula>0</formula>
    </cfRule>
  </conditionalFormatting>
  <conditionalFormatting sqref="R40">
    <cfRule type="cellIs" dxfId="5459" priority="1752" operator="lessThan">
      <formula>0.8</formula>
    </cfRule>
    <cfRule type="cellIs" dxfId="5458" priority="1753" operator="greaterThan">
      <formula>1</formula>
    </cfRule>
  </conditionalFormatting>
  <conditionalFormatting sqref="R40">
    <cfRule type="cellIs" dxfId="5457" priority="1750" operator="greaterThan">
      <formula>1</formula>
    </cfRule>
    <cfRule type="cellIs" dxfId="5456" priority="1751" operator="lessThan">
      <formula>0.8</formula>
    </cfRule>
  </conditionalFormatting>
  <conditionalFormatting sqref="P40">
    <cfRule type="cellIs" dxfId="5455" priority="1743" operator="greaterThan">
      <formula>0</formula>
    </cfRule>
  </conditionalFormatting>
  <conditionalFormatting sqref="Q40">
    <cfRule type="cellIs" dxfId="5454" priority="1748" operator="lessThan">
      <formula>0</formula>
    </cfRule>
  </conditionalFormatting>
  <conditionalFormatting sqref="R40">
    <cfRule type="cellIs" dxfId="5453" priority="1746" operator="lessThan">
      <formula>0.8</formula>
    </cfRule>
    <cfRule type="cellIs" dxfId="5452" priority="1747" operator="greaterThan">
      <formula>1</formula>
    </cfRule>
  </conditionalFormatting>
  <conditionalFormatting sqref="R40">
    <cfRule type="cellIs" dxfId="5451" priority="1744" operator="greaterThan">
      <formula>1</formula>
    </cfRule>
    <cfRule type="cellIs" dxfId="5450" priority="1745" operator="lessThan">
      <formula>0.8</formula>
    </cfRule>
  </conditionalFormatting>
  <conditionalFormatting sqref="Q40">
    <cfRule type="cellIs" dxfId="5449" priority="1742" operator="lessThan">
      <formula>0</formula>
    </cfRule>
  </conditionalFormatting>
  <conditionalFormatting sqref="R40">
    <cfRule type="cellIs" dxfId="5448" priority="1740" operator="lessThan">
      <formula>0.8</formula>
    </cfRule>
    <cfRule type="cellIs" dxfId="5447" priority="1741" operator="greaterThan">
      <formula>1</formula>
    </cfRule>
  </conditionalFormatting>
  <conditionalFormatting sqref="R40">
    <cfRule type="cellIs" dxfId="5446" priority="1738" operator="greaterThan">
      <formula>1</formula>
    </cfRule>
    <cfRule type="cellIs" dxfId="5445" priority="1739" operator="lessThan">
      <formula>0.8</formula>
    </cfRule>
  </conditionalFormatting>
  <conditionalFormatting sqref="P40">
    <cfRule type="cellIs" dxfId="5444" priority="1737" operator="greaterThan">
      <formula>0</formula>
    </cfRule>
  </conditionalFormatting>
  <conditionalFormatting sqref="P40">
    <cfRule type="cellIs" dxfId="5443" priority="1731" operator="greaterThan">
      <formula>0</formula>
    </cfRule>
  </conditionalFormatting>
  <conditionalFormatting sqref="Q40">
    <cfRule type="cellIs" dxfId="5442" priority="1736" operator="lessThan">
      <formula>0</formula>
    </cfRule>
  </conditionalFormatting>
  <conditionalFormatting sqref="R40">
    <cfRule type="cellIs" dxfId="5441" priority="1734" operator="lessThan">
      <formula>0.8</formula>
    </cfRule>
    <cfRule type="cellIs" dxfId="5440" priority="1735" operator="greaterThan">
      <formula>1</formula>
    </cfRule>
  </conditionalFormatting>
  <conditionalFormatting sqref="R40">
    <cfRule type="cellIs" dxfId="5439" priority="1732" operator="greaterThan">
      <formula>1</formula>
    </cfRule>
    <cfRule type="cellIs" dxfId="5438" priority="1733" operator="lessThan">
      <formula>0.8</formula>
    </cfRule>
  </conditionalFormatting>
  <conditionalFormatting sqref="P40">
    <cfRule type="cellIs" dxfId="5437" priority="1725" operator="greaterThan">
      <formula>0</formula>
    </cfRule>
  </conditionalFormatting>
  <conditionalFormatting sqref="Q40">
    <cfRule type="cellIs" dxfId="5436" priority="1730" operator="lessThan">
      <formula>0</formula>
    </cfRule>
  </conditionalFormatting>
  <conditionalFormatting sqref="R40">
    <cfRule type="cellIs" dxfId="5435" priority="1728" operator="lessThan">
      <formula>0.8</formula>
    </cfRule>
    <cfRule type="cellIs" dxfId="5434" priority="1729" operator="greaterThan">
      <formula>1</formula>
    </cfRule>
  </conditionalFormatting>
  <conditionalFormatting sqref="R40">
    <cfRule type="cellIs" dxfId="5433" priority="1726" operator="greaterThan">
      <formula>1</formula>
    </cfRule>
    <cfRule type="cellIs" dxfId="5432" priority="1727" operator="lessThan">
      <formula>0.8</formula>
    </cfRule>
  </conditionalFormatting>
  <conditionalFormatting sqref="P40">
    <cfRule type="cellIs" dxfId="5431" priority="1719" operator="greaterThan">
      <formula>0</formula>
    </cfRule>
  </conditionalFormatting>
  <conditionalFormatting sqref="Q40">
    <cfRule type="cellIs" dxfId="5430" priority="1724" operator="lessThan">
      <formula>0</formula>
    </cfRule>
  </conditionalFormatting>
  <conditionalFormatting sqref="R40">
    <cfRule type="cellIs" dxfId="5429" priority="1722" operator="lessThan">
      <formula>0.8</formula>
    </cfRule>
    <cfRule type="cellIs" dxfId="5428" priority="1723" operator="greaterThan">
      <formula>1</formula>
    </cfRule>
  </conditionalFormatting>
  <conditionalFormatting sqref="R40">
    <cfRule type="cellIs" dxfId="5427" priority="1720" operator="greaterThan">
      <formula>1</formula>
    </cfRule>
    <cfRule type="cellIs" dxfId="5426" priority="1721" operator="lessThan">
      <formula>0.8</formula>
    </cfRule>
  </conditionalFormatting>
  <conditionalFormatting sqref="Q40">
    <cfRule type="cellIs" dxfId="5425" priority="1713" operator="lessThan">
      <formula>0</formula>
    </cfRule>
  </conditionalFormatting>
  <conditionalFormatting sqref="P40">
    <cfRule type="cellIs" dxfId="5424" priority="1714" operator="greaterThan">
      <formula>0</formula>
    </cfRule>
  </conditionalFormatting>
  <conditionalFormatting sqref="R40">
    <cfRule type="cellIs" dxfId="5423" priority="1717" operator="lessThan">
      <formula>0.8</formula>
    </cfRule>
    <cfRule type="cellIs" dxfId="5422" priority="1718" operator="greaterThan">
      <formula>1</formula>
    </cfRule>
  </conditionalFormatting>
  <conditionalFormatting sqref="R40">
    <cfRule type="cellIs" dxfId="5421" priority="1715" operator="greaterThan">
      <formula>1</formula>
    </cfRule>
    <cfRule type="cellIs" dxfId="5420" priority="1716" operator="lessThan">
      <formula>0.8</formula>
    </cfRule>
  </conditionalFormatting>
  <conditionalFormatting sqref="Q40">
    <cfRule type="cellIs" dxfId="5419" priority="1707" operator="lessThan">
      <formula>0</formula>
    </cfRule>
  </conditionalFormatting>
  <conditionalFormatting sqref="R40">
    <cfRule type="cellIs" dxfId="5418" priority="1711" operator="lessThan">
      <formula>0.8</formula>
    </cfRule>
    <cfRule type="cellIs" dxfId="5417" priority="1712" operator="greaterThan">
      <formula>1</formula>
    </cfRule>
  </conditionalFormatting>
  <conditionalFormatting sqref="R40">
    <cfRule type="cellIs" dxfId="5416" priority="1709" operator="greaterThan">
      <formula>1</formula>
    </cfRule>
    <cfRule type="cellIs" dxfId="5415" priority="1710" operator="lessThan">
      <formula>0.8</formula>
    </cfRule>
  </conditionalFormatting>
  <conditionalFormatting sqref="P40">
    <cfRule type="cellIs" dxfId="5414" priority="1708" operator="greaterThan">
      <formula>0</formula>
    </cfRule>
  </conditionalFormatting>
  <conditionalFormatting sqref="Q40">
    <cfRule type="cellIs" dxfId="5413" priority="1706" operator="lessThan">
      <formula>0</formula>
    </cfRule>
  </conditionalFormatting>
  <conditionalFormatting sqref="R40">
    <cfRule type="cellIs" dxfId="5412" priority="1704" operator="lessThan">
      <formula>0.8</formula>
    </cfRule>
    <cfRule type="cellIs" dxfId="5411" priority="1705" operator="greaterThan">
      <formula>1</formula>
    </cfRule>
  </conditionalFormatting>
  <conditionalFormatting sqref="R40">
    <cfRule type="cellIs" dxfId="5410" priority="1702" operator="greaterThan">
      <formula>1</formula>
    </cfRule>
    <cfRule type="cellIs" dxfId="5409" priority="1703" operator="lessThan">
      <formula>0.8</formula>
    </cfRule>
  </conditionalFormatting>
  <conditionalFormatting sqref="P40">
    <cfRule type="cellIs" dxfId="5408" priority="1701" operator="greaterThan">
      <formula>0</formula>
    </cfRule>
  </conditionalFormatting>
  <conditionalFormatting sqref="Q40">
    <cfRule type="cellIs" dxfId="5407" priority="1700" operator="lessThan">
      <formula>0</formula>
    </cfRule>
  </conditionalFormatting>
  <conditionalFormatting sqref="R40">
    <cfRule type="cellIs" dxfId="5406" priority="1698" operator="lessThan">
      <formula>0.8</formula>
    </cfRule>
    <cfRule type="cellIs" dxfId="5405" priority="1699" operator="greaterThan">
      <formula>1</formula>
    </cfRule>
  </conditionalFormatting>
  <conditionalFormatting sqref="R40">
    <cfRule type="cellIs" dxfId="5404" priority="1696" operator="greaterThan">
      <formula>1</formula>
    </cfRule>
    <cfRule type="cellIs" dxfId="5403" priority="1697" operator="lessThan">
      <formula>0.8</formula>
    </cfRule>
  </conditionalFormatting>
  <conditionalFormatting sqref="P40">
    <cfRule type="cellIs" dxfId="5402" priority="1695" operator="greaterThan">
      <formula>0</formula>
    </cfRule>
  </conditionalFormatting>
  <conditionalFormatting sqref="Q32:Q39">
    <cfRule type="cellIs" dxfId="5401" priority="1694" operator="lessThan">
      <formula>0</formula>
    </cfRule>
  </conditionalFormatting>
  <conditionalFormatting sqref="R32:R39">
    <cfRule type="cellIs" dxfId="5400" priority="1692" operator="lessThan">
      <formula>0.8</formula>
    </cfRule>
    <cfRule type="cellIs" dxfId="5399" priority="1693" operator="greaterThan">
      <formula>1</formula>
    </cfRule>
  </conditionalFormatting>
  <conditionalFormatting sqref="R32:R39">
    <cfRule type="cellIs" dxfId="5398" priority="1690" operator="greaterThan">
      <formula>1</formula>
    </cfRule>
    <cfRule type="cellIs" dxfId="5397" priority="1691" operator="lessThan">
      <formula>0.8</formula>
    </cfRule>
  </conditionalFormatting>
  <conditionalFormatting sqref="P32:P39">
    <cfRule type="cellIs" dxfId="5396" priority="1689" operator="greaterThan">
      <formula>0</formula>
    </cfRule>
  </conditionalFormatting>
  <conditionalFormatting sqref="Q32:Q39">
    <cfRule type="cellIs" dxfId="5395" priority="1688" operator="lessThan">
      <formula>0</formula>
    </cfRule>
  </conditionalFormatting>
  <conditionalFormatting sqref="R32:R39">
    <cfRule type="cellIs" dxfId="5394" priority="1686" operator="lessThan">
      <formula>0.8</formula>
    </cfRule>
    <cfRule type="cellIs" dxfId="5393" priority="1687" operator="greaterThan">
      <formula>1</formula>
    </cfRule>
  </conditionalFormatting>
  <conditionalFormatting sqref="R32:R39">
    <cfRule type="cellIs" dxfId="5392" priority="1684" operator="greaterThan">
      <formula>1</formula>
    </cfRule>
    <cfRule type="cellIs" dxfId="5391" priority="1685" operator="lessThan">
      <formula>0.8</formula>
    </cfRule>
  </conditionalFormatting>
  <conditionalFormatting sqref="P32:P39">
    <cfRule type="cellIs" dxfId="5390" priority="1683" operator="greaterThan">
      <formula>0</formula>
    </cfRule>
  </conditionalFormatting>
  <conditionalFormatting sqref="Q32:Q39">
    <cfRule type="cellIs" dxfId="5389" priority="1682" operator="lessThan">
      <formula>0</formula>
    </cfRule>
  </conditionalFormatting>
  <conditionalFormatting sqref="R32:R39">
    <cfRule type="cellIs" dxfId="5388" priority="1680" operator="lessThan">
      <formula>0.8</formula>
    </cfRule>
    <cfRule type="cellIs" dxfId="5387" priority="1681" operator="greaterThan">
      <formula>1</formula>
    </cfRule>
  </conditionalFormatting>
  <conditionalFormatting sqref="R32:R39">
    <cfRule type="cellIs" dxfId="5386" priority="1678" operator="greaterThan">
      <formula>1</formula>
    </cfRule>
    <cfRule type="cellIs" dxfId="5385" priority="1679" operator="lessThan">
      <formula>0.8</formula>
    </cfRule>
  </conditionalFormatting>
  <conditionalFormatting sqref="P32:P39">
    <cfRule type="cellIs" dxfId="5384" priority="1677" operator="greaterThan">
      <formula>0</formula>
    </cfRule>
  </conditionalFormatting>
  <conditionalFormatting sqref="Q32:Q39">
    <cfRule type="cellIs" dxfId="5383" priority="1676" operator="lessThan">
      <formula>0</formula>
    </cfRule>
  </conditionalFormatting>
  <conditionalFormatting sqref="R32:R39">
    <cfRule type="cellIs" dxfId="5382" priority="1674" operator="lessThan">
      <formula>0.8</formula>
    </cfRule>
    <cfRule type="cellIs" dxfId="5381" priority="1675" operator="greaterThan">
      <formula>1</formula>
    </cfRule>
  </conditionalFormatting>
  <conditionalFormatting sqref="R32:R39">
    <cfRule type="cellIs" dxfId="5380" priority="1672" operator="greaterThan">
      <formula>1</formula>
    </cfRule>
    <cfRule type="cellIs" dxfId="5379" priority="1673" operator="lessThan">
      <formula>0.8</formula>
    </cfRule>
  </conditionalFormatting>
  <conditionalFormatting sqref="P32:P39">
    <cfRule type="cellIs" dxfId="5378" priority="1671" operator="greaterThan">
      <formula>0</formula>
    </cfRule>
  </conditionalFormatting>
  <conditionalFormatting sqref="P32:P39">
    <cfRule type="cellIs" dxfId="5377" priority="1665" operator="greaterThan">
      <formula>0</formula>
    </cfRule>
  </conditionalFormatting>
  <conditionalFormatting sqref="Q32:Q39">
    <cfRule type="cellIs" dxfId="5376" priority="1670" operator="lessThan">
      <formula>0</formula>
    </cfRule>
  </conditionalFormatting>
  <conditionalFormatting sqref="R32:R39">
    <cfRule type="cellIs" dxfId="5375" priority="1668" operator="lessThan">
      <formula>0.8</formula>
    </cfRule>
    <cfRule type="cellIs" dxfId="5374" priority="1669" operator="greaterThan">
      <formula>1</formula>
    </cfRule>
  </conditionalFormatting>
  <conditionalFormatting sqref="R32:R39">
    <cfRule type="cellIs" dxfId="5373" priority="1666" operator="greaterThan">
      <formula>1</formula>
    </cfRule>
    <cfRule type="cellIs" dxfId="5372" priority="1667" operator="lessThan">
      <formula>0.8</formula>
    </cfRule>
  </conditionalFormatting>
  <conditionalFormatting sqref="P32:P39">
    <cfRule type="cellIs" dxfId="5371" priority="1659" operator="greaterThan">
      <formula>0</formula>
    </cfRule>
  </conditionalFormatting>
  <conditionalFormatting sqref="Q32:Q39">
    <cfRule type="cellIs" dxfId="5370" priority="1664" operator="lessThan">
      <formula>0</formula>
    </cfRule>
  </conditionalFormatting>
  <conditionalFormatting sqref="R32:R39">
    <cfRule type="cellIs" dxfId="5369" priority="1662" operator="lessThan">
      <formula>0.8</formula>
    </cfRule>
    <cfRule type="cellIs" dxfId="5368" priority="1663" operator="greaterThan">
      <formula>1</formula>
    </cfRule>
  </conditionalFormatting>
  <conditionalFormatting sqref="R32:R39">
    <cfRule type="cellIs" dxfId="5367" priority="1660" operator="greaterThan">
      <formula>1</formula>
    </cfRule>
    <cfRule type="cellIs" dxfId="5366" priority="1661" operator="lessThan">
      <formula>0.8</formula>
    </cfRule>
  </conditionalFormatting>
  <conditionalFormatting sqref="R32:R39">
    <cfRule type="cellIs" dxfId="5365" priority="1656" operator="lessThan">
      <formula>0.8</formula>
    </cfRule>
    <cfRule type="cellIs" dxfId="5364" priority="1657" operator="greaterThan">
      <formula>1</formula>
    </cfRule>
  </conditionalFormatting>
  <conditionalFormatting sqref="R32:R39">
    <cfRule type="cellIs" dxfId="5363" priority="1654" operator="greaterThan">
      <formula>1</formula>
    </cfRule>
    <cfRule type="cellIs" dxfId="5362" priority="1655" operator="lessThan">
      <formula>0.8</formula>
    </cfRule>
  </conditionalFormatting>
  <conditionalFormatting sqref="P32:P39">
    <cfRule type="cellIs" dxfId="5361" priority="1653" operator="greaterThan">
      <formula>0</formula>
    </cfRule>
  </conditionalFormatting>
  <conditionalFormatting sqref="Q32:Q39">
    <cfRule type="cellIs" dxfId="5360" priority="1658" operator="lessThan">
      <formula>0</formula>
    </cfRule>
  </conditionalFormatting>
  <conditionalFormatting sqref="Q32:Q39">
    <cfRule type="cellIs" dxfId="5359" priority="1652" operator="lessThan">
      <formula>0</formula>
    </cfRule>
  </conditionalFormatting>
  <conditionalFormatting sqref="R32:R39">
    <cfRule type="cellIs" dxfId="5358" priority="1650" operator="lessThan">
      <formula>0.8</formula>
    </cfRule>
    <cfRule type="cellIs" dxfId="5357" priority="1651" operator="greaterThan">
      <formula>1</formula>
    </cfRule>
  </conditionalFormatting>
  <conditionalFormatting sqref="R32:R39">
    <cfRule type="cellIs" dxfId="5356" priority="1648" operator="greaterThan">
      <formula>1</formula>
    </cfRule>
    <cfRule type="cellIs" dxfId="5355" priority="1649" operator="lessThan">
      <formula>0.8</formula>
    </cfRule>
  </conditionalFormatting>
  <conditionalFormatting sqref="P32:P39">
    <cfRule type="cellIs" dxfId="5354" priority="1647" operator="greaterThan">
      <formula>0</formula>
    </cfRule>
  </conditionalFormatting>
  <conditionalFormatting sqref="P32:P39">
    <cfRule type="cellIs" dxfId="5353" priority="1641" operator="greaterThan">
      <formula>0</formula>
    </cfRule>
  </conditionalFormatting>
  <conditionalFormatting sqref="Q32:Q39">
    <cfRule type="cellIs" dxfId="5352" priority="1646" operator="lessThan">
      <formula>0</formula>
    </cfRule>
  </conditionalFormatting>
  <conditionalFormatting sqref="R32:R39">
    <cfRule type="cellIs" dxfId="5351" priority="1644" operator="lessThan">
      <formula>0.8</formula>
    </cfRule>
    <cfRule type="cellIs" dxfId="5350" priority="1645" operator="greaterThan">
      <formula>1</formula>
    </cfRule>
  </conditionalFormatting>
  <conditionalFormatting sqref="R32:R39">
    <cfRule type="cellIs" dxfId="5349" priority="1642" operator="greaterThan">
      <formula>1</formula>
    </cfRule>
    <cfRule type="cellIs" dxfId="5348" priority="1643" operator="lessThan">
      <formula>0.8</formula>
    </cfRule>
  </conditionalFormatting>
  <conditionalFormatting sqref="P32:P39">
    <cfRule type="cellIs" dxfId="5347" priority="1635" operator="greaterThan">
      <formula>0</formula>
    </cfRule>
  </conditionalFormatting>
  <conditionalFormatting sqref="Q32:Q39">
    <cfRule type="cellIs" dxfId="5346" priority="1640" operator="lessThan">
      <formula>0</formula>
    </cfRule>
  </conditionalFormatting>
  <conditionalFormatting sqref="R32:R39">
    <cfRule type="cellIs" dxfId="5345" priority="1638" operator="lessThan">
      <formula>0.8</formula>
    </cfRule>
    <cfRule type="cellIs" dxfId="5344" priority="1639" operator="greaterThan">
      <formula>1</formula>
    </cfRule>
  </conditionalFormatting>
  <conditionalFormatting sqref="R32:R39">
    <cfRule type="cellIs" dxfId="5343" priority="1636" operator="greaterThan">
      <formula>1</formula>
    </cfRule>
    <cfRule type="cellIs" dxfId="5342" priority="1637" operator="lessThan">
      <formula>0.8</formula>
    </cfRule>
  </conditionalFormatting>
  <conditionalFormatting sqref="R32:R39">
    <cfRule type="cellIs" dxfId="5341" priority="1632" operator="lessThan">
      <formula>0.8</formula>
    </cfRule>
    <cfRule type="cellIs" dxfId="5340" priority="1633" operator="greaterThan">
      <formula>1</formula>
    </cfRule>
  </conditionalFormatting>
  <conditionalFormatting sqref="R32:R39">
    <cfRule type="cellIs" dxfId="5339" priority="1630" operator="greaterThan">
      <formula>1</formula>
    </cfRule>
    <cfRule type="cellIs" dxfId="5338" priority="1631" operator="lessThan">
      <formula>0.8</formula>
    </cfRule>
  </conditionalFormatting>
  <conditionalFormatting sqref="P32:P39">
    <cfRule type="cellIs" dxfId="5337" priority="1629" operator="greaterThan">
      <formula>0</formula>
    </cfRule>
  </conditionalFormatting>
  <conditionalFormatting sqref="Q32:Q39">
    <cfRule type="cellIs" dxfId="5336" priority="1634" operator="lessThan">
      <formula>0</formula>
    </cfRule>
  </conditionalFormatting>
  <conditionalFormatting sqref="P32:P39">
    <cfRule type="cellIs" dxfId="5335" priority="1623" operator="greaterThan">
      <formula>0</formula>
    </cfRule>
  </conditionalFormatting>
  <conditionalFormatting sqref="Q32:Q39">
    <cfRule type="cellIs" dxfId="5334" priority="1628" operator="lessThan">
      <formula>0</formula>
    </cfRule>
  </conditionalFormatting>
  <conditionalFormatting sqref="R32:R39">
    <cfRule type="cellIs" dxfId="5333" priority="1626" operator="lessThan">
      <formula>0.8</formula>
    </cfRule>
    <cfRule type="cellIs" dxfId="5332" priority="1627" operator="greaterThan">
      <formula>1</formula>
    </cfRule>
  </conditionalFormatting>
  <conditionalFormatting sqref="R32:R39">
    <cfRule type="cellIs" dxfId="5331" priority="1624" operator="greaterThan">
      <formula>1</formula>
    </cfRule>
    <cfRule type="cellIs" dxfId="5330" priority="1625" operator="lessThan">
      <formula>0.8</formula>
    </cfRule>
  </conditionalFormatting>
  <conditionalFormatting sqref="R32:R39">
    <cfRule type="cellIs" dxfId="5329" priority="1620" operator="lessThan">
      <formula>0.8</formula>
    </cfRule>
    <cfRule type="cellIs" dxfId="5328" priority="1621" operator="greaterThan">
      <formula>1</formula>
    </cfRule>
  </conditionalFormatting>
  <conditionalFormatting sqref="R32:R39">
    <cfRule type="cellIs" dxfId="5327" priority="1618" operator="greaterThan">
      <formula>1</formula>
    </cfRule>
    <cfRule type="cellIs" dxfId="5326" priority="1619" operator="lessThan">
      <formula>0.8</formula>
    </cfRule>
  </conditionalFormatting>
  <conditionalFormatting sqref="P32:P39">
    <cfRule type="cellIs" dxfId="5325" priority="1617" operator="greaterThan">
      <formula>0</formula>
    </cfRule>
  </conditionalFormatting>
  <conditionalFormatting sqref="Q32:Q39">
    <cfRule type="cellIs" dxfId="5324" priority="1622" operator="lessThan">
      <formula>0</formula>
    </cfRule>
  </conditionalFormatting>
  <conditionalFormatting sqref="R32:R39">
    <cfRule type="cellIs" dxfId="5323" priority="1614" operator="lessThan">
      <formula>0.8</formula>
    </cfRule>
    <cfRule type="cellIs" dxfId="5322" priority="1615" operator="greaterThan">
      <formula>1</formula>
    </cfRule>
  </conditionalFormatting>
  <conditionalFormatting sqref="R32:R39">
    <cfRule type="cellIs" dxfId="5321" priority="1612" operator="greaterThan">
      <formula>1</formula>
    </cfRule>
    <cfRule type="cellIs" dxfId="5320" priority="1613" operator="lessThan">
      <formula>0.8</formula>
    </cfRule>
  </conditionalFormatting>
  <conditionalFormatting sqref="P32:P39">
    <cfRule type="cellIs" dxfId="5319" priority="1611" operator="greaterThan">
      <formula>0</formula>
    </cfRule>
  </conditionalFormatting>
  <conditionalFormatting sqref="Q32:Q39">
    <cfRule type="cellIs" dxfId="5318" priority="1616" operator="lessThan">
      <formula>0</formula>
    </cfRule>
  </conditionalFormatting>
  <conditionalFormatting sqref="Q32:Q39">
    <cfRule type="cellIs" dxfId="5317" priority="1610" operator="lessThan">
      <formula>0</formula>
    </cfRule>
  </conditionalFormatting>
  <conditionalFormatting sqref="R32:R39">
    <cfRule type="cellIs" dxfId="5316" priority="1608" operator="lessThan">
      <formula>0.8</formula>
    </cfRule>
    <cfRule type="cellIs" dxfId="5315" priority="1609" operator="greaterThan">
      <formula>1</formula>
    </cfRule>
  </conditionalFormatting>
  <conditionalFormatting sqref="R32:R39">
    <cfRule type="cellIs" dxfId="5314" priority="1606" operator="greaterThan">
      <formula>1</formula>
    </cfRule>
    <cfRule type="cellIs" dxfId="5313" priority="1607" operator="lessThan">
      <formula>0.8</formula>
    </cfRule>
  </conditionalFormatting>
  <conditionalFormatting sqref="P32:P39">
    <cfRule type="cellIs" dxfId="5312" priority="1605" operator="greaterThan">
      <formula>0</formula>
    </cfRule>
  </conditionalFormatting>
  <conditionalFormatting sqref="Q32:Q39">
    <cfRule type="cellIs" dxfId="5311" priority="1599" operator="lessThan">
      <formula>0</formula>
    </cfRule>
  </conditionalFormatting>
  <conditionalFormatting sqref="R32:R39">
    <cfRule type="cellIs" dxfId="5310" priority="1603" operator="lessThan">
      <formula>0.8</formula>
    </cfRule>
    <cfRule type="cellIs" dxfId="5309" priority="1604" operator="greaterThan">
      <formula>1</formula>
    </cfRule>
  </conditionalFormatting>
  <conditionalFormatting sqref="R32:R39">
    <cfRule type="cellIs" dxfId="5308" priority="1601" operator="greaterThan">
      <formula>1</formula>
    </cfRule>
    <cfRule type="cellIs" dxfId="5307" priority="1602" operator="lessThan">
      <formula>0.8</formula>
    </cfRule>
  </conditionalFormatting>
  <conditionalFormatting sqref="P32:P39">
    <cfRule type="cellIs" dxfId="5306" priority="1600" operator="greaterThan">
      <formula>0</formula>
    </cfRule>
  </conditionalFormatting>
  <conditionalFormatting sqref="Q32:Q39">
    <cfRule type="cellIs" dxfId="5305" priority="1598" operator="lessThan">
      <formula>0</formula>
    </cfRule>
  </conditionalFormatting>
  <conditionalFormatting sqref="R32:R39">
    <cfRule type="cellIs" dxfId="5304" priority="1596" operator="lessThan">
      <formula>0.8</formula>
    </cfRule>
    <cfRule type="cellIs" dxfId="5303" priority="1597" operator="greaterThan">
      <formula>1</formula>
    </cfRule>
  </conditionalFormatting>
  <conditionalFormatting sqref="R32:R39">
    <cfRule type="cellIs" dxfId="5302" priority="1594" operator="greaterThan">
      <formula>1</formula>
    </cfRule>
    <cfRule type="cellIs" dxfId="5301" priority="1595" operator="lessThan">
      <formula>0.8</formula>
    </cfRule>
  </conditionalFormatting>
  <conditionalFormatting sqref="P32:P39">
    <cfRule type="cellIs" dxfId="5300" priority="1593" operator="greaterThan">
      <formula>0</formula>
    </cfRule>
  </conditionalFormatting>
  <conditionalFormatting sqref="Q32:Q39">
    <cfRule type="cellIs" dxfId="5299" priority="1592" operator="lessThan">
      <formula>0</formula>
    </cfRule>
  </conditionalFormatting>
  <conditionalFormatting sqref="R32:R39">
    <cfRule type="cellIs" dxfId="5298" priority="1590" operator="lessThan">
      <formula>0.8</formula>
    </cfRule>
    <cfRule type="cellIs" dxfId="5297" priority="1591" operator="greaterThan">
      <formula>1</formula>
    </cfRule>
  </conditionalFormatting>
  <conditionalFormatting sqref="R32:R39">
    <cfRule type="cellIs" dxfId="5296" priority="1588" operator="greaterThan">
      <formula>1</formula>
    </cfRule>
    <cfRule type="cellIs" dxfId="5295" priority="1589" operator="lessThan">
      <formula>0.8</formula>
    </cfRule>
  </conditionalFormatting>
  <conditionalFormatting sqref="P32:P39">
    <cfRule type="cellIs" dxfId="5294" priority="1587" operator="greaterThan">
      <formula>0</formula>
    </cfRule>
  </conditionalFormatting>
  <conditionalFormatting sqref="Q32:Q39">
    <cfRule type="cellIs" dxfId="5293" priority="1586" operator="lessThan">
      <formula>0</formula>
    </cfRule>
  </conditionalFormatting>
  <conditionalFormatting sqref="R32:R39">
    <cfRule type="cellIs" dxfId="5292" priority="1584" operator="lessThan">
      <formula>0.8</formula>
    </cfRule>
    <cfRule type="cellIs" dxfId="5291" priority="1585" operator="greaterThan">
      <formula>1</formula>
    </cfRule>
  </conditionalFormatting>
  <conditionalFormatting sqref="R32:R39">
    <cfRule type="cellIs" dxfId="5290" priority="1582" operator="greaterThan">
      <formula>1</formula>
    </cfRule>
    <cfRule type="cellIs" dxfId="5289" priority="1583" operator="lessThan">
      <formula>0.8</formula>
    </cfRule>
  </conditionalFormatting>
  <conditionalFormatting sqref="P32:P39">
    <cfRule type="cellIs" dxfId="5288" priority="1581" operator="greaterThan">
      <formula>0</formula>
    </cfRule>
  </conditionalFormatting>
  <conditionalFormatting sqref="Q32:Q39">
    <cfRule type="cellIs" dxfId="5287" priority="1580" operator="lessThan">
      <formula>0</formula>
    </cfRule>
  </conditionalFormatting>
  <conditionalFormatting sqref="R32:R39">
    <cfRule type="cellIs" dxfId="5286" priority="1578" operator="lessThan">
      <formula>0.8</formula>
    </cfRule>
    <cfRule type="cellIs" dxfId="5285" priority="1579" operator="greaterThan">
      <formula>1</formula>
    </cfRule>
  </conditionalFormatting>
  <conditionalFormatting sqref="R32:R39">
    <cfRule type="cellIs" dxfId="5284" priority="1576" operator="greaterThan">
      <formula>1</formula>
    </cfRule>
    <cfRule type="cellIs" dxfId="5283" priority="1577" operator="lessThan">
      <formula>0.8</formula>
    </cfRule>
  </conditionalFormatting>
  <conditionalFormatting sqref="P32:P39">
    <cfRule type="cellIs" dxfId="5282" priority="1575" operator="greaterThan">
      <formula>0</formula>
    </cfRule>
  </conditionalFormatting>
  <conditionalFormatting sqref="Q32:Q39">
    <cfRule type="cellIs" dxfId="5281" priority="1574" operator="lessThan">
      <formula>0</formula>
    </cfRule>
  </conditionalFormatting>
  <conditionalFormatting sqref="R32:R39">
    <cfRule type="cellIs" dxfId="5280" priority="1572" operator="lessThan">
      <formula>0.8</formula>
    </cfRule>
    <cfRule type="cellIs" dxfId="5279" priority="1573" operator="greaterThan">
      <formula>1</formula>
    </cfRule>
  </conditionalFormatting>
  <conditionalFormatting sqref="R32:R39">
    <cfRule type="cellIs" dxfId="5278" priority="1570" operator="greaterThan">
      <formula>1</formula>
    </cfRule>
    <cfRule type="cellIs" dxfId="5277" priority="1571" operator="lessThan">
      <formula>0.8</formula>
    </cfRule>
  </conditionalFormatting>
  <conditionalFormatting sqref="P32:P39">
    <cfRule type="cellIs" dxfId="5276" priority="1569" operator="greaterThan">
      <formula>0</formula>
    </cfRule>
  </conditionalFormatting>
  <conditionalFormatting sqref="P32:P39">
    <cfRule type="cellIs" dxfId="5275" priority="1563" operator="greaterThan">
      <formula>0</formula>
    </cfRule>
  </conditionalFormatting>
  <conditionalFormatting sqref="Q32:Q39">
    <cfRule type="cellIs" dxfId="5274" priority="1568" operator="lessThan">
      <formula>0</formula>
    </cfRule>
  </conditionalFormatting>
  <conditionalFormatting sqref="R32:R39">
    <cfRule type="cellIs" dxfId="5273" priority="1566" operator="lessThan">
      <formula>0.8</formula>
    </cfRule>
    <cfRule type="cellIs" dxfId="5272" priority="1567" operator="greaterThan">
      <formula>1</formula>
    </cfRule>
  </conditionalFormatting>
  <conditionalFormatting sqref="R32:R39">
    <cfRule type="cellIs" dxfId="5271" priority="1564" operator="greaterThan">
      <formula>1</formula>
    </cfRule>
    <cfRule type="cellIs" dxfId="5270" priority="1565" operator="lessThan">
      <formula>0.8</formula>
    </cfRule>
  </conditionalFormatting>
  <conditionalFormatting sqref="P32:P39">
    <cfRule type="cellIs" dxfId="5269" priority="1557" operator="greaterThan">
      <formula>0</formula>
    </cfRule>
  </conditionalFormatting>
  <conditionalFormatting sqref="Q32:Q39">
    <cfRule type="cellIs" dxfId="5268" priority="1562" operator="lessThan">
      <formula>0</formula>
    </cfRule>
  </conditionalFormatting>
  <conditionalFormatting sqref="R32:R39">
    <cfRule type="cellIs" dxfId="5267" priority="1560" operator="lessThan">
      <formula>0.8</formula>
    </cfRule>
    <cfRule type="cellIs" dxfId="5266" priority="1561" operator="greaterThan">
      <formula>1</formula>
    </cfRule>
  </conditionalFormatting>
  <conditionalFormatting sqref="R32:R39">
    <cfRule type="cellIs" dxfId="5265" priority="1558" operator="greaterThan">
      <formula>1</formula>
    </cfRule>
    <cfRule type="cellIs" dxfId="5264" priority="1559" operator="lessThan">
      <formula>0.8</formula>
    </cfRule>
  </conditionalFormatting>
  <conditionalFormatting sqref="R32:R39">
    <cfRule type="cellIs" dxfId="5263" priority="1554" operator="lessThan">
      <formula>0.8</formula>
    </cfRule>
    <cfRule type="cellIs" dxfId="5262" priority="1555" operator="greaterThan">
      <formula>1</formula>
    </cfRule>
  </conditionalFormatting>
  <conditionalFormatting sqref="R32:R39">
    <cfRule type="cellIs" dxfId="5261" priority="1552" operator="greaterThan">
      <formula>1</formula>
    </cfRule>
    <cfRule type="cellIs" dxfId="5260" priority="1553" operator="lessThan">
      <formula>0.8</formula>
    </cfRule>
  </conditionalFormatting>
  <conditionalFormatting sqref="P32:P39">
    <cfRule type="cellIs" dxfId="5259" priority="1551" operator="greaterThan">
      <formula>0</formula>
    </cfRule>
  </conditionalFormatting>
  <conditionalFormatting sqref="Q32:Q39">
    <cfRule type="cellIs" dxfId="5258" priority="1556" operator="lessThan">
      <formula>0</formula>
    </cfRule>
  </conditionalFormatting>
  <conditionalFormatting sqref="Q32:Q39">
    <cfRule type="cellIs" dxfId="5257" priority="1545" operator="lessThan">
      <formula>0</formula>
    </cfRule>
  </conditionalFormatting>
  <conditionalFormatting sqref="P32:P39">
    <cfRule type="cellIs" dxfId="5256" priority="1546" operator="greaterThan">
      <formula>0</formula>
    </cfRule>
  </conditionalFormatting>
  <conditionalFormatting sqref="R32:R39">
    <cfRule type="cellIs" dxfId="5255" priority="1549" operator="lessThan">
      <formula>0.8</formula>
    </cfRule>
    <cfRule type="cellIs" dxfId="5254" priority="1550" operator="greaterThan">
      <formula>1</formula>
    </cfRule>
  </conditionalFormatting>
  <conditionalFormatting sqref="R32:R39">
    <cfRule type="cellIs" dxfId="5253" priority="1547" operator="greaterThan">
      <formula>1</formula>
    </cfRule>
    <cfRule type="cellIs" dxfId="5252" priority="1548" operator="lessThan">
      <formula>0.8</formula>
    </cfRule>
  </conditionalFormatting>
  <conditionalFormatting sqref="Q32:Q39">
    <cfRule type="cellIs" dxfId="5251" priority="1539" operator="lessThan">
      <formula>0</formula>
    </cfRule>
  </conditionalFormatting>
  <conditionalFormatting sqref="R32:R39">
    <cfRule type="cellIs" dxfId="5250" priority="1543" operator="lessThan">
      <formula>0.8</formula>
    </cfRule>
    <cfRule type="cellIs" dxfId="5249" priority="1544" operator="greaterThan">
      <formula>1</formula>
    </cfRule>
  </conditionalFormatting>
  <conditionalFormatting sqref="R32:R39">
    <cfRule type="cellIs" dxfId="5248" priority="1541" operator="greaterThan">
      <formula>1</formula>
    </cfRule>
    <cfRule type="cellIs" dxfId="5247" priority="1542" operator="lessThan">
      <formula>0.8</formula>
    </cfRule>
  </conditionalFormatting>
  <conditionalFormatting sqref="P32:P39">
    <cfRule type="cellIs" dxfId="5246" priority="1540" operator="greaterThan">
      <formula>0</formula>
    </cfRule>
  </conditionalFormatting>
  <conditionalFormatting sqref="Q32:Q39">
    <cfRule type="cellIs" dxfId="5245" priority="1538" operator="lessThan">
      <formula>0</formula>
    </cfRule>
  </conditionalFormatting>
  <conditionalFormatting sqref="R32:R39">
    <cfRule type="cellIs" dxfId="5244" priority="1536" operator="lessThan">
      <formula>0.8</formula>
    </cfRule>
    <cfRule type="cellIs" dxfId="5243" priority="1537" operator="greaterThan">
      <formula>1</formula>
    </cfRule>
  </conditionalFormatting>
  <conditionalFormatting sqref="R32:R39">
    <cfRule type="cellIs" dxfId="5242" priority="1534" operator="greaterThan">
      <formula>1</formula>
    </cfRule>
    <cfRule type="cellIs" dxfId="5241" priority="1535" operator="lessThan">
      <formula>0.8</formula>
    </cfRule>
  </conditionalFormatting>
  <conditionalFormatting sqref="P32:P39">
    <cfRule type="cellIs" dxfId="5240" priority="1533" operator="greaterThan">
      <formula>0</formula>
    </cfRule>
  </conditionalFormatting>
  <conditionalFormatting sqref="Q32:Q39">
    <cfRule type="cellIs" dxfId="5239" priority="1532" operator="lessThan">
      <formula>0</formula>
    </cfRule>
  </conditionalFormatting>
  <conditionalFormatting sqref="R32:R39">
    <cfRule type="cellIs" dxfId="5238" priority="1530" operator="lessThan">
      <formula>0.8</formula>
    </cfRule>
    <cfRule type="cellIs" dxfId="5237" priority="1531" operator="greaterThan">
      <formula>1</formula>
    </cfRule>
  </conditionalFormatting>
  <conditionalFormatting sqref="R32:R39">
    <cfRule type="cellIs" dxfId="5236" priority="1528" operator="greaterThan">
      <formula>1</formula>
    </cfRule>
    <cfRule type="cellIs" dxfId="5235" priority="1529" operator="lessThan">
      <formula>0.8</formula>
    </cfRule>
  </conditionalFormatting>
  <conditionalFormatting sqref="P32:P39">
    <cfRule type="cellIs" dxfId="5234" priority="1527" operator="greaterThan">
      <formula>0</formula>
    </cfRule>
  </conditionalFormatting>
  <conditionalFormatting sqref="Q32:Q39">
    <cfRule type="cellIs" dxfId="5233" priority="1526" operator="lessThan">
      <formula>0</formula>
    </cfRule>
  </conditionalFormatting>
  <conditionalFormatting sqref="R32:R39">
    <cfRule type="cellIs" dxfId="5232" priority="1524" operator="lessThan">
      <formula>0.8</formula>
    </cfRule>
    <cfRule type="cellIs" dxfId="5231" priority="1525" operator="greaterThan">
      <formula>1</formula>
    </cfRule>
  </conditionalFormatting>
  <conditionalFormatting sqref="R32:R39">
    <cfRule type="cellIs" dxfId="5230" priority="1522" operator="greaterThan">
      <formula>1</formula>
    </cfRule>
    <cfRule type="cellIs" dxfId="5229" priority="1523" operator="lessThan">
      <formula>0.8</formula>
    </cfRule>
  </conditionalFormatting>
  <conditionalFormatting sqref="P32:P39">
    <cfRule type="cellIs" dxfId="5228" priority="1521" operator="greaterThan">
      <formula>0</formula>
    </cfRule>
  </conditionalFormatting>
  <conditionalFormatting sqref="Q32:Q39">
    <cfRule type="cellIs" dxfId="5227" priority="1520" operator="lessThan">
      <formula>0</formula>
    </cfRule>
  </conditionalFormatting>
  <conditionalFormatting sqref="R32:R39">
    <cfRule type="cellIs" dxfId="5226" priority="1518" operator="lessThan">
      <formula>0.8</formula>
    </cfRule>
    <cfRule type="cellIs" dxfId="5225" priority="1519" operator="greaterThan">
      <formula>1</formula>
    </cfRule>
  </conditionalFormatting>
  <conditionalFormatting sqref="R32:R39">
    <cfRule type="cellIs" dxfId="5224" priority="1516" operator="greaterThan">
      <formula>1</formula>
    </cfRule>
    <cfRule type="cellIs" dxfId="5223" priority="1517" operator="lessThan">
      <formula>0.8</formula>
    </cfRule>
  </conditionalFormatting>
  <conditionalFormatting sqref="P32:P39">
    <cfRule type="cellIs" dxfId="5222" priority="1515" operator="greaterThan">
      <formula>0</formula>
    </cfRule>
  </conditionalFormatting>
  <conditionalFormatting sqref="Q97 Q99 Q101:Q104">
    <cfRule type="cellIs" dxfId="5221" priority="1514" operator="lessThan">
      <formula>0</formula>
    </cfRule>
  </conditionalFormatting>
  <conditionalFormatting sqref="P97 P99 P101:P104">
    <cfRule type="cellIs" dxfId="5220" priority="1513" operator="greaterThan">
      <formula>0</formula>
    </cfRule>
  </conditionalFormatting>
  <conditionalFormatting sqref="P97 P99 P101:P104">
    <cfRule type="cellIs" dxfId="5219" priority="1511" operator="greaterThan">
      <formula>0</formula>
    </cfRule>
  </conditionalFormatting>
  <conditionalFormatting sqref="Q97 Q99 Q101:Q104">
    <cfRule type="cellIs" dxfId="5218" priority="1512" operator="lessThan">
      <formula>0</formula>
    </cfRule>
  </conditionalFormatting>
  <conditionalFormatting sqref="P97 P99 P101:P104">
    <cfRule type="cellIs" dxfId="5217" priority="1509" operator="greaterThan">
      <formula>0</formula>
    </cfRule>
  </conditionalFormatting>
  <conditionalFormatting sqref="Q97 Q99 Q101:Q104">
    <cfRule type="cellIs" dxfId="5216" priority="1510" operator="lessThan">
      <formula>0</formula>
    </cfRule>
  </conditionalFormatting>
  <conditionalFormatting sqref="Q97 Q99 Q101:Q104">
    <cfRule type="cellIs" dxfId="5215" priority="1508" operator="lessThan">
      <formula>0</formula>
    </cfRule>
  </conditionalFormatting>
  <conditionalFormatting sqref="P97 P99 P101:P104">
    <cfRule type="cellIs" dxfId="5214" priority="1507" operator="greaterThan">
      <formula>0</formula>
    </cfRule>
  </conditionalFormatting>
  <conditionalFormatting sqref="P97 P99 P101:P104">
    <cfRule type="cellIs" dxfId="5213" priority="1505" operator="greaterThan">
      <formula>0</formula>
    </cfRule>
  </conditionalFormatting>
  <conditionalFormatting sqref="Q97 Q99 Q101:Q104">
    <cfRule type="cellIs" dxfId="5212" priority="1506" operator="lessThan">
      <formula>0</formula>
    </cfRule>
  </conditionalFormatting>
  <conditionalFormatting sqref="Q97 Q99 Q101:Q104">
    <cfRule type="cellIs" dxfId="5211" priority="1504" operator="lessThan">
      <formula>0</formula>
    </cfRule>
  </conditionalFormatting>
  <conditionalFormatting sqref="P97 P99 P101:P104">
    <cfRule type="cellIs" dxfId="5210" priority="1503" operator="greaterThan">
      <formula>0</formula>
    </cfRule>
  </conditionalFormatting>
  <conditionalFormatting sqref="Q97 Q99 Q101:Q104">
    <cfRule type="cellIs" dxfId="5209" priority="1501" operator="lessThan">
      <formula>0</formula>
    </cfRule>
  </conditionalFormatting>
  <conditionalFormatting sqref="P97 P99 P101:P104">
    <cfRule type="cellIs" dxfId="5208" priority="1502" operator="greaterThan">
      <formula>0</formula>
    </cfRule>
  </conditionalFormatting>
  <conditionalFormatting sqref="Q97 Q99 Q101:Q104">
    <cfRule type="cellIs" dxfId="5207" priority="1500" operator="lessThan">
      <formula>0</formula>
    </cfRule>
  </conditionalFormatting>
  <conditionalFormatting sqref="P97 P99 P101:P104">
    <cfRule type="cellIs" dxfId="5206" priority="1499" operator="greaterThan">
      <formula>0</formula>
    </cfRule>
  </conditionalFormatting>
  <conditionalFormatting sqref="Q97 Q99 Q101:Q104">
    <cfRule type="cellIs" dxfId="5205" priority="1498" operator="lessThan">
      <formula>0</formula>
    </cfRule>
  </conditionalFormatting>
  <conditionalFormatting sqref="P97 P99 P101:P104">
    <cfRule type="cellIs" dxfId="5204" priority="1497" operator="greaterThan">
      <formula>0</formula>
    </cfRule>
  </conditionalFormatting>
  <conditionalFormatting sqref="Q97 Q99 Q101:Q104">
    <cfRule type="cellIs" dxfId="5203" priority="1496" operator="lessThan">
      <formula>0</formula>
    </cfRule>
  </conditionalFormatting>
  <conditionalFormatting sqref="P97 P99 P101:P104">
    <cfRule type="cellIs" dxfId="5202" priority="1495" operator="greaterThan">
      <formula>0</formula>
    </cfRule>
  </conditionalFormatting>
  <conditionalFormatting sqref="Q97 Q99 Q101:Q104">
    <cfRule type="cellIs" dxfId="5201" priority="1494" operator="lessThan">
      <formula>0</formula>
    </cfRule>
  </conditionalFormatting>
  <conditionalFormatting sqref="P97 P99 P101:P104">
    <cfRule type="cellIs" dxfId="5200" priority="1493" operator="greaterThan">
      <formula>0</formula>
    </cfRule>
  </conditionalFormatting>
  <conditionalFormatting sqref="Q97 Q99 Q101:Q104">
    <cfRule type="cellIs" dxfId="5199" priority="1492" operator="lessThan">
      <formula>0</formula>
    </cfRule>
  </conditionalFormatting>
  <conditionalFormatting sqref="P97 P99 P101:P104">
    <cfRule type="cellIs" dxfId="5198" priority="1491" operator="greaterThan">
      <formula>0</formula>
    </cfRule>
  </conditionalFormatting>
  <conditionalFormatting sqref="P97 P99 P101:P104">
    <cfRule type="cellIs" dxfId="5197" priority="1489" operator="greaterThan">
      <formula>0</formula>
    </cfRule>
  </conditionalFormatting>
  <conditionalFormatting sqref="Q97 Q99 Q101:Q104">
    <cfRule type="cellIs" dxfId="5196" priority="1490" operator="lessThan">
      <formula>0</formula>
    </cfRule>
  </conditionalFormatting>
  <conditionalFormatting sqref="P97 P99 P101:P104">
    <cfRule type="cellIs" dxfId="5195" priority="1487" operator="greaterThan">
      <formula>0</formula>
    </cfRule>
  </conditionalFormatting>
  <conditionalFormatting sqref="Q97 Q99 Q101:Q104">
    <cfRule type="cellIs" dxfId="5194" priority="1488" operator="lessThan">
      <formula>0</formula>
    </cfRule>
  </conditionalFormatting>
  <conditionalFormatting sqref="P97 P99 P101:P104">
    <cfRule type="cellIs" dxfId="5193" priority="1485" operator="greaterThan">
      <formula>0</formula>
    </cfRule>
  </conditionalFormatting>
  <conditionalFormatting sqref="Q97 Q99 Q101:Q104">
    <cfRule type="cellIs" dxfId="5192" priority="1486" operator="lessThan">
      <formula>0</formula>
    </cfRule>
  </conditionalFormatting>
  <conditionalFormatting sqref="Q97 Q99 Q101:Q104">
    <cfRule type="cellIs" dxfId="5191" priority="1483" operator="lessThan">
      <formula>0</formula>
    </cfRule>
  </conditionalFormatting>
  <conditionalFormatting sqref="P97 P99 P101:P104">
    <cfRule type="cellIs" dxfId="5190" priority="1484" operator="greaterThan">
      <formula>0</formula>
    </cfRule>
  </conditionalFormatting>
  <conditionalFormatting sqref="Q97 Q99 Q101:Q104">
    <cfRule type="cellIs" dxfId="5189" priority="1481" operator="lessThan">
      <formula>0</formula>
    </cfRule>
  </conditionalFormatting>
  <conditionalFormatting sqref="P97 P99 P101:P104">
    <cfRule type="cellIs" dxfId="5188" priority="1482" operator="greaterThan">
      <formula>0</formula>
    </cfRule>
  </conditionalFormatting>
  <conditionalFormatting sqref="Q97 Q99 Q101:Q104">
    <cfRule type="cellIs" dxfId="5187" priority="1480" operator="lessThan">
      <formula>0</formula>
    </cfRule>
  </conditionalFormatting>
  <conditionalFormatting sqref="P97 P99 P101:P104">
    <cfRule type="cellIs" dxfId="5186" priority="1479" operator="greaterThan">
      <formula>0</formula>
    </cfRule>
  </conditionalFormatting>
  <conditionalFormatting sqref="Q97 Q99 Q101:Q104">
    <cfRule type="cellIs" dxfId="5185" priority="1478" operator="lessThan">
      <formula>0</formula>
    </cfRule>
  </conditionalFormatting>
  <conditionalFormatting sqref="P97 P99 P101:P104">
    <cfRule type="cellIs" dxfId="5184" priority="1477" operator="greaterThan">
      <formula>0</formula>
    </cfRule>
  </conditionalFormatting>
  <conditionalFormatting sqref="Q97 Q99 Q101:Q104">
    <cfRule type="cellIs" dxfId="5183" priority="1475" operator="lessThan">
      <formula>0</formula>
    </cfRule>
  </conditionalFormatting>
  <conditionalFormatting sqref="P97 P99 P101:P104">
    <cfRule type="cellIs" dxfId="5182" priority="1476" operator="greaterThan">
      <formula>0</formula>
    </cfRule>
  </conditionalFormatting>
  <conditionalFormatting sqref="Q97 Q99 Q101:Q104">
    <cfRule type="cellIs" dxfId="5181" priority="1473" operator="lessThan">
      <formula>0</formula>
    </cfRule>
  </conditionalFormatting>
  <conditionalFormatting sqref="P97 P99 P101:P104">
    <cfRule type="cellIs" dxfId="5180" priority="1474" operator="greaterThan">
      <formula>0</formula>
    </cfRule>
  </conditionalFormatting>
  <conditionalFormatting sqref="Q97 Q99 Q101:Q104">
    <cfRule type="cellIs" dxfId="5179" priority="1472" operator="lessThan">
      <formula>0</formula>
    </cfRule>
  </conditionalFormatting>
  <conditionalFormatting sqref="P97 P99 P101:P104">
    <cfRule type="cellIs" dxfId="5178" priority="1471" operator="greaterThan">
      <formula>0</formula>
    </cfRule>
  </conditionalFormatting>
  <conditionalFormatting sqref="Q97 Q99 Q101:Q104">
    <cfRule type="cellIs" dxfId="5177" priority="1470" operator="lessThan">
      <formula>0</formula>
    </cfRule>
  </conditionalFormatting>
  <conditionalFormatting sqref="P97 P99 P101:P104">
    <cfRule type="cellIs" dxfId="5176" priority="1469" operator="greaterThan">
      <formula>0</formula>
    </cfRule>
  </conditionalFormatting>
  <conditionalFormatting sqref="P97 P99 P101:P104">
    <cfRule type="cellIs" dxfId="5175" priority="1467" operator="greaterThan">
      <formula>0</formula>
    </cfRule>
  </conditionalFormatting>
  <conditionalFormatting sqref="Q97 Q99 Q101:Q104">
    <cfRule type="cellIs" dxfId="5174" priority="1468" operator="lessThan">
      <formula>0</formula>
    </cfRule>
  </conditionalFormatting>
  <conditionalFormatting sqref="P97 P99 P101:P104">
    <cfRule type="cellIs" dxfId="5173" priority="1465" operator="greaterThan">
      <formula>0</formula>
    </cfRule>
  </conditionalFormatting>
  <conditionalFormatting sqref="Q97 Q99 Q101:Q104">
    <cfRule type="cellIs" dxfId="5172" priority="1466" operator="lessThan">
      <formula>0</formula>
    </cfRule>
  </conditionalFormatting>
  <conditionalFormatting sqref="Q97 Q99 Q101:Q104">
    <cfRule type="cellIs" dxfId="5171" priority="1463" operator="lessThan">
      <formula>0</formula>
    </cfRule>
  </conditionalFormatting>
  <conditionalFormatting sqref="P97 P99 P101:P104">
    <cfRule type="cellIs" dxfId="5170" priority="1464" operator="greaterThan">
      <formula>0</formula>
    </cfRule>
  </conditionalFormatting>
  <conditionalFormatting sqref="Q97 Q99 Q101:Q104">
    <cfRule type="cellIs" dxfId="5169" priority="1462" operator="lessThan">
      <formula>0</formula>
    </cfRule>
  </conditionalFormatting>
  <conditionalFormatting sqref="P97 P99 P101:P104">
    <cfRule type="cellIs" dxfId="5168" priority="1461" operator="greaterThan">
      <formula>0</formula>
    </cfRule>
  </conditionalFormatting>
  <conditionalFormatting sqref="Q97 Q99 Q101:Q104">
    <cfRule type="cellIs" dxfId="5167" priority="1460" operator="lessThan">
      <formula>0</formula>
    </cfRule>
  </conditionalFormatting>
  <conditionalFormatting sqref="P97 P99 P101:P104">
    <cfRule type="cellIs" dxfId="5166" priority="1459" operator="greaterThan">
      <formula>0</formula>
    </cfRule>
  </conditionalFormatting>
  <conditionalFormatting sqref="Q97 Q99 Q101:Q104">
    <cfRule type="cellIs" dxfId="5165" priority="1458" operator="lessThan">
      <formula>0</formula>
    </cfRule>
  </conditionalFormatting>
  <conditionalFormatting sqref="P97 P99 P101:P104">
    <cfRule type="cellIs" dxfId="5164" priority="1457" operator="greaterThan">
      <formula>0</formula>
    </cfRule>
  </conditionalFormatting>
  <conditionalFormatting sqref="Q97 Q99 Q101:Q104">
    <cfRule type="cellIs" dxfId="5163" priority="1456" operator="lessThan">
      <formula>0</formula>
    </cfRule>
  </conditionalFormatting>
  <conditionalFormatting sqref="P97 P99 P101:P104">
    <cfRule type="cellIs" dxfId="5162" priority="1455" operator="greaterThan">
      <formula>0</formula>
    </cfRule>
  </conditionalFormatting>
  <conditionalFormatting sqref="Q97 Q99 Q101:Q104">
    <cfRule type="cellIs" dxfId="5161" priority="1454" operator="lessThan">
      <formula>0</formula>
    </cfRule>
  </conditionalFormatting>
  <conditionalFormatting sqref="P97 P99 P101:P104">
    <cfRule type="cellIs" dxfId="5160" priority="1453" operator="greaterThan">
      <formula>0</formula>
    </cfRule>
  </conditionalFormatting>
  <conditionalFormatting sqref="P97 P99 P101:P104">
    <cfRule type="cellIs" dxfId="5159" priority="1451" operator="greaterThan">
      <formula>0</formula>
    </cfRule>
  </conditionalFormatting>
  <conditionalFormatting sqref="Q97 Q99 Q101:Q104">
    <cfRule type="cellIs" dxfId="5158" priority="1452" operator="lessThan">
      <formula>0</formula>
    </cfRule>
  </conditionalFormatting>
  <conditionalFormatting sqref="P97 P99 P101:P104">
    <cfRule type="cellIs" dxfId="5157" priority="1449" operator="greaterThan">
      <formula>0</formula>
    </cfRule>
  </conditionalFormatting>
  <conditionalFormatting sqref="Q97 Q99 Q101:Q104">
    <cfRule type="cellIs" dxfId="5156" priority="1450" operator="lessThan">
      <formula>0</formula>
    </cfRule>
  </conditionalFormatting>
  <conditionalFormatting sqref="P97 P99 P101:P104">
    <cfRule type="cellIs" dxfId="5155" priority="1447" operator="greaterThan">
      <formula>0</formula>
    </cfRule>
  </conditionalFormatting>
  <conditionalFormatting sqref="Q97 Q99 Q101:Q104">
    <cfRule type="cellIs" dxfId="5154" priority="1448" operator="lessThan">
      <formula>0</formula>
    </cfRule>
  </conditionalFormatting>
  <conditionalFormatting sqref="Q97 Q99 Q101:Q104">
    <cfRule type="cellIs" dxfId="5153" priority="1445" operator="lessThan">
      <formula>0</formula>
    </cfRule>
  </conditionalFormatting>
  <conditionalFormatting sqref="P97 P99 P101:P104">
    <cfRule type="cellIs" dxfId="5152" priority="1446" operator="greaterThan">
      <formula>0</formula>
    </cfRule>
  </conditionalFormatting>
  <conditionalFormatting sqref="Q97 Q99 Q101:Q104">
    <cfRule type="cellIs" dxfId="5151" priority="1443" operator="lessThan">
      <formula>0</formula>
    </cfRule>
  </conditionalFormatting>
  <conditionalFormatting sqref="P97 P99 P101:P104">
    <cfRule type="cellIs" dxfId="5150" priority="1444" operator="greaterThan">
      <formula>0</formula>
    </cfRule>
  </conditionalFormatting>
  <conditionalFormatting sqref="Q97 Q99 Q101:Q104">
    <cfRule type="cellIs" dxfId="5149" priority="1442" operator="lessThan">
      <formula>0</formula>
    </cfRule>
  </conditionalFormatting>
  <conditionalFormatting sqref="P97 P99 P101:P104">
    <cfRule type="cellIs" dxfId="5148" priority="1441" operator="greaterThan">
      <formula>0</formula>
    </cfRule>
  </conditionalFormatting>
  <conditionalFormatting sqref="Q97 Q99 Q101:Q104">
    <cfRule type="cellIs" dxfId="5147" priority="1440" operator="lessThan">
      <formula>0</formula>
    </cfRule>
  </conditionalFormatting>
  <conditionalFormatting sqref="P97 P99 P101:P104">
    <cfRule type="cellIs" dxfId="5146" priority="1439" operator="greaterThan">
      <formula>0</formula>
    </cfRule>
  </conditionalFormatting>
  <conditionalFormatting sqref="Q98 Q105 Q100">
    <cfRule type="cellIs" dxfId="5145" priority="1438" operator="lessThan">
      <formula>0</formula>
    </cfRule>
  </conditionalFormatting>
  <conditionalFormatting sqref="P98 P105 P100">
    <cfRule type="cellIs" dxfId="5144" priority="1437" operator="greaterThan">
      <formula>0</formula>
    </cfRule>
  </conditionalFormatting>
  <conditionalFormatting sqref="P98 P105 P100">
    <cfRule type="cellIs" dxfId="5143" priority="1435" operator="greaterThan">
      <formula>0</formula>
    </cfRule>
  </conditionalFormatting>
  <conditionalFormatting sqref="Q98 Q105 Q100">
    <cfRule type="cellIs" dxfId="5142" priority="1436" operator="lessThan">
      <formula>0</formula>
    </cfRule>
  </conditionalFormatting>
  <conditionalFormatting sqref="Q98 Q105 Q100">
    <cfRule type="cellIs" dxfId="5141" priority="1434" operator="lessThan">
      <formula>0</formula>
    </cfRule>
  </conditionalFormatting>
  <conditionalFormatting sqref="P98 P105 P100">
    <cfRule type="cellIs" dxfId="5140" priority="1433" operator="greaterThan">
      <formula>0</formula>
    </cfRule>
  </conditionalFormatting>
  <conditionalFormatting sqref="Q96">
    <cfRule type="cellIs" dxfId="5139" priority="1427" operator="lessThan">
      <formula>0</formula>
    </cfRule>
  </conditionalFormatting>
  <conditionalFormatting sqref="P96">
    <cfRule type="cellIs" dxfId="5138" priority="1428" operator="greaterThan">
      <formula>0</formula>
    </cfRule>
  </conditionalFormatting>
  <conditionalFormatting sqref="R96:R105">
    <cfRule type="cellIs" dxfId="5137" priority="1431" operator="lessThan">
      <formula>0.8</formula>
    </cfRule>
    <cfRule type="cellIs" dxfId="5136" priority="1432" operator="greaterThan">
      <formula>1</formula>
    </cfRule>
  </conditionalFormatting>
  <conditionalFormatting sqref="R96:R105">
    <cfRule type="cellIs" dxfId="5135" priority="1429" operator="greaterThan">
      <formula>1</formula>
    </cfRule>
    <cfRule type="cellIs" dxfId="5134" priority="1430" operator="lessThan">
      <formula>0.8</formula>
    </cfRule>
  </conditionalFormatting>
  <conditionalFormatting sqref="Q96">
    <cfRule type="cellIs" dxfId="5133" priority="1421" operator="lessThan">
      <formula>0</formula>
    </cfRule>
  </conditionalFormatting>
  <conditionalFormatting sqref="R96:R105">
    <cfRule type="cellIs" dxfId="5132" priority="1425" operator="lessThan">
      <formula>0.8</formula>
    </cfRule>
    <cfRule type="cellIs" dxfId="5131" priority="1426" operator="greaterThan">
      <formula>1</formula>
    </cfRule>
  </conditionalFormatting>
  <conditionalFormatting sqref="R96:R105">
    <cfRule type="cellIs" dxfId="5130" priority="1423" operator="greaterThan">
      <formula>1</formula>
    </cfRule>
    <cfRule type="cellIs" dxfId="5129" priority="1424" operator="lessThan">
      <formula>0.8</formula>
    </cfRule>
  </conditionalFormatting>
  <conditionalFormatting sqref="P96">
    <cfRule type="cellIs" dxfId="5128" priority="1422" operator="greaterThan">
      <formula>0</formula>
    </cfRule>
  </conditionalFormatting>
  <conditionalFormatting sqref="Q96">
    <cfRule type="cellIs" dxfId="5127" priority="1420" operator="lessThan">
      <formula>0</formula>
    </cfRule>
  </conditionalFormatting>
  <conditionalFormatting sqref="R96:R105">
    <cfRule type="cellIs" dxfId="5126" priority="1418" operator="lessThan">
      <formula>0.8</formula>
    </cfRule>
    <cfRule type="cellIs" dxfId="5125" priority="1419" operator="greaterThan">
      <formula>1</formula>
    </cfRule>
  </conditionalFormatting>
  <conditionalFormatting sqref="R96:R105">
    <cfRule type="cellIs" dxfId="5124" priority="1416" operator="greaterThan">
      <formula>1</formula>
    </cfRule>
    <cfRule type="cellIs" dxfId="5123" priority="1417" operator="lessThan">
      <formula>0.8</formula>
    </cfRule>
  </conditionalFormatting>
  <conditionalFormatting sqref="P96">
    <cfRule type="cellIs" dxfId="5122" priority="1415" operator="greaterThan">
      <formula>0</formula>
    </cfRule>
  </conditionalFormatting>
  <conditionalFormatting sqref="Q96">
    <cfRule type="cellIs" dxfId="5121" priority="1414" operator="lessThan">
      <formula>0</formula>
    </cfRule>
  </conditionalFormatting>
  <conditionalFormatting sqref="R96:R105">
    <cfRule type="cellIs" dxfId="5120" priority="1412" operator="lessThan">
      <formula>0.8</formula>
    </cfRule>
    <cfRule type="cellIs" dxfId="5119" priority="1413" operator="greaterThan">
      <formula>1</formula>
    </cfRule>
  </conditionalFormatting>
  <conditionalFormatting sqref="R96:R105">
    <cfRule type="cellIs" dxfId="5118" priority="1410" operator="greaterThan">
      <formula>1</formula>
    </cfRule>
    <cfRule type="cellIs" dxfId="5117" priority="1411" operator="lessThan">
      <formula>0.8</formula>
    </cfRule>
  </conditionalFormatting>
  <conditionalFormatting sqref="P96">
    <cfRule type="cellIs" dxfId="5116" priority="1409" operator="greaterThan">
      <formula>0</formula>
    </cfRule>
  </conditionalFormatting>
  <conditionalFormatting sqref="Q96">
    <cfRule type="cellIs" dxfId="5115" priority="1403" operator="lessThan">
      <formula>0</formula>
    </cfRule>
  </conditionalFormatting>
  <conditionalFormatting sqref="R96:R105">
    <cfRule type="cellIs" dxfId="5114" priority="1407" operator="lessThan">
      <formula>0.8</formula>
    </cfRule>
    <cfRule type="cellIs" dxfId="5113" priority="1408" operator="greaterThan">
      <formula>1</formula>
    </cfRule>
  </conditionalFormatting>
  <conditionalFormatting sqref="R96:R105">
    <cfRule type="cellIs" dxfId="5112" priority="1405" operator="greaterThan">
      <formula>1</formula>
    </cfRule>
    <cfRule type="cellIs" dxfId="5111" priority="1406" operator="lessThan">
      <formula>0.8</formula>
    </cfRule>
  </conditionalFormatting>
  <conditionalFormatting sqref="P96">
    <cfRule type="cellIs" dxfId="5110" priority="1404" operator="greaterThan">
      <formula>0</formula>
    </cfRule>
  </conditionalFormatting>
  <conditionalFormatting sqref="Q96">
    <cfRule type="cellIs" dxfId="5109" priority="1402" operator="lessThan">
      <formula>0</formula>
    </cfRule>
  </conditionalFormatting>
  <conditionalFormatting sqref="R96:R105">
    <cfRule type="cellIs" dxfId="5108" priority="1400" operator="lessThan">
      <formula>0.8</formula>
    </cfRule>
    <cfRule type="cellIs" dxfId="5107" priority="1401" operator="greaterThan">
      <formula>1</formula>
    </cfRule>
  </conditionalFormatting>
  <conditionalFormatting sqref="R96:R105">
    <cfRule type="cellIs" dxfId="5106" priority="1398" operator="greaterThan">
      <formula>1</formula>
    </cfRule>
    <cfRule type="cellIs" dxfId="5105" priority="1399" operator="lessThan">
      <formula>0.8</formula>
    </cfRule>
  </conditionalFormatting>
  <conditionalFormatting sqref="P96">
    <cfRule type="cellIs" dxfId="5104" priority="1397" operator="greaterThan">
      <formula>0</formula>
    </cfRule>
  </conditionalFormatting>
  <conditionalFormatting sqref="Q96">
    <cfRule type="cellIs" dxfId="5103" priority="1396" operator="lessThan">
      <formula>0</formula>
    </cfRule>
  </conditionalFormatting>
  <conditionalFormatting sqref="R96:R105">
    <cfRule type="cellIs" dxfId="5102" priority="1394" operator="lessThan">
      <formula>0.8</formula>
    </cfRule>
    <cfRule type="cellIs" dxfId="5101" priority="1395" operator="greaterThan">
      <formula>1</formula>
    </cfRule>
  </conditionalFormatting>
  <conditionalFormatting sqref="R96:R105">
    <cfRule type="cellIs" dxfId="5100" priority="1392" operator="greaterThan">
      <formula>1</formula>
    </cfRule>
    <cfRule type="cellIs" dxfId="5099" priority="1393" operator="lessThan">
      <formula>0.8</formula>
    </cfRule>
  </conditionalFormatting>
  <conditionalFormatting sqref="P96">
    <cfRule type="cellIs" dxfId="5098" priority="1391" operator="greaterThan">
      <formula>0</formula>
    </cfRule>
  </conditionalFormatting>
  <conditionalFormatting sqref="Q96">
    <cfRule type="cellIs" dxfId="5097" priority="1390" operator="lessThan">
      <formula>0</formula>
    </cfRule>
  </conditionalFormatting>
  <conditionalFormatting sqref="R96:R105">
    <cfRule type="cellIs" dxfId="5096" priority="1388" operator="lessThan">
      <formula>0.8</formula>
    </cfRule>
    <cfRule type="cellIs" dxfId="5095" priority="1389" operator="greaterThan">
      <formula>1</formula>
    </cfRule>
  </conditionalFormatting>
  <conditionalFormatting sqref="R96:R105">
    <cfRule type="cellIs" dxfId="5094" priority="1386" operator="greaterThan">
      <formula>1</formula>
    </cfRule>
    <cfRule type="cellIs" dxfId="5093" priority="1387" operator="lessThan">
      <formula>0.8</formula>
    </cfRule>
  </conditionalFormatting>
  <conditionalFormatting sqref="P96">
    <cfRule type="cellIs" dxfId="5092" priority="1385" operator="greaterThan">
      <formula>0</formula>
    </cfRule>
  </conditionalFormatting>
  <conditionalFormatting sqref="Q96">
    <cfRule type="cellIs" dxfId="5091" priority="1384" operator="lessThan">
      <formula>0</formula>
    </cfRule>
  </conditionalFormatting>
  <conditionalFormatting sqref="R96:R105">
    <cfRule type="cellIs" dxfId="5090" priority="1382" operator="lessThan">
      <formula>0.8</formula>
    </cfRule>
    <cfRule type="cellIs" dxfId="5089" priority="1383" operator="greaterThan">
      <formula>1</formula>
    </cfRule>
  </conditionalFormatting>
  <conditionalFormatting sqref="R96:R105">
    <cfRule type="cellIs" dxfId="5088" priority="1380" operator="greaterThan">
      <formula>1</formula>
    </cfRule>
    <cfRule type="cellIs" dxfId="5087" priority="1381" operator="lessThan">
      <formula>0.8</formula>
    </cfRule>
  </conditionalFormatting>
  <conditionalFormatting sqref="P96">
    <cfRule type="cellIs" dxfId="5086" priority="1379" operator="greaterThan">
      <formula>0</formula>
    </cfRule>
  </conditionalFormatting>
  <conditionalFormatting sqref="Q96">
    <cfRule type="cellIs" dxfId="5085" priority="1378" operator="lessThan">
      <formula>0</formula>
    </cfRule>
  </conditionalFormatting>
  <conditionalFormatting sqref="R96:R105">
    <cfRule type="cellIs" dxfId="5084" priority="1376" operator="lessThan">
      <formula>0.8</formula>
    </cfRule>
    <cfRule type="cellIs" dxfId="5083" priority="1377" operator="greaterThan">
      <formula>1</formula>
    </cfRule>
  </conditionalFormatting>
  <conditionalFormatting sqref="R96:R105">
    <cfRule type="cellIs" dxfId="5082" priority="1374" operator="greaterThan">
      <formula>1</formula>
    </cfRule>
    <cfRule type="cellIs" dxfId="5081" priority="1375" operator="lessThan">
      <formula>0.8</formula>
    </cfRule>
  </conditionalFormatting>
  <conditionalFormatting sqref="P96">
    <cfRule type="cellIs" dxfId="5080" priority="1373" operator="greaterThan">
      <formula>0</formula>
    </cfRule>
  </conditionalFormatting>
  <conditionalFormatting sqref="P96">
    <cfRule type="cellIs" dxfId="5079" priority="1367" operator="greaterThan">
      <formula>0</formula>
    </cfRule>
  </conditionalFormatting>
  <conditionalFormatting sqref="Q96">
    <cfRule type="cellIs" dxfId="5078" priority="1372" operator="lessThan">
      <formula>0</formula>
    </cfRule>
  </conditionalFormatting>
  <conditionalFormatting sqref="R96:R105">
    <cfRule type="cellIs" dxfId="5077" priority="1370" operator="lessThan">
      <formula>0.8</formula>
    </cfRule>
    <cfRule type="cellIs" dxfId="5076" priority="1371" operator="greaterThan">
      <formula>1</formula>
    </cfRule>
  </conditionalFormatting>
  <conditionalFormatting sqref="R96:R105">
    <cfRule type="cellIs" dxfId="5075" priority="1368" operator="greaterThan">
      <formula>1</formula>
    </cfRule>
    <cfRule type="cellIs" dxfId="5074" priority="1369" operator="lessThan">
      <formula>0.8</formula>
    </cfRule>
  </conditionalFormatting>
  <conditionalFormatting sqref="P96">
    <cfRule type="cellIs" dxfId="5073" priority="1361" operator="greaterThan">
      <formula>0</formula>
    </cfRule>
  </conditionalFormatting>
  <conditionalFormatting sqref="Q96">
    <cfRule type="cellIs" dxfId="5072" priority="1366" operator="lessThan">
      <formula>0</formula>
    </cfRule>
  </conditionalFormatting>
  <conditionalFormatting sqref="R96:R105">
    <cfRule type="cellIs" dxfId="5071" priority="1364" operator="lessThan">
      <formula>0.8</formula>
    </cfRule>
    <cfRule type="cellIs" dxfId="5070" priority="1365" operator="greaterThan">
      <formula>1</formula>
    </cfRule>
  </conditionalFormatting>
  <conditionalFormatting sqref="R96:R105">
    <cfRule type="cellIs" dxfId="5069" priority="1362" operator="greaterThan">
      <formula>1</formula>
    </cfRule>
    <cfRule type="cellIs" dxfId="5068" priority="1363" operator="lessThan">
      <formula>0.8</formula>
    </cfRule>
  </conditionalFormatting>
  <conditionalFormatting sqref="R96:R105">
    <cfRule type="cellIs" dxfId="5067" priority="1358" operator="lessThan">
      <formula>0.8</formula>
    </cfRule>
    <cfRule type="cellIs" dxfId="5066" priority="1359" operator="greaterThan">
      <formula>1</formula>
    </cfRule>
  </conditionalFormatting>
  <conditionalFormatting sqref="R96:R105">
    <cfRule type="cellIs" dxfId="5065" priority="1356" operator="greaterThan">
      <formula>1</formula>
    </cfRule>
    <cfRule type="cellIs" dxfId="5064" priority="1357" operator="lessThan">
      <formula>0.8</formula>
    </cfRule>
  </conditionalFormatting>
  <conditionalFormatting sqref="P96">
    <cfRule type="cellIs" dxfId="5063" priority="1355" operator="greaterThan">
      <formula>0</formula>
    </cfRule>
  </conditionalFormatting>
  <conditionalFormatting sqref="Q96">
    <cfRule type="cellIs" dxfId="5062" priority="1360" operator="lessThan">
      <formula>0</formula>
    </cfRule>
  </conditionalFormatting>
  <conditionalFormatting sqref="Q96">
    <cfRule type="cellIs" dxfId="5061" priority="1349" operator="lessThan">
      <formula>0</formula>
    </cfRule>
  </conditionalFormatting>
  <conditionalFormatting sqref="P96">
    <cfRule type="cellIs" dxfId="5060" priority="1350" operator="greaterThan">
      <formula>0</formula>
    </cfRule>
  </conditionalFormatting>
  <conditionalFormatting sqref="R96:R105">
    <cfRule type="cellIs" dxfId="5059" priority="1353" operator="lessThan">
      <formula>0.8</formula>
    </cfRule>
    <cfRule type="cellIs" dxfId="5058" priority="1354" operator="greaterThan">
      <formula>1</formula>
    </cfRule>
  </conditionalFormatting>
  <conditionalFormatting sqref="R96:R105">
    <cfRule type="cellIs" dxfId="5057" priority="1351" operator="greaterThan">
      <formula>1</formula>
    </cfRule>
    <cfRule type="cellIs" dxfId="5056" priority="1352" operator="lessThan">
      <formula>0.8</formula>
    </cfRule>
  </conditionalFormatting>
  <conditionalFormatting sqref="Q96">
    <cfRule type="cellIs" dxfId="5055" priority="1343" operator="lessThan">
      <formula>0</formula>
    </cfRule>
  </conditionalFormatting>
  <conditionalFormatting sqref="R96:R105">
    <cfRule type="cellIs" dxfId="5054" priority="1347" operator="lessThan">
      <formula>0.8</formula>
    </cfRule>
    <cfRule type="cellIs" dxfId="5053" priority="1348" operator="greaterThan">
      <formula>1</formula>
    </cfRule>
  </conditionalFormatting>
  <conditionalFormatting sqref="R96:R105">
    <cfRule type="cellIs" dxfId="5052" priority="1345" operator="greaterThan">
      <formula>1</formula>
    </cfRule>
    <cfRule type="cellIs" dxfId="5051" priority="1346" operator="lessThan">
      <formula>0.8</formula>
    </cfRule>
  </conditionalFormatting>
  <conditionalFormatting sqref="P96">
    <cfRule type="cellIs" dxfId="5050" priority="1344" operator="greaterThan">
      <formula>0</formula>
    </cfRule>
  </conditionalFormatting>
  <conditionalFormatting sqref="Q96">
    <cfRule type="cellIs" dxfId="5049" priority="1342" operator="lessThan">
      <formula>0</formula>
    </cfRule>
  </conditionalFormatting>
  <conditionalFormatting sqref="R96:R105">
    <cfRule type="cellIs" dxfId="5048" priority="1340" operator="lessThan">
      <formula>0.8</formula>
    </cfRule>
    <cfRule type="cellIs" dxfId="5047" priority="1341" operator="greaterThan">
      <formula>1</formula>
    </cfRule>
  </conditionalFormatting>
  <conditionalFormatting sqref="R96:R105">
    <cfRule type="cellIs" dxfId="5046" priority="1338" operator="greaterThan">
      <formula>1</formula>
    </cfRule>
    <cfRule type="cellIs" dxfId="5045" priority="1339" operator="lessThan">
      <formula>0.8</formula>
    </cfRule>
  </conditionalFormatting>
  <conditionalFormatting sqref="P96">
    <cfRule type="cellIs" dxfId="5044" priority="1337" operator="greaterThan">
      <formula>0</formula>
    </cfRule>
  </conditionalFormatting>
  <conditionalFormatting sqref="Q96">
    <cfRule type="cellIs" dxfId="5043" priority="1336" operator="lessThan">
      <formula>0</formula>
    </cfRule>
  </conditionalFormatting>
  <conditionalFormatting sqref="R96:R105">
    <cfRule type="cellIs" dxfId="5042" priority="1334" operator="lessThan">
      <formula>0.8</formula>
    </cfRule>
    <cfRule type="cellIs" dxfId="5041" priority="1335" operator="greaterThan">
      <formula>1</formula>
    </cfRule>
  </conditionalFormatting>
  <conditionalFormatting sqref="R96:R105">
    <cfRule type="cellIs" dxfId="5040" priority="1332" operator="greaterThan">
      <formula>1</formula>
    </cfRule>
    <cfRule type="cellIs" dxfId="5039" priority="1333" operator="lessThan">
      <formula>0.8</formula>
    </cfRule>
  </conditionalFormatting>
  <conditionalFormatting sqref="P96">
    <cfRule type="cellIs" dxfId="5038" priority="1331" operator="greaterThan">
      <formula>0</formula>
    </cfRule>
  </conditionalFormatting>
  <conditionalFormatting sqref="Q96">
    <cfRule type="cellIs" dxfId="5037" priority="1325" operator="lessThan">
      <formula>0</formula>
    </cfRule>
  </conditionalFormatting>
  <conditionalFormatting sqref="P96">
    <cfRule type="cellIs" dxfId="5036" priority="1326" operator="greaterThan">
      <formula>0</formula>
    </cfRule>
  </conditionalFormatting>
  <conditionalFormatting sqref="R96:R105">
    <cfRule type="cellIs" dxfId="5035" priority="1329" operator="lessThan">
      <formula>0.8</formula>
    </cfRule>
    <cfRule type="cellIs" dxfId="5034" priority="1330" operator="greaterThan">
      <formula>1</formula>
    </cfRule>
  </conditionalFormatting>
  <conditionalFormatting sqref="R96:R105">
    <cfRule type="cellIs" dxfId="5033" priority="1327" operator="greaterThan">
      <formula>1</formula>
    </cfRule>
    <cfRule type="cellIs" dxfId="5032" priority="1328" operator="lessThan">
      <formula>0.8</formula>
    </cfRule>
  </conditionalFormatting>
  <conditionalFormatting sqref="Q96">
    <cfRule type="cellIs" dxfId="5031" priority="1319" operator="lessThan">
      <formula>0</formula>
    </cfRule>
  </conditionalFormatting>
  <conditionalFormatting sqref="R96:R105">
    <cfRule type="cellIs" dxfId="5030" priority="1323" operator="lessThan">
      <formula>0.8</formula>
    </cfRule>
    <cfRule type="cellIs" dxfId="5029" priority="1324" operator="greaterThan">
      <formula>1</formula>
    </cfRule>
  </conditionalFormatting>
  <conditionalFormatting sqref="R96:R105">
    <cfRule type="cellIs" dxfId="5028" priority="1321" operator="greaterThan">
      <formula>1</formula>
    </cfRule>
    <cfRule type="cellIs" dxfId="5027" priority="1322" operator="lessThan">
      <formula>0.8</formula>
    </cfRule>
  </conditionalFormatting>
  <conditionalFormatting sqref="P96">
    <cfRule type="cellIs" dxfId="5026" priority="1320" operator="greaterThan">
      <formula>0</formula>
    </cfRule>
  </conditionalFormatting>
  <conditionalFormatting sqref="Q96">
    <cfRule type="cellIs" dxfId="5025" priority="1318" operator="lessThan">
      <formula>0</formula>
    </cfRule>
  </conditionalFormatting>
  <conditionalFormatting sqref="R96:R105">
    <cfRule type="cellIs" dxfId="5024" priority="1316" operator="lessThan">
      <formula>0.8</formula>
    </cfRule>
    <cfRule type="cellIs" dxfId="5023" priority="1317" operator="greaterThan">
      <formula>1</formula>
    </cfRule>
  </conditionalFormatting>
  <conditionalFormatting sqref="R96:R105">
    <cfRule type="cellIs" dxfId="5022" priority="1314" operator="greaterThan">
      <formula>1</formula>
    </cfRule>
    <cfRule type="cellIs" dxfId="5021" priority="1315" operator="lessThan">
      <formula>0.8</formula>
    </cfRule>
  </conditionalFormatting>
  <conditionalFormatting sqref="P96">
    <cfRule type="cellIs" dxfId="5020" priority="1313" operator="greaterThan">
      <formula>0</formula>
    </cfRule>
  </conditionalFormatting>
  <conditionalFormatting sqref="Q96">
    <cfRule type="cellIs" dxfId="5019" priority="1312" operator="lessThan">
      <formula>0</formula>
    </cfRule>
  </conditionalFormatting>
  <conditionalFormatting sqref="R96:R105">
    <cfRule type="cellIs" dxfId="5018" priority="1310" operator="lessThan">
      <formula>0.8</formula>
    </cfRule>
    <cfRule type="cellIs" dxfId="5017" priority="1311" operator="greaterThan">
      <formula>1</formula>
    </cfRule>
  </conditionalFormatting>
  <conditionalFormatting sqref="R96:R105">
    <cfRule type="cellIs" dxfId="5016" priority="1308" operator="greaterThan">
      <formula>1</formula>
    </cfRule>
    <cfRule type="cellIs" dxfId="5015" priority="1309" operator="lessThan">
      <formula>0.8</formula>
    </cfRule>
  </conditionalFormatting>
  <conditionalFormatting sqref="P96">
    <cfRule type="cellIs" dxfId="5014" priority="1307" operator="greaterThan">
      <formula>0</formula>
    </cfRule>
  </conditionalFormatting>
  <conditionalFormatting sqref="P124">
    <cfRule type="cellIs" dxfId="5013" priority="1301" operator="greaterThan">
      <formula>0</formula>
    </cfRule>
  </conditionalFormatting>
  <conditionalFormatting sqref="Q124">
    <cfRule type="cellIs" dxfId="5012" priority="1306" operator="lessThan">
      <formula>0</formula>
    </cfRule>
  </conditionalFormatting>
  <conditionalFormatting sqref="R124">
    <cfRule type="cellIs" dxfId="5011" priority="1304" operator="lessThan">
      <formula>0.8</formula>
    </cfRule>
    <cfRule type="cellIs" dxfId="5010" priority="1305" operator="greaterThan">
      <formula>1</formula>
    </cfRule>
  </conditionalFormatting>
  <conditionalFormatting sqref="R124">
    <cfRule type="cellIs" dxfId="5009" priority="1302" operator="greaterThan">
      <formula>1</formula>
    </cfRule>
    <cfRule type="cellIs" dxfId="5008" priority="1303" operator="lessThan">
      <formula>0.8</formula>
    </cfRule>
  </conditionalFormatting>
  <conditionalFormatting sqref="Q124">
    <cfRule type="cellIs" dxfId="5007" priority="1300" operator="lessThan">
      <formula>0</formula>
    </cfRule>
  </conditionalFormatting>
  <conditionalFormatting sqref="R124">
    <cfRule type="cellIs" dxfId="5006" priority="1298" operator="lessThan">
      <formula>0.8</formula>
    </cfRule>
    <cfRule type="cellIs" dxfId="5005" priority="1299" operator="greaterThan">
      <formula>1</formula>
    </cfRule>
  </conditionalFormatting>
  <conditionalFormatting sqref="R124">
    <cfRule type="cellIs" dxfId="5004" priority="1296" operator="greaterThan">
      <formula>1</formula>
    </cfRule>
    <cfRule type="cellIs" dxfId="5003" priority="1297" operator="lessThan">
      <formula>0.8</formula>
    </cfRule>
  </conditionalFormatting>
  <conditionalFormatting sqref="P124">
    <cfRule type="cellIs" dxfId="5002" priority="1295" operator="greaterThan">
      <formula>0</formula>
    </cfRule>
  </conditionalFormatting>
  <conditionalFormatting sqref="Q123 Q125:Q129">
    <cfRule type="cellIs" dxfId="5001" priority="1294" operator="lessThan">
      <formula>0</formula>
    </cfRule>
  </conditionalFormatting>
  <conditionalFormatting sqref="R123 R125:R129">
    <cfRule type="cellIs" dxfId="5000" priority="1292" operator="lessThan">
      <formula>0.8</formula>
    </cfRule>
    <cfRule type="cellIs" dxfId="4999" priority="1293" operator="greaterThan">
      <formula>1</formula>
    </cfRule>
  </conditionalFormatting>
  <conditionalFormatting sqref="R123 R125:R129">
    <cfRule type="cellIs" dxfId="4998" priority="1290" operator="greaterThan">
      <formula>1</formula>
    </cfRule>
    <cfRule type="cellIs" dxfId="4997" priority="1291" operator="lessThan">
      <formula>0.8</formula>
    </cfRule>
  </conditionalFormatting>
  <conditionalFormatting sqref="P123 P125:P129">
    <cfRule type="cellIs" dxfId="4996" priority="1289" operator="greaterThan">
      <formula>0</formula>
    </cfRule>
  </conditionalFormatting>
  <conditionalFormatting sqref="P123 P125:P129">
    <cfRule type="cellIs" dxfId="4995" priority="1283" operator="greaterThan">
      <formula>0</formula>
    </cfRule>
  </conditionalFormatting>
  <conditionalFormatting sqref="Q123 Q125:Q129">
    <cfRule type="cellIs" dxfId="4994" priority="1288" operator="lessThan">
      <formula>0</formula>
    </cfRule>
  </conditionalFormatting>
  <conditionalFormatting sqref="R123 R125:R129">
    <cfRule type="cellIs" dxfId="4993" priority="1286" operator="lessThan">
      <formula>0.8</formula>
    </cfRule>
    <cfRule type="cellIs" dxfId="4992" priority="1287" operator="greaterThan">
      <formula>1</formula>
    </cfRule>
  </conditionalFormatting>
  <conditionalFormatting sqref="R123 R125:R129">
    <cfRule type="cellIs" dxfId="4991" priority="1284" operator="greaterThan">
      <formula>1</formula>
    </cfRule>
    <cfRule type="cellIs" dxfId="4990" priority="1285" operator="lessThan">
      <formula>0.8</formula>
    </cfRule>
  </conditionalFormatting>
  <conditionalFormatting sqref="P122">
    <cfRule type="cellIs" dxfId="4989" priority="1277" operator="greaterThan">
      <formula>0</formula>
    </cfRule>
  </conditionalFormatting>
  <conditionalFormatting sqref="Q122">
    <cfRule type="cellIs" dxfId="4988" priority="1282" operator="lessThan">
      <formula>0</formula>
    </cfRule>
  </conditionalFormatting>
  <conditionalFormatting sqref="R122">
    <cfRule type="cellIs" dxfId="4987" priority="1280" operator="lessThan">
      <formula>0.8</formula>
    </cfRule>
    <cfRule type="cellIs" dxfId="4986" priority="1281" operator="greaterThan">
      <formula>1</formula>
    </cfRule>
  </conditionalFormatting>
  <conditionalFormatting sqref="R122">
    <cfRule type="cellIs" dxfId="4985" priority="1278" operator="greaterThan">
      <formula>1</formula>
    </cfRule>
    <cfRule type="cellIs" dxfId="4984" priority="1279" operator="lessThan">
      <formula>0.8</formula>
    </cfRule>
  </conditionalFormatting>
  <conditionalFormatting sqref="Q109:Q116">
    <cfRule type="cellIs" dxfId="4983" priority="1276" operator="lessThan">
      <formula>0</formula>
    </cfRule>
  </conditionalFormatting>
  <conditionalFormatting sqref="R109:R116">
    <cfRule type="cellIs" dxfId="4982" priority="1274" operator="lessThan">
      <formula>0.8</formula>
    </cfRule>
    <cfRule type="cellIs" dxfId="4981" priority="1275" operator="greaterThan">
      <formula>1</formula>
    </cfRule>
  </conditionalFormatting>
  <conditionalFormatting sqref="R109:R116">
    <cfRule type="cellIs" dxfId="4980" priority="1272" operator="greaterThan">
      <formula>1</formula>
    </cfRule>
    <cfRule type="cellIs" dxfId="4979" priority="1273" operator="lessThan">
      <formula>0.8</formula>
    </cfRule>
  </conditionalFormatting>
  <conditionalFormatting sqref="P109:P116">
    <cfRule type="cellIs" dxfId="4978" priority="1271" operator="greaterThan">
      <formula>0</formula>
    </cfRule>
  </conditionalFormatting>
  <conditionalFormatting sqref="Q130">
    <cfRule type="cellIs" dxfId="4977" priority="1270" operator="lessThan">
      <formula>0</formula>
    </cfRule>
  </conditionalFormatting>
  <conditionalFormatting sqref="R130">
    <cfRule type="cellIs" dxfId="4976" priority="1268" operator="lessThan">
      <formula>0.8</formula>
    </cfRule>
    <cfRule type="cellIs" dxfId="4975" priority="1269" operator="greaterThan">
      <formula>1</formula>
    </cfRule>
  </conditionalFormatting>
  <conditionalFormatting sqref="R130">
    <cfRule type="cellIs" dxfId="4974" priority="1266" operator="greaterThan">
      <formula>1</formula>
    </cfRule>
    <cfRule type="cellIs" dxfId="4973" priority="1267" operator="lessThan">
      <formula>0.8</formula>
    </cfRule>
  </conditionalFormatting>
  <conditionalFormatting sqref="P130">
    <cfRule type="cellIs" dxfId="4972" priority="1265" operator="greaterThan">
      <formula>0</formula>
    </cfRule>
  </conditionalFormatting>
  <conditionalFormatting sqref="R130">
    <cfRule type="cellIs" dxfId="4971" priority="1262" operator="lessThan">
      <formula>0.8</formula>
    </cfRule>
    <cfRule type="cellIs" dxfId="4970" priority="1263" operator="greaterThan">
      <formula>1</formula>
    </cfRule>
  </conditionalFormatting>
  <conditionalFormatting sqref="R130">
    <cfRule type="cellIs" dxfId="4969" priority="1260" operator="greaterThan">
      <formula>1</formula>
    </cfRule>
    <cfRule type="cellIs" dxfId="4968" priority="1261" operator="lessThan">
      <formula>0.8</formula>
    </cfRule>
  </conditionalFormatting>
  <conditionalFormatting sqref="P130">
    <cfRule type="cellIs" dxfId="4967" priority="1259" operator="greaterThan">
      <formula>0</formula>
    </cfRule>
  </conditionalFormatting>
  <conditionalFormatting sqref="Q130">
    <cfRule type="cellIs" dxfId="4966" priority="1264" operator="lessThan">
      <formula>0</formula>
    </cfRule>
  </conditionalFormatting>
  <conditionalFormatting sqref="R130">
    <cfRule type="cellIs" dxfId="4965" priority="1256" operator="lessThan">
      <formula>0.8</formula>
    </cfRule>
    <cfRule type="cellIs" dxfId="4964" priority="1257" operator="greaterThan">
      <formula>1</formula>
    </cfRule>
  </conditionalFormatting>
  <conditionalFormatting sqref="R130">
    <cfRule type="cellIs" dxfId="4963" priority="1254" operator="greaterThan">
      <formula>1</formula>
    </cfRule>
    <cfRule type="cellIs" dxfId="4962" priority="1255" operator="lessThan">
      <formula>0.8</formula>
    </cfRule>
  </conditionalFormatting>
  <conditionalFormatting sqref="P130">
    <cfRule type="cellIs" dxfId="4961" priority="1253" operator="greaterThan">
      <formula>0</formula>
    </cfRule>
  </conditionalFormatting>
  <conditionalFormatting sqref="Q130">
    <cfRule type="cellIs" dxfId="4960" priority="1258" operator="lessThan">
      <formula>0</formula>
    </cfRule>
  </conditionalFormatting>
  <conditionalFormatting sqref="Q130">
    <cfRule type="cellIs" dxfId="4959" priority="1252" operator="lessThan">
      <formula>0</formula>
    </cfRule>
  </conditionalFormatting>
  <conditionalFormatting sqref="R130">
    <cfRule type="cellIs" dxfId="4958" priority="1250" operator="lessThan">
      <formula>0.8</formula>
    </cfRule>
    <cfRule type="cellIs" dxfId="4957" priority="1251" operator="greaterThan">
      <formula>1</formula>
    </cfRule>
  </conditionalFormatting>
  <conditionalFormatting sqref="R130">
    <cfRule type="cellIs" dxfId="4956" priority="1248" operator="greaterThan">
      <formula>1</formula>
    </cfRule>
    <cfRule type="cellIs" dxfId="4955" priority="1249" operator="lessThan">
      <formula>0.8</formula>
    </cfRule>
  </conditionalFormatting>
  <conditionalFormatting sqref="P130">
    <cfRule type="cellIs" dxfId="4954" priority="1247" operator="greaterThan">
      <formula>0</formula>
    </cfRule>
  </conditionalFormatting>
  <conditionalFormatting sqref="R130">
    <cfRule type="cellIs" dxfId="4953" priority="1244" operator="lessThan">
      <formula>0.8</formula>
    </cfRule>
    <cfRule type="cellIs" dxfId="4952" priority="1245" operator="greaterThan">
      <formula>1</formula>
    </cfRule>
  </conditionalFormatting>
  <conditionalFormatting sqref="R130">
    <cfRule type="cellIs" dxfId="4951" priority="1242" operator="greaterThan">
      <formula>1</formula>
    </cfRule>
    <cfRule type="cellIs" dxfId="4950" priority="1243" operator="lessThan">
      <formula>0.8</formula>
    </cfRule>
  </conditionalFormatting>
  <conditionalFormatting sqref="P130">
    <cfRule type="cellIs" dxfId="4949" priority="1241" operator="greaterThan">
      <formula>0</formula>
    </cfRule>
  </conditionalFormatting>
  <conditionalFormatting sqref="Q130">
    <cfRule type="cellIs" dxfId="4948" priority="1246" operator="lessThan">
      <formula>0</formula>
    </cfRule>
  </conditionalFormatting>
  <conditionalFormatting sqref="Q130">
    <cfRule type="cellIs" dxfId="4947" priority="1240" operator="lessThan">
      <formula>0</formula>
    </cfRule>
  </conditionalFormatting>
  <conditionalFormatting sqref="R130">
    <cfRule type="cellIs" dxfId="4946" priority="1238" operator="lessThan">
      <formula>0.8</formula>
    </cfRule>
    <cfRule type="cellIs" dxfId="4945" priority="1239" operator="greaterThan">
      <formula>1</formula>
    </cfRule>
  </conditionalFormatting>
  <conditionalFormatting sqref="R130">
    <cfRule type="cellIs" dxfId="4944" priority="1236" operator="greaterThan">
      <formula>1</formula>
    </cfRule>
    <cfRule type="cellIs" dxfId="4943" priority="1237" operator="lessThan">
      <formula>0.8</formula>
    </cfRule>
  </conditionalFormatting>
  <conditionalFormatting sqref="P130">
    <cfRule type="cellIs" dxfId="4942" priority="1235" operator="greaterThan">
      <formula>0</formula>
    </cfRule>
  </conditionalFormatting>
  <conditionalFormatting sqref="Q130">
    <cfRule type="cellIs" dxfId="4941" priority="1229" operator="lessThan">
      <formula>0</formula>
    </cfRule>
  </conditionalFormatting>
  <conditionalFormatting sqref="R130">
    <cfRule type="cellIs" dxfId="4940" priority="1233" operator="lessThan">
      <formula>0.8</formula>
    </cfRule>
    <cfRule type="cellIs" dxfId="4939" priority="1234" operator="greaterThan">
      <formula>1</formula>
    </cfRule>
  </conditionalFormatting>
  <conditionalFormatting sqref="R130">
    <cfRule type="cellIs" dxfId="4938" priority="1231" operator="greaterThan">
      <formula>1</formula>
    </cfRule>
    <cfRule type="cellIs" dxfId="4937" priority="1232" operator="lessThan">
      <formula>0.8</formula>
    </cfRule>
  </conditionalFormatting>
  <conditionalFormatting sqref="P130">
    <cfRule type="cellIs" dxfId="4936" priority="1230" operator="greaterThan">
      <formula>0</formula>
    </cfRule>
  </conditionalFormatting>
  <conditionalFormatting sqref="Q130">
    <cfRule type="cellIs" dxfId="4935" priority="1228" operator="lessThan">
      <formula>0</formula>
    </cfRule>
  </conditionalFormatting>
  <conditionalFormatting sqref="R130">
    <cfRule type="cellIs" dxfId="4934" priority="1226" operator="lessThan">
      <formula>0.8</formula>
    </cfRule>
    <cfRule type="cellIs" dxfId="4933" priority="1227" operator="greaterThan">
      <formula>1</formula>
    </cfRule>
  </conditionalFormatting>
  <conditionalFormatting sqref="R130">
    <cfRule type="cellIs" dxfId="4932" priority="1224" operator="greaterThan">
      <formula>1</formula>
    </cfRule>
    <cfRule type="cellIs" dxfId="4931" priority="1225" operator="lessThan">
      <formula>0.8</formula>
    </cfRule>
  </conditionalFormatting>
  <conditionalFormatting sqref="P130">
    <cfRule type="cellIs" dxfId="4930" priority="1223" operator="greaterThan">
      <formula>0</formula>
    </cfRule>
  </conditionalFormatting>
  <conditionalFormatting sqref="Q130">
    <cfRule type="cellIs" dxfId="4929" priority="1222" operator="lessThan">
      <formula>0</formula>
    </cfRule>
  </conditionalFormatting>
  <conditionalFormatting sqref="R130">
    <cfRule type="cellIs" dxfId="4928" priority="1220" operator="lessThan">
      <formula>0.8</formula>
    </cfRule>
    <cfRule type="cellIs" dxfId="4927" priority="1221" operator="greaterThan">
      <formula>1</formula>
    </cfRule>
  </conditionalFormatting>
  <conditionalFormatting sqref="R130">
    <cfRule type="cellIs" dxfId="4926" priority="1218" operator="greaterThan">
      <formula>1</formula>
    </cfRule>
    <cfRule type="cellIs" dxfId="4925" priority="1219" operator="lessThan">
      <formula>0.8</formula>
    </cfRule>
  </conditionalFormatting>
  <conditionalFormatting sqref="P130">
    <cfRule type="cellIs" dxfId="4924" priority="1217" operator="greaterThan">
      <formula>0</formula>
    </cfRule>
  </conditionalFormatting>
  <conditionalFormatting sqref="Q130">
    <cfRule type="cellIs" dxfId="4923" priority="1216" operator="lessThan">
      <formula>0</formula>
    </cfRule>
  </conditionalFormatting>
  <conditionalFormatting sqref="R130">
    <cfRule type="cellIs" dxfId="4922" priority="1214" operator="lessThan">
      <formula>0.8</formula>
    </cfRule>
    <cfRule type="cellIs" dxfId="4921" priority="1215" operator="greaterThan">
      <formula>1</formula>
    </cfRule>
  </conditionalFormatting>
  <conditionalFormatting sqref="R130">
    <cfRule type="cellIs" dxfId="4920" priority="1212" operator="greaterThan">
      <formula>1</formula>
    </cfRule>
    <cfRule type="cellIs" dxfId="4919" priority="1213" operator="lessThan">
      <formula>0.8</formula>
    </cfRule>
  </conditionalFormatting>
  <conditionalFormatting sqref="P130">
    <cfRule type="cellIs" dxfId="4918" priority="1211" operator="greaterThan">
      <formula>0</formula>
    </cfRule>
  </conditionalFormatting>
  <conditionalFormatting sqref="Q130">
    <cfRule type="cellIs" dxfId="4917" priority="1210" operator="lessThan">
      <formula>0</formula>
    </cfRule>
  </conditionalFormatting>
  <conditionalFormatting sqref="R130">
    <cfRule type="cellIs" dxfId="4916" priority="1208" operator="lessThan">
      <formula>0.8</formula>
    </cfRule>
    <cfRule type="cellIs" dxfId="4915" priority="1209" operator="greaterThan">
      <formula>1</formula>
    </cfRule>
  </conditionalFormatting>
  <conditionalFormatting sqref="R130">
    <cfRule type="cellIs" dxfId="4914" priority="1206" operator="greaterThan">
      <formula>1</formula>
    </cfRule>
    <cfRule type="cellIs" dxfId="4913" priority="1207" operator="lessThan">
      <formula>0.8</formula>
    </cfRule>
  </conditionalFormatting>
  <conditionalFormatting sqref="P130">
    <cfRule type="cellIs" dxfId="4912" priority="1205" operator="greaterThan">
      <formula>0</formula>
    </cfRule>
  </conditionalFormatting>
  <conditionalFormatting sqref="Q130">
    <cfRule type="cellIs" dxfId="4911" priority="1204" operator="lessThan">
      <formula>0</formula>
    </cfRule>
  </conditionalFormatting>
  <conditionalFormatting sqref="R130">
    <cfRule type="cellIs" dxfId="4910" priority="1202" operator="lessThan">
      <formula>0.8</formula>
    </cfRule>
    <cfRule type="cellIs" dxfId="4909" priority="1203" operator="greaterThan">
      <formula>1</formula>
    </cfRule>
  </conditionalFormatting>
  <conditionalFormatting sqref="R130">
    <cfRule type="cellIs" dxfId="4908" priority="1200" operator="greaterThan">
      <formula>1</formula>
    </cfRule>
    <cfRule type="cellIs" dxfId="4907" priority="1201" operator="lessThan">
      <formula>0.8</formula>
    </cfRule>
  </conditionalFormatting>
  <conditionalFormatting sqref="P130">
    <cfRule type="cellIs" dxfId="4906" priority="1199" operator="greaterThan">
      <formula>0</formula>
    </cfRule>
  </conditionalFormatting>
  <conditionalFormatting sqref="P130">
    <cfRule type="cellIs" dxfId="4905" priority="1193" operator="greaterThan">
      <formula>0</formula>
    </cfRule>
  </conditionalFormatting>
  <conditionalFormatting sqref="Q130">
    <cfRule type="cellIs" dxfId="4904" priority="1198" operator="lessThan">
      <formula>0</formula>
    </cfRule>
  </conditionalFormatting>
  <conditionalFormatting sqref="R130">
    <cfRule type="cellIs" dxfId="4903" priority="1196" operator="lessThan">
      <formula>0.8</formula>
    </cfRule>
    <cfRule type="cellIs" dxfId="4902" priority="1197" operator="greaterThan">
      <formula>1</formula>
    </cfRule>
  </conditionalFormatting>
  <conditionalFormatting sqref="R130">
    <cfRule type="cellIs" dxfId="4901" priority="1194" operator="greaterThan">
      <formula>1</formula>
    </cfRule>
    <cfRule type="cellIs" dxfId="4900" priority="1195" operator="lessThan">
      <formula>0.8</formula>
    </cfRule>
  </conditionalFormatting>
  <conditionalFormatting sqref="P130">
    <cfRule type="cellIs" dxfId="4899" priority="1187" operator="greaterThan">
      <formula>0</formula>
    </cfRule>
  </conditionalFormatting>
  <conditionalFormatting sqref="Q130">
    <cfRule type="cellIs" dxfId="4898" priority="1192" operator="lessThan">
      <formula>0</formula>
    </cfRule>
  </conditionalFormatting>
  <conditionalFormatting sqref="R130">
    <cfRule type="cellIs" dxfId="4897" priority="1190" operator="lessThan">
      <formula>0.8</formula>
    </cfRule>
    <cfRule type="cellIs" dxfId="4896" priority="1191" operator="greaterThan">
      <formula>1</formula>
    </cfRule>
  </conditionalFormatting>
  <conditionalFormatting sqref="R130">
    <cfRule type="cellIs" dxfId="4895" priority="1188" operator="greaterThan">
      <formula>1</formula>
    </cfRule>
    <cfRule type="cellIs" dxfId="4894" priority="1189" operator="lessThan">
      <formula>0.8</formula>
    </cfRule>
  </conditionalFormatting>
  <conditionalFormatting sqref="R130">
    <cfRule type="cellIs" dxfId="4893" priority="1184" operator="lessThan">
      <formula>0.8</formula>
    </cfRule>
    <cfRule type="cellIs" dxfId="4892" priority="1185" operator="greaterThan">
      <formula>1</formula>
    </cfRule>
  </conditionalFormatting>
  <conditionalFormatting sqref="R130">
    <cfRule type="cellIs" dxfId="4891" priority="1182" operator="greaterThan">
      <formula>1</formula>
    </cfRule>
    <cfRule type="cellIs" dxfId="4890" priority="1183" operator="lessThan">
      <formula>0.8</formula>
    </cfRule>
  </conditionalFormatting>
  <conditionalFormatting sqref="P130">
    <cfRule type="cellIs" dxfId="4889" priority="1181" operator="greaterThan">
      <formula>0</formula>
    </cfRule>
  </conditionalFormatting>
  <conditionalFormatting sqref="Q130">
    <cfRule type="cellIs" dxfId="4888" priority="1186" operator="lessThan">
      <formula>0</formula>
    </cfRule>
  </conditionalFormatting>
  <conditionalFormatting sqref="Q130">
    <cfRule type="cellIs" dxfId="4887" priority="1175" operator="lessThan">
      <formula>0</formula>
    </cfRule>
  </conditionalFormatting>
  <conditionalFormatting sqref="P130">
    <cfRule type="cellIs" dxfId="4886" priority="1176" operator="greaterThan">
      <formula>0</formula>
    </cfRule>
  </conditionalFormatting>
  <conditionalFormatting sqref="R130">
    <cfRule type="cellIs" dxfId="4885" priority="1179" operator="lessThan">
      <formula>0.8</formula>
    </cfRule>
    <cfRule type="cellIs" dxfId="4884" priority="1180" operator="greaterThan">
      <formula>1</formula>
    </cfRule>
  </conditionalFormatting>
  <conditionalFormatting sqref="R130">
    <cfRule type="cellIs" dxfId="4883" priority="1177" operator="greaterThan">
      <formula>1</formula>
    </cfRule>
    <cfRule type="cellIs" dxfId="4882" priority="1178" operator="lessThan">
      <formula>0.8</formula>
    </cfRule>
  </conditionalFormatting>
  <conditionalFormatting sqref="Q130">
    <cfRule type="cellIs" dxfId="4881" priority="1169" operator="lessThan">
      <formula>0</formula>
    </cfRule>
  </conditionalFormatting>
  <conditionalFormatting sqref="R130">
    <cfRule type="cellIs" dxfId="4880" priority="1173" operator="lessThan">
      <formula>0.8</formula>
    </cfRule>
    <cfRule type="cellIs" dxfId="4879" priority="1174" operator="greaterThan">
      <formula>1</formula>
    </cfRule>
  </conditionalFormatting>
  <conditionalFormatting sqref="R130">
    <cfRule type="cellIs" dxfId="4878" priority="1171" operator="greaterThan">
      <formula>1</formula>
    </cfRule>
    <cfRule type="cellIs" dxfId="4877" priority="1172" operator="lessThan">
      <formula>0.8</formula>
    </cfRule>
  </conditionalFormatting>
  <conditionalFormatting sqref="P130">
    <cfRule type="cellIs" dxfId="4876" priority="1170" operator="greaterThan">
      <formula>0</formula>
    </cfRule>
  </conditionalFormatting>
  <conditionalFormatting sqref="Q130">
    <cfRule type="cellIs" dxfId="4875" priority="1168" operator="lessThan">
      <formula>0</formula>
    </cfRule>
  </conditionalFormatting>
  <conditionalFormatting sqref="R130">
    <cfRule type="cellIs" dxfId="4874" priority="1166" operator="lessThan">
      <formula>0.8</formula>
    </cfRule>
    <cfRule type="cellIs" dxfId="4873" priority="1167" operator="greaterThan">
      <formula>1</formula>
    </cfRule>
  </conditionalFormatting>
  <conditionalFormatting sqref="R130">
    <cfRule type="cellIs" dxfId="4872" priority="1164" operator="greaterThan">
      <formula>1</formula>
    </cfRule>
    <cfRule type="cellIs" dxfId="4871" priority="1165" operator="lessThan">
      <formula>0.8</formula>
    </cfRule>
  </conditionalFormatting>
  <conditionalFormatting sqref="P130">
    <cfRule type="cellIs" dxfId="4870" priority="1163" operator="greaterThan">
      <formula>0</formula>
    </cfRule>
  </conditionalFormatting>
  <conditionalFormatting sqref="Q130">
    <cfRule type="cellIs" dxfId="4869" priority="1162" operator="lessThan">
      <formula>0</formula>
    </cfRule>
  </conditionalFormatting>
  <conditionalFormatting sqref="R130">
    <cfRule type="cellIs" dxfId="4868" priority="1160" operator="lessThan">
      <formula>0.8</formula>
    </cfRule>
    <cfRule type="cellIs" dxfId="4867" priority="1161" operator="greaterThan">
      <formula>1</formula>
    </cfRule>
  </conditionalFormatting>
  <conditionalFormatting sqref="R130">
    <cfRule type="cellIs" dxfId="4866" priority="1158" operator="greaterThan">
      <formula>1</formula>
    </cfRule>
    <cfRule type="cellIs" dxfId="4865" priority="1159" operator="lessThan">
      <formula>0.8</formula>
    </cfRule>
  </conditionalFormatting>
  <conditionalFormatting sqref="P130">
    <cfRule type="cellIs" dxfId="4864" priority="1157" operator="greaterThan">
      <formula>0</formula>
    </cfRule>
  </conditionalFormatting>
  <conditionalFormatting sqref="Q130">
    <cfRule type="cellIs" dxfId="4863" priority="1151" operator="lessThan">
      <formula>0</formula>
    </cfRule>
  </conditionalFormatting>
  <conditionalFormatting sqref="P130">
    <cfRule type="cellIs" dxfId="4862" priority="1152" operator="greaterThan">
      <formula>0</formula>
    </cfRule>
  </conditionalFormatting>
  <conditionalFormatting sqref="R130">
    <cfRule type="cellIs" dxfId="4861" priority="1155" operator="lessThan">
      <formula>0.8</formula>
    </cfRule>
    <cfRule type="cellIs" dxfId="4860" priority="1156" operator="greaterThan">
      <formula>1</formula>
    </cfRule>
  </conditionalFormatting>
  <conditionalFormatting sqref="R130">
    <cfRule type="cellIs" dxfId="4859" priority="1153" operator="greaterThan">
      <formula>1</formula>
    </cfRule>
    <cfRule type="cellIs" dxfId="4858" priority="1154" operator="lessThan">
      <formula>0.8</formula>
    </cfRule>
  </conditionalFormatting>
  <conditionalFormatting sqref="Q130">
    <cfRule type="cellIs" dxfId="4857" priority="1145" operator="lessThan">
      <formula>0</formula>
    </cfRule>
  </conditionalFormatting>
  <conditionalFormatting sqref="R130">
    <cfRule type="cellIs" dxfId="4856" priority="1149" operator="lessThan">
      <formula>0.8</formula>
    </cfRule>
    <cfRule type="cellIs" dxfId="4855" priority="1150" operator="greaterThan">
      <formula>1</formula>
    </cfRule>
  </conditionalFormatting>
  <conditionalFormatting sqref="R130">
    <cfRule type="cellIs" dxfId="4854" priority="1147" operator="greaterThan">
      <formula>1</formula>
    </cfRule>
    <cfRule type="cellIs" dxfId="4853" priority="1148" operator="lessThan">
      <formula>0.8</formula>
    </cfRule>
  </conditionalFormatting>
  <conditionalFormatting sqref="P130">
    <cfRule type="cellIs" dxfId="4852" priority="1146" operator="greaterThan">
      <formula>0</formula>
    </cfRule>
  </conditionalFormatting>
  <conditionalFormatting sqref="Q130">
    <cfRule type="cellIs" dxfId="4851" priority="1144" operator="lessThan">
      <formula>0</formula>
    </cfRule>
  </conditionalFormatting>
  <conditionalFormatting sqref="R130">
    <cfRule type="cellIs" dxfId="4850" priority="1142" operator="lessThan">
      <formula>0.8</formula>
    </cfRule>
    <cfRule type="cellIs" dxfId="4849" priority="1143" operator="greaterThan">
      <formula>1</formula>
    </cfRule>
  </conditionalFormatting>
  <conditionalFormatting sqref="R130">
    <cfRule type="cellIs" dxfId="4848" priority="1140" operator="greaterThan">
      <formula>1</formula>
    </cfRule>
    <cfRule type="cellIs" dxfId="4847" priority="1141" operator="lessThan">
      <formula>0.8</formula>
    </cfRule>
  </conditionalFormatting>
  <conditionalFormatting sqref="P130">
    <cfRule type="cellIs" dxfId="4846" priority="1139" operator="greaterThan">
      <formula>0</formula>
    </cfRule>
  </conditionalFormatting>
  <conditionalFormatting sqref="Q130">
    <cfRule type="cellIs" dxfId="4845" priority="1138" operator="lessThan">
      <formula>0</formula>
    </cfRule>
  </conditionalFormatting>
  <conditionalFormatting sqref="R130">
    <cfRule type="cellIs" dxfId="4844" priority="1136" operator="lessThan">
      <formula>0.8</formula>
    </cfRule>
    <cfRule type="cellIs" dxfId="4843" priority="1137" operator="greaterThan">
      <formula>1</formula>
    </cfRule>
  </conditionalFormatting>
  <conditionalFormatting sqref="R130">
    <cfRule type="cellIs" dxfId="4842" priority="1134" operator="greaterThan">
      <formula>1</formula>
    </cfRule>
    <cfRule type="cellIs" dxfId="4841" priority="1135" operator="lessThan">
      <formula>0.8</formula>
    </cfRule>
  </conditionalFormatting>
  <conditionalFormatting sqref="P130">
    <cfRule type="cellIs" dxfId="4840" priority="1133" operator="greaterThan">
      <formula>0</formula>
    </cfRule>
  </conditionalFormatting>
  <conditionalFormatting sqref="P130">
    <cfRule type="cellIs" dxfId="4839" priority="1127" operator="greaterThan">
      <formula>0</formula>
    </cfRule>
  </conditionalFormatting>
  <conditionalFormatting sqref="Q130">
    <cfRule type="cellIs" dxfId="4838" priority="1132" operator="lessThan">
      <formula>0</formula>
    </cfRule>
  </conditionalFormatting>
  <conditionalFormatting sqref="R130">
    <cfRule type="cellIs" dxfId="4837" priority="1130" operator="lessThan">
      <formula>0.8</formula>
    </cfRule>
    <cfRule type="cellIs" dxfId="4836" priority="1131" operator="greaterThan">
      <formula>1</formula>
    </cfRule>
  </conditionalFormatting>
  <conditionalFormatting sqref="R130">
    <cfRule type="cellIs" dxfId="4835" priority="1128" operator="greaterThan">
      <formula>1</formula>
    </cfRule>
    <cfRule type="cellIs" dxfId="4834" priority="1129" operator="lessThan">
      <formula>0.8</formula>
    </cfRule>
  </conditionalFormatting>
  <conditionalFormatting sqref="P130">
    <cfRule type="cellIs" dxfId="4833" priority="1121" operator="greaterThan">
      <formula>0</formula>
    </cfRule>
  </conditionalFormatting>
  <conditionalFormatting sqref="Q130">
    <cfRule type="cellIs" dxfId="4832" priority="1126" operator="lessThan">
      <formula>0</formula>
    </cfRule>
  </conditionalFormatting>
  <conditionalFormatting sqref="R130">
    <cfRule type="cellIs" dxfId="4831" priority="1124" operator="lessThan">
      <formula>0.8</formula>
    </cfRule>
    <cfRule type="cellIs" dxfId="4830" priority="1125" operator="greaterThan">
      <formula>1</formula>
    </cfRule>
  </conditionalFormatting>
  <conditionalFormatting sqref="R130">
    <cfRule type="cellIs" dxfId="4829" priority="1122" operator="greaterThan">
      <formula>1</formula>
    </cfRule>
    <cfRule type="cellIs" dxfId="4828" priority="1123" operator="lessThan">
      <formula>0.8</formula>
    </cfRule>
  </conditionalFormatting>
  <conditionalFormatting sqref="Q130">
    <cfRule type="cellIs" dxfId="4827" priority="1115" operator="lessThan">
      <formula>0</formula>
    </cfRule>
  </conditionalFormatting>
  <conditionalFormatting sqref="R130">
    <cfRule type="cellIs" dxfId="4826" priority="1119" operator="lessThan">
      <formula>0.8</formula>
    </cfRule>
    <cfRule type="cellIs" dxfId="4825" priority="1120" operator="greaterThan">
      <formula>1</formula>
    </cfRule>
  </conditionalFormatting>
  <conditionalFormatting sqref="R130">
    <cfRule type="cellIs" dxfId="4824" priority="1117" operator="greaterThan">
      <formula>1</formula>
    </cfRule>
    <cfRule type="cellIs" dxfId="4823" priority="1118" operator="lessThan">
      <formula>0.8</formula>
    </cfRule>
  </conditionalFormatting>
  <conditionalFormatting sqref="P130">
    <cfRule type="cellIs" dxfId="4822" priority="1116" operator="greaterThan">
      <formula>0</formula>
    </cfRule>
  </conditionalFormatting>
  <conditionalFormatting sqref="Q130">
    <cfRule type="cellIs" dxfId="4821" priority="1114" operator="lessThan">
      <formula>0</formula>
    </cfRule>
  </conditionalFormatting>
  <conditionalFormatting sqref="R130">
    <cfRule type="cellIs" dxfId="4820" priority="1112" operator="lessThan">
      <formula>0.8</formula>
    </cfRule>
    <cfRule type="cellIs" dxfId="4819" priority="1113" operator="greaterThan">
      <formula>1</formula>
    </cfRule>
  </conditionalFormatting>
  <conditionalFormatting sqref="R130">
    <cfRule type="cellIs" dxfId="4818" priority="1110" operator="greaterThan">
      <formula>1</formula>
    </cfRule>
    <cfRule type="cellIs" dxfId="4817" priority="1111" operator="lessThan">
      <formula>0.8</formula>
    </cfRule>
  </conditionalFormatting>
  <conditionalFormatting sqref="P130">
    <cfRule type="cellIs" dxfId="4816" priority="1109" operator="greaterThan">
      <formula>0</formula>
    </cfRule>
  </conditionalFormatting>
  <conditionalFormatting sqref="Q130">
    <cfRule type="cellIs" dxfId="4815" priority="1108" operator="lessThan">
      <formula>0</formula>
    </cfRule>
  </conditionalFormatting>
  <conditionalFormatting sqref="R130">
    <cfRule type="cellIs" dxfId="4814" priority="1106" operator="lessThan">
      <formula>0.8</formula>
    </cfRule>
    <cfRule type="cellIs" dxfId="4813" priority="1107" operator="greaterThan">
      <formula>1</formula>
    </cfRule>
  </conditionalFormatting>
  <conditionalFormatting sqref="R130">
    <cfRule type="cellIs" dxfId="4812" priority="1104" operator="greaterThan">
      <formula>1</formula>
    </cfRule>
    <cfRule type="cellIs" dxfId="4811" priority="1105" operator="lessThan">
      <formula>0.8</formula>
    </cfRule>
  </conditionalFormatting>
  <conditionalFormatting sqref="P130">
    <cfRule type="cellIs" dxfId="4810" priority="1103" operator="greaterThan">
      <formula>0</formula>
    </cfRule>
  </conditionalFormatting>
  <conditionalFormatting sqref="Q130">
    <cfRule type="cellIs" dxfId="4809" priority="1102" operator="lessThan">
      <formula>0</formula>
    </cfRule>
  </conditionalFormatting>
  <conditionalFormatting sqref="R130">
    <cfRule type="cellIs" dxfId="4808" priority="1100" operator="lessThan">
      <formula>0.8</formula>
    </cfRule>
    <cfRule type="cellIs" dxfId="4807" priority="1101" operator="greaterThan">
      <formula>1</formula>
    </cfRule>
  </conditionalFormatting>
  <conditionalFormatting sqref="R130">
    <cfRule type="cellIs" dxfId="4806" priority="1098" operator="greaterThan">
      <formula>1</formula>
    </cfRule>
    <cfRule type="cellIs" dxfId="4805" priority="1099" operator="lessThan">
      <formula>0.8</formula>
    </cfRule>
  </conditionalFormatting>
  <conditionalFormatting sqref="P130">
    <cfRule type="cellIs" dxfId="4804" priority="1097" operator="greaterThan">
      <formula>0</formula>
    </cfRule>
  </conditionalFormatting>
  <conditionalFormatting sqref="Q130">
    <cfRule type="cellIs" dxfId="4803" priority="1096" operator="lessThan">
      <formula>0</formula>
    </cfRule>
  </conditionalFormatting>
  <conditionalFormatting sqref="R130">
    <cfRule type="cellIs" dxfId="4802" priority="1094" operator="lessThan">
      <formula>0.8</formula>
    </cfRule>
    <cfRule type="cellIs" dxfId="4801" priority="1095" operator="greaterThan">
      <formula>1</formula>
    </cfRule>
  </conditionalFormatting>
  <conditionalFormatting sqref="R130">
    <cfRule type="cellIs" dxfId="4800" priority="1092" operator="greaterThan">
      <formula>1</formula>
    </cfRule>
    <cfRule type="cellIs" dxfId="4799" priority="1093" operator="lessThan">
      <formula>0.8</formula>
    </cfRule>
  </conditionalFormatting>
  <conditionalFormatting sqref="P130">
    <cfRule type="cellIs" dxfId="4798" priority="1091" operator="greaterThan">
      <formula>0</formula>
    </cfRule>
  </conditionalFormatting>
  <conditionalFormatting sqref="Q130">
    <cfRule type="cellIs" dxfId="4797" priority="1090" operator="lessThan">
      <formula>0</formula>
    </cfRule>
  </conditionalFormatting>
  <conditionalFormatting sqref="R130">
    <cfRule type="cellIs" dxfId="4796" priority="1088" operator="lessThan">
      <formula>0.8</formula>
    </cfRule>
    <cfRule type="cellIs" dxfId="4795" priority="1089" operator="greaterThan">
      <formula>1</formula>
    </cfRule>
  </conditionalFormatting>
  <conditionalFormatting sqref="R130">
    <cfRule type="cellIs" dxfId="4794" priority="1086" operator="greaterThan">
      <formula>1</formula>
    </cfRule>
    <cfRule type="cellIs" dxfId="4793" priority="1087" operator="lessThan">
      <formula>0.8</formula>
    </cfRule>
  </conditionalFormatting>
  <conditionalFormatting sqref="P130">
    <cfRule type="cellIs" dxfId="4792" priority="1085" operator="greaterThan">
      <formula>0</formula>
    </cfRule>
  </conditionalFormatting>
  <conditionalFormatting sqref="P130">
    <cfRule type="cellIs" dxfId="4791" priority="1079" operator="greaterThan">
      <formula>0</formula>
    </cfRule>
  </conditionalFormatting>
  <conditionalFormatting sqref="Q130">
    <cfRule type="cellIs" dxfId="4790" priority="1084" operator="lessThan">
      <formula>0</formula>
    </cfRule>
  </conditionalFormatting>
  <conditionalFormatting sqref="R130">
    <cfRule type="cellIs" dxfId="4789" priority="1082" operator="lessThan">
      <formula>0.8</formula>
    </cfRule>
    <cfRule type="cellIs" dxfId="4788" priority="1083" operator="greaterThan">
      <formula>1</formula>
    </cfRule>
  </conditionalFormatting>
  <conditionalFormatting sqref="R130">
    <cfRule type="cellIs" dxfId="4787" priority="1080" operator="greaterThan">
      <formula>1</formula>
    </cfRule>
    <cfRule type="cellIs" dxfId="4786" priority="1081" operator="lessThan">
      <formula>0.8</formula>
    </cfRule>
  </conditionalFormatting>
  <conditionalFormatting sqref="P130">
    <cfRule type="cellIs" dxfId="4785" priority="1073" operator="greaterThan">
      <formula>0</formula>
    </cfRule>
  </conditionalFormatting>
  <conditionalFormatting sqref="Q130">
    <cfRule type="cellIs" dxfId="4784" priority="1078" operator="lessThan">
      <formula>0</formula>
    </cfRule>
  </conditionalFormatting>
  <conditionalFormatting sqref="R130">
    <cfRule type="cellIs" dxfId="4783" priority="1076" operator="lessThan">
      <formula>0.8</formula>
    </cfRule>
    <cfRule type="cellIs" dxfId="4782" priority="1077" operator="greaterThan">
      <formula>1</formula>
    </cfRule>
  </conditionalFormatting>
  <conditionalFormatting sqref="R130">
    <cfRule type="cellIs" dxfId="4781" priority="1074" operator="greaterThan">
      <formula>1</formula>
    </cfRule>
    <cfRule type="cellIs" dxfId="4780" priority="1075" operator="lessThan">
      <formula>0.8</formula>
    </cfRule>
  </conditionalFormatting>
  <conditionalFormatting sqref="R130">
    <cfRule type="cellIs" dxfId="4779" priority="1070" operator="lessThan">
      <formula>0.8</formula>
    </cfRule>
    <cfRule type="cellIs" dxfId="4778" priority="1071" operator="greaterThan">
      <formula>1</formula>
    </cfRule>
  </conditionalFormatting>
  <conditionalFormatting sqref="R130">
    <cfRule type="cellIs" dxfId="4777" priority="1068" operator="greaterThan">
      <formula>1</formula>
    </cfRule>
    <cfRule type="cellIs" dxfId="4776" priority="1069" operator="lessThan">
      <formula>0.8</formula>
    </cfRule>
  </conditionalFormatting>
  <conditionalFormatting sqref="P130">
    <cfRule type="cellIs" dxfId="4775" priority="1067" operator="greaterThan">
      <formula>0</formula>
    </cfRule>
  </conditionalFormatting>
  <conditionalFormatting sqref="Q130">
    <cfRule type="cellIs" dxfId="4774" priority="1072" operator="lessThan">
      <formula>0</formula>
    </cfRule>
  </conditionalFormatting>
  <conditionalFormatting sqref="Q130">
    <cfRule type="cellIs" dxfId="4773" priority="1061" operator="lessThan">
      <formula>0</formula>
    </cfRule>
  </conditionalFormatting>
  <conditionalFormatting sqref="P130">
    <cfRule type="cellIs" dxfId="4772" priority="1062" operator="greaterThan">
      <formula>0</formula>
    </cfRule>
  </conditionalFormatting>
  <conditionalFormatting sqref="R130">
    <cfRule type="cellIs" dxfId="4771" priority="1065" operator="lessThan">
      <formula>0.8</formula>
    </cfRule>
    <cfRule type="cellIs" dxfId="4770" priority="1066" operator="greaterThan">
      <formula>1</formula>
    </cfRule>
  </conditionalFormatting>
  <conditionalFormatting sqref="R130">
    <cfRule type="cellIs" dxfId="4769" priority="1063" operator="greaterThan">
      <formula>1</formula>
    </cfRule>
    <cfRule type="cellIs" dxfId="4768" priority="1064" operator="lessThan">
      <formula>0.8</formula>
    </cfRule>
  </conditionalFormatting>
  <conditionalFormatting sqref="Q130">
    <cfRule type="cellIs" dxfId="4767" priority="1055" operator="lessThan">
      <formula>0</formula>
    </cfRule>
  </conditionalFormatting>
  <conditionalFormatting sqref="R130">
    <cfRule type="cellIs" dxfId="4766" priority="1059" operator="lessThan">
      <formula>0.8</formula>
    </cfRule>
    <cfRule type="cellIs" dxfId="4765" priority="1060" operator="greaterThan">
      <formula>1</formula>
    </cfRule>
  </conditionalFormatting>
  <conditionalFormatting sqref="R130">
    <cfRule type="cellIs" dxfId="4764" priority="1057" operator="greaterThan">
      <formula>1</formula>
    </cfRule>
    <cfRule type="cellIs" dxfId="4763" priority="1058" operator="lessThan">
      <formula>0.8</formula>
    </cfRule>
  </conditionalFormatting>
  <conditionalFormatting sqref="P130">
    <cfRule type="cellIs" dxfId="4762" priority="1056" operator="greaterThan">
      <formula>0</formula>
    </cfRule>
  </conditionalFormatting>
  <conditionalFormatting sqref="Q130">
    <cfRule type="cellIs" dxfId="4761" priority="1054" operator="lessThan">
      <formula>0</formula>
    </cfRule>
  </conditionalFormatting>
  <conditionalFormatting sqref="R130">
    <cfRule type="cellIs" dxfId="4760" priority="1052" operator="lessThan">
      <formula>0.8</formula>
    </cfRule>
    <cfRule type="cellIs" dxfId="4759" priority="1053" operator="greaterThan">
      <formula>1</formula>
    </cfRule>
  </conditionalFormatting>
  <conditionalFormatting sqref="R130">
    <cfRule type="cellIs" dxfId="4758" priority="1050" operator="greaterThan">
      <formula>1</formula>
    </cfRule>
    <cfRule type="cellIs" dxfId="4757" priority="1051" operator="lessThan">
      <formula>0.8</formula>
    </cfRule>
  </conditionalFormatting>
  <conditionalFormatting sqref="P130">
    <cfRule type="cellIs" dxfId="4756" priority="1049" operator="greaterThan">
      <formula>0</formula>
    </cfRule>
  </conditionalFormatting>
  <conditionalFormatting sqref="Q130">
    <cfRule type="cellIs" dxfId="4755" priority="1048" operator="lessThan">
      <formula>0</formula>
    </cfRule>
  </conditionalFormatting>
  <conditionalFormatting sqref="R130">
    <cfRule type="cellIs" dxfId="4754" priority="1046" operator="lessThan">
      <formula>0.8</formula>
    </cfRule>
    <cfRule type="cellIs" dxfId="4753" priority="1047" operator="greaterThan">
      <formula>1</formula>
    </cfRule>
  </conditionalFormatting>
  <conditionalFormatting sqref="R130">
    <cfRule type="cellIs" dxfId="4752" priority="1044" operator="greaterThan">
      <formula>1</formula>
    </cfRule>
    <cfRule type="cellIs" dxfId="4751" priority="1045" operator="lessThan">
      <formula>0.8</formula>
    </cfRule>
  </conditionalFormatting>
  <conditionalFormatting sqref="P130">
    <cfRule type="cellIs" dxfId="4750" priority="1043" operator="greaterThan">
      <formula>0</formula>
    </cfRule>
  </conditionalFormatting>
  <conditionalFormatting sqref="P131">
    <cfRule type="cellIs" dxfId="4749" priority="1042" operator="greaterThan">
      <formula>0</formula>
    </cfRule>
  </conditionalFormatting>
  <conditionalFormatting sqref="Q131">
    <cfRule type="cellIs" dxfId="4748" priority="1041" operator="lessThan">
      <formula>0</formula>
    </cfRule>
  </conditionalFormatting>
  <conditionalFormatting sqref="R131">
    <cfRule type="cellIs" dxfId="4747" priority="1039" operator="lessThan">
      <formula>0.8</formula>
    </cfRule>
    <cfRule type="cellIs" dxfId="4746" priority="1040" operator="greaterThan">
      <formula>1</formula>
    </cfRule>
  </conditionalFormatting>
  <conditionalFormatting sqref="R131">
    <cfRule type="cellIs" dxfId="4745" priority="1037" operator="greaterThan">
      <formula>1</formula>
    </cfRule>
    <cfRule type="cellIs" dxfId="4744" priority="1038" operator="lessThan">
      <formula>0.8</formula>
    </cfRule>
  </conditionalFormatting>
  <conditionalFormatting sqref="P131">
    <cfRule type="cellIs" dxfId="4743" priority="1036" operator="greaterThan">
      <formula>0</formula>
    </cfRule>
  </conditionalFormatting>
  <conditionalFormatting sqref="P137 P139 P141">
    <cfRule type="cellIs" dxfId="4742" priority="1035" operator="greaterThan">
      <formula>0</formula>
    </cfRule>
  </conditionalFormatting>
  <conditionalFormatting sqref="Q137 Q139 Q141">
    <cfRule type="cellIs" dxfId="4741" priority="1034" operator="lessThan">
      <formula>0</formula>
    </cfRule>
  </conditionalFormatting>
  <conditionalFormatting sqref="R137 R139 R141">
    <cfRule type="cellIs" dxfId="4740" priority="1032" operator="lessThan">
      <formula>0.8</formula>
    </cfRule>
    <cfRule type="cellIs" dxfId="4739" priority="1033" operator="greaterThan">
      <formula>1</formula>
    </cfRule>
  </conditionalFormatting>
  <conditionalFormatting sqref="R137 R139 R141">
    <cfRule type="cellIs" dxfId="4738" priority="1030" operator="greaterThan">
      <formula>1</formula>
    </cfRule>
    <cfRule type="cellIs" dxfId="4737" priority="1031" operator="lessThan">
      <formula>0.8</formula>
    </cfRule>
  </conditionalFormatting>
  <conditionalFormatting sqref="P137 P139 P141">
    <cfRule type="cellIs" dxfId="4736" priority="1029" operator="greaterThan">
      <formula>0</formula>
    </cfRule>
  </conditionalFormatting>
  <conditionalFormatting sqref="Q137 Q139 Q141">
    <cfRule type="cellIs" dxfId="4735" priority="1028" operator="lessThan">
      <formula>0</formula>
    </cfRule>
  </conditionalFormatting>
  <conditionalFormatting sqref="R137 R139 R141">
    <cfRule type="cellIs" dxfId="4734" priority="1026" operator="lessThan">
      <formula>0.8</formula>
    </cfRule>
    <cfRule type="cellIs" dxfId="4733" priority="1027" operator="greaterThan">
      <formula>1</formula>
    </cfRule>
  </conditionalFormatting>
  <conditionalFormatting sqref="R137 R139 R141">
    <cfRule type="cellIs" dxfId="4732" priority="1024" operator="greaterThan">
      <formula>1</formula>
    </cfRule>
    <cfRule type="cellIs" dxfId="4731" priority="1025" operator="lessThan">
      <formula>0.8</formula>
    </cfRule>
  </conditionalFormatting>
  <conditionalFormatting sqref="P137 P139 P141">
    <cfRule type="cellIs" dxfId="4730" priority="1023" operator="greaterThan">
      <formula>0</formula>
    </cfRule>
  </conditionalFormatting>
  <conditionalFormatting sqref="P137 P139 P141">
    <cfRule type="cellIs" dxfId="4729" priority="1017" operator="greaterThan">
      <formula>0</formula>
    </cfRule>
  </conditionalFormatting>
  <conditionalFormatting sqref="Q137 Q139 Q141">
    <cfRule type="cellIs" dxfId="4728" priority="1022" operator="lessThan">
      <formula>0</formula>
    </cfRule>
  </conditionalFormatting>
  <conditionalFormatting sqref="R137 R139 R141">
    <cfRule type="cellIs" dxfId="4727" priority="1020" operator="lessThan">
      <formula>0.8</formula>
    </cfRule>
    <cfRule type="cellIs" dxfId="4726" priority="1021" operator="greaterThan">
      <formula>1</formula>
    </cfRule>
  </conditionalFormatting>
  <conditionalFormatting sqref="R137 R139 R141">
    <cfRule type="cellIs" dxfId="4725" priority="1018" operator="greaterThan">
      <formula>1</formula>
    </cfRule>
    <cfRule type="cellIs" dxfId="4724" priority="1019" operator="lessThan">
      <formula>0.8</formula>
    </cfRule>
  </conditionalFormatting>
  <conditionalFormatting sqref="Q137 Q139 Q141">
    <cfRule type="cellIs" dxfId="4723" priority="1016" operator="lessThan">
      <formula>0</formula>
    </cfRule>
  </conditionalFormatting>
  <conditionalFormatting sqref="R137 R139 R141">
    <cfRule type="cellIs" dxfId="4722" priority="1014" operator="lessThan">
      <formula>0.8</formula>
    </cfRule>
    <cfRule type="cellIs" dxfId="4721" priority="1015" operator="greaterThan">
      <formula>1</formula>
    </cfRule>
  </conditionalFormatting>
  <conditionalFormatting sqref="R137 R139 R141">
    <cfRule type="cellIs" dxfId="4720" priority="1012" operator="greaterThan">
      <formula>1</formula>
    </cfRule>
    <cfRule type="cellIs" dxfId="4719" priority="1013" operator="lessThan">
      <formula>0.8</formula>
    </cfRule>
  </conditionalFormatting>
  <conditionalFormatting sqref="P137 P139 P141">
    <cfRule type="cellIs" dxfId="4718" priority="1011" operator="greaterThan">
      <formula>0</formula>
    </cfRule>
  </conditionalFormatting>
  <conditionalFormatting sqref="Q137 Q139 Q141">
    <cfRule type="cellIs" dxfId="4717" priority="1010" operator="lessThan">
      <formula>0</formula>
    </cfRule>
  </conditionalFormatting>
  <conditionalFormatting sqref="R137 R139 R141">
    <cfRule type="cellIs" dxfId="4716" priority="1008" operator="lessThan">
      <formula>0.8</formula>
    </cfRule>
    <cfRule type="cellIs" dxfId="4715" priority="1009" operator="greaterThan">
      <formula>1</formula>
    </cfRule>
  </conditionalFormatting>
  <conditionalFormatting sqref="R137 R139 R141">
    <cfRule type="cellIs" dxfId="4714" priority="1006" operator="greaterThan">
      <formula>1</formula>
    </cfRule>
    <cfRule type="cellIs" dxfId="4713" priority="1007" operator="lessThan">
      <formula>0.8</formula>
    </cfRule>
  </conditionalFormatting>
  <conditionalFormatting sqref="P137 P139 P141">
    <cfRule type="cellIs" dxfId="4712" priority="1005" operator="greaterThan">
      <formula>0</formula>
    </cfRule>
  </conditionalFormatting>
  <conditionalFormatting sqref="P137 P139 P141">
    <cfRule type="cellIs" dxfId="4711" priority="999" operator="greaterThan">
      <formula>0</formula>
    </cfRule>
  </conditionalFormatting>
  <conditionalFormatting sqref="Q137 Q139 Q141">
    <cfRule type="cellIs" dxfId="4710" priority="1004" operator="lessThan">
      <formula>0</formula>
    </cfRule>
  </conditionalFormatting>
  <conditionalFormatting sqref="R137 R139 R141">
    <cfRule type="cellIs" dxfId="4709" priority="1002" operator="lessThan">
      <formula>0.8</formula>
    </cfRule>
    <cfRule type="cellIs" dxfId="4708" priority="1003" operator="greaterThan">
      <formula>1</formula>
    </cfRule>
  </conditionalFormatting>
  <conditionalFormatting sqref="R137 R139 R141">
    <cfRule type="cellIs" dxfId="4707" priority="1000" operator="greaterThan">
      <formula>1</formula>
    </cfRule>
    <cfRule type="cellIs" dxfId="4706" priority="1001" operator="lessThan">
      <formula>0.8</formula>
    </cfRule>
  </conditionalFormatting>
  <conditionalFormatting sqref="Q137 Q139 Q141">
    <cfRule type="cellIs" dxfId="4705" priority="998" operator="lessThan">
      <formula>0</formula>
    </cfRule>
  </conditionalFormatting>
  <conditionalFormatting sqref="R137 R139 R141">
    <cfRule type="cellIs" dxfId="4704" priority="996" operator="lessThan">
      <formula>0.8</formula>
    </cfRule>
    <cfRule type="cellIs" dxfId="4703" priority="997" operator="greaterThan">
      <formula>1</formula>
    </cfRule>
  </conditionalFormatting>
  <conditionalFormatting sqref="R137 R139 R141">
    <cfRule type="cellIs" dxfId="4702" priority="994" operator="greaterThan">
      <formula>1</formula>
    </cfRule>
    <cfRule type="cellIs" dxfId="4701" priority="995" operator="lessThan">
      <formula>0.8</formula>
    </cfRule>
  </conditionalFormatting>
  <conditionalFormatting sqref="P137 P139 P141">
    <cfRule type="cellIs" dxfId="4700" priority="993" operator="greaterThan">
      <formula>0</formula>
    </cfRule>
  </conditionalFormatting>
  <conditionalFormatting sqref="Q137 Q139 Q141">
    <cfRule type="cellIs" dxfId="4699" priority="992" operator="lessThan">
      <formula>0</formula>
    </cfRule>
  </conditionalFormatting>
  <conditionalFormatting sqref="R137 R139 R141">
    <cfRule type="cellIs" dxfId="4698" priority="990" operator="lessThan">
      <formula>0.8</formula>
    </cfRule>
    <cfRule type="cellIs" dxfId="4697" priority="991" operator="greaterThan">
      <formula>1</formula>
    </cfRule>
  </conditionalFormatting>
  <conditionalFormatting sqref="R137 R139 R141">
    <cfRule type="cellIs" dxfId="4696" priority="988" operator="greaterThan">
      <formula>1</formula>
    </cfRule>
    <cfRule type="cellIs" dxfId="4695" priority="989" operator="lessThan">
      <formula>0.8</formula>
    </cfRule>
  </conditionalFormatting>
  <conditionalFormatting sqref="P137 P139 P141">
    <cfRule type="cellIs" dxfId="4694" priority="987" operator="greaterThan">
      <formula>0</formula>
    </cfRule>
  </conditionalFormatting>
  <conditionalFormatting sqref="P137 P139 P141">
    <cfRule type="cellIs" dxfId="4693" priority="981" operator="greaterThan">
      <formula>0</formula>
    </cfRule>
  </conditionalFormatting>
  <conditionalFormatting sqref="Q137 Q139 Q141">
    <cfRule type="cellIs" dxfId="4692" priority="986" operator="lessThan">
      <formula>0</formula>
    </cfRule>
  </conditionalFormatting>
  <conditionalFormatting sqref="R137 R139 R141">
    <cfRule type="cellIs" dxfId="4691" priority="984" operator="lessThan">
      <formula>0.8</formula>
    </cfRule>
    <cfRule type="cellIs" dxfId="4690" priority="985" operator="greaterThan">
      <formula>1</formula>
    </cfRule>
  </conditionalFormatting>
  <conditionalFormatting sqref="R137 R139 R141">
    <cfRule type="cellIs" dxfId="4689" priority="982" operator="greaterThan">
      <formula>1</formula>
    </cfRule>
    <cfRule type="cellIs" dxfId="4688" priority="983" operator="lessThan">
      <formula>0.8</formula>
    </cfRule>
  </conditionalFormatting>
  <conditionalFormatting sqref="Q137 Q139 Q141">
    <cfRule type="cellIs" dxfId="4687" priority="980" operator="lessThan">
      <formula>0</formula>
    </cfRule>
  </conditionalFormatting>
  <conditionalFormatting sqref="R137 R139 R141">
    <cfRule type="cellIs" dxfId="4686" priority="978" operator="lessThan">
      <formula>0.8</formula>
    </cfRule>
    <cfRule type="cellIs" dxfId="4685" priority="979" operator="greaterThan">
      <formula>1</formula>
    </cfRule>
  </conditionalFormatting>
  <conditionalFormatting sqref="R137 R139 R141">
    <cfRule type="cellIs" dxfId="4684" priority="976" operator="greaterThan">
      <formula>1</formula>
    </cfRule>
    <cfRule type="cellIs" dxfId="4683" priority="977" operator="lessThan">
      <formula>0.8</formula>
    </cfRule>
  </conditionalFormatting>
  <conditionalFormatting sqref="P137 P139 P141">
    <cfRule type="cellIs" dxfId="4682" priority="975" operator="greaterThan">
      <formula>0</formula>
    </cfRule>
  </conditionalFormatting>
  <conditionalFormatting sqref="P138 P140 P142:P143">
    <cfRule type="cellIs" dxfId="4681" priority="969" operator="greaterThan">
      <formula>0</formula>
    </cfRule>
  </conditionalFormatting>
  <conditionalFormatting sqref="Q138 Q140 Q142:Q143">
    <cfRule type="cellIs" dxfId="4680" priority="974" operator="lessThan">
      <formula>0</formula>
    </cfRule>
  </conditionalFormatting>
  <conditionalFormatting sqref="R138 R140 R142:R143">
    <cfRule type="cellIs" dxfId="4679" priority="972" operator="lessThan">
      <formula>0.8</formula>
    </cfRule>
    <cfRule type="cellIs" dxfId="4678" priority="973" operator="greaterThan">
      <formula>1</formula>
    </cfRule>
  </conditionalFormatting>
  <conditionalFormatting sqref="R138 R140 R142:R143">
    <cfRule type="cellIs" dxfId="4677" priority="970" operator="greaterThan">
      <formula>1</formula>
    </cfRule>
    <cfRule type="cellIs" dxfId="4676" priority="971" operator="lessThan">
      <formula>0.8</formula>
    </cfRule>
  </conditionalFormatting>
  <conditionalFormatting sqref="Q138 Q140 Q142:Q143">
    <cfRule type="cellIs" dxfId="4675" priority="968" operator="lessThan">
      <formula>0</formula>
    </cfRule>
  </conditionalFormatting>
  <conditionalFormatting sqref="R138 R140 R142:R143">
    <cfRule type="cellIs" dxfId="4674" priority="966" operator="lessThan">
      <formula>0.8</formula>
    </cfRule>
    <cfRule type="cellIs" dxfId="4673" priority="967" operator="greaterThan">
      <formula>1</formula>
    </cfRule>
  </conditionalFormatting>
  <conditionalFormatting sqref="R138 R140 R142:R143">
    <cfRule type="cellIs" dxfId="4672" priority="964" operator="greaterThan">
      <formula>1</formula>
    </cfRule>
    <cfRule type="cellIs" dxfId="4671" priority="965" operator="lessThan">
      <formula>0.8</formula>
    </cfRule>
  </conditionalFormatting>
  <conditionalFormatting sqref="P138 P140 P142:P143">
    <cfRule type="cellIs" dxfId="4670" priority="963" operator="greaterThan">
      <formula>0</formula>
    </cfRule>
  </conditionalFormatting>
  <conditionalFormatting sqref="Q138 Q140 Q142:Q143">
    <cfRule type="cellIs" dxfId="4669" priority="962" operator="lessThan">
      <formula>0</formula>
    </cfRule>
  </conditionalFormatting>
  <conditionalFormatting sqref="R138 R140 R142:R143">
    <cfRule type="cellIs" dxfId="4668" priority="960" operator="lessThan">
      <formula>0.8</formula>
    </cfRule>
    <cfRule type="cellIs" dxfId="4667" priority="961" operator="greaterThan">
      <formula>1</formula>
    </cfRule>
  </conditionalFormatting>
  <conditionalFormatting sqref="R138 R140 R142:R143">
    <cfRule type="cellIs" dxfId="4666" priority="958" operator="greaterThan">
      <formula>1</formula>
    </cfRule>
    <cfRule type="cellIs" dxfId="4665" priority="959" operator="lessThan">
      <formula>0.8</formula>
    </cfRule>
  </conditionalFormatting>
  <conditionalFormatting sqref="P138 P140 P142:P143">
    <cfRule type="cellIs" dxfId="4664" priority="957" operator="greaterThan">
      <formula>0</formula>
    </cfRule>
  </conditionalFormatting>
  <conditionalFormatting sqref="Q138 Q140 Q142:Q143">
    <cfRule type="cellIs" dxfId="4663" priority="956" operator="lessThan">
      <formula>0</formula>
    </cfRule>
  </conditionalFormatting>
  <conditionalFormatting sqref="R138 R140 R142:R143">
    <cfRule type="cellIs" dxfId="4662" priority="954" operator="lessThan">
      <formula>0.8</formula>
    </cfRule>
    <cfRule type="cellIs" dxfId="4661" priority="955" operator="greaterThan">
      <formula>1</formula>
    </cfRule>
  </conditionalFormatting>
  <conditionalFormatting sqref="R138 R140 R142:R143">
    <cfRule type="cellIs" dxfId="4660" priority="952" operator="greaterThan">
      <formula>1</formula>
    </cfRule>
    <cfRule type="cellIs" dxfId="4659" priority="953" operator="lessThan">
      <formula>0.8</formula>
    </cfRule>
  </conditionalFormatting>
  <conditionalFormatting sqref="P138 P140 P142:P143">
    <cfRule type="cellIs" dxfId="4658" priority="951" operator="greaterThan">
      <formula>0</formula>
    </cfRule>
  </conditionalFormatting>
  <conditionalFormatting sqref="Q138 Q140 Q142:Q143">
    <cfRule type="cellIs" dxfId="4657" priority="950" operator="lessThan">
      <formula>0</formula>
    </cfRule>
  </conditionalFormatting>
  <conditionalFormatting sqref="R138 R140 R142:R143">
    <cfRule type="cellIs" dxfId="4656" priority="948" operator="lessThan">
      <formula>0.8</formula>
    </cfRule>
    <cfRule type="cellIs" dxfId="4655" priority="949" operator="greaterThan">
      <formula>1</formula>
    </cfRule>
  </conditionalFormatting>
  <conditionalFormatting sqref="R138 R140 R142:R143">
    <cfRule type="cellIs" dxfId="4654" priority="946" operator="greaterThan">
      <formula>1</formula>
    </cfRule>
    <cfRule type="cellIs" dxfId="4653" priority="947" operator="lessThan">
      <formula>0.8</formula>
    </cfRule>
  </conditionalFormatting>
  <conditionalFormatting sqref="Q138 Q140 Q142:Q143">
    <cfRule type="cellIs" dxfId="4652" priority="945" operator="lessThan">
      <formula>0</formula>
    </cfRule>
  </conditionalFormatting>
  <conditionalFormatting sqref="R138 R140 R142:R143">
    <cfRule type="cellIs" dxfId="4651" priority="943" operator="lessThan">
      <formula>0.8</formula>
    </cfRule>
    <cfRule type="cellIs" dxfId="4650" priority="944" operator="greaterThan">
      <formula>1</formula>
    </cfRule>
  </conditionalFormatting>
  <conditionalFormatting sqref="R138 R140 R142:R143">
    <cfRule type="cellIs" dxfId="4649" priority="941" operator="greaterThan">
      <formula>1</formula>
    </cfRule>
    <cfRule type="cellIs" dxfId="4648" priority="942" operator="lessThan">
      <formula>0.8</formula>
    </cfRule>
  </conditionalFormatting>
  <conditionalFormatting sqref="P138 P140 P142:P143">
    <cfRule type="cellIs" dxfId="4647" priority="940" operator="greaterThan">
      <formula>0</formula>
    </cfRule>
  </conditionalFormatting>
  <conditionalFormatting sqref="P138 P140 P142:P143">
    <cfRule type="cellIs" dxfId="4646" priority="934" operator="greaterThan">
      <formula>0</formula>
    </cfRule>
  </conditionalFormatting>
  <conditionalFormatting sqref="Q138 Q140 Q142:Q143">
    <cfRule type="cellIs" dxfId="4645" priority="939" operator="lessThan">
      <formula>0</formula>
    </cfRule>
  </conditionalFormatting>
  <conditionalFormatting sqref="R138 R140 R142:R143">
    <cfRule type="cellIs" dxfId="4644" priority="937" operator="lessThan">
      <formula>0.8</formula>
    </cfRule>
    <cfRule type="cellIs" dxfId="4643" priority="938" operator="greaterThan">
      <formula>1</formula>
    </cfRule>
  </conditionalFormatting>
  <conditionalFormatting sqref="R138 R140 R142:R143">
    <cfRule type="cellIs" dxfId="4642" priority="935" operator="greaterThan">
      <formula>1</formula>
    </cfRule>
    <cfRule type="cellIs" dxfId="4641" priority="936" operator="lessThan">
      <formula>0.8</formula>
    </cfRule>
  </conditionalFormatting>
  <conditionalFormatting sqref="Q138 Q140 Q142:Q143">
    <cfRule type="cellIs" dxfId="4640" priority="933" operator="lessThan">
      <formula>0</formula>
    </cfRule>
  </conditionalFormatting>
  <conditionalFormatting sqref="R138 R140 R142:R143">
    <cfRule type="cellIs" dxfId="4639" priority="931" operator="lessThan">
      <formula>0.8</formula>
    </cfRule>
    <cfRule type="cellIs" dxfId="4638" priority="932" operator="greaterThan">
      <formula>1</formula>
    </cfRule>
  </conditionalFormatting>
  <conditionalFormatting sqref="R138 R140 R142:R143">
    <cfRule type="cellIs" dxfId="4637" priority="929" operator="greaterThan">
      <formula>1</formula>
    </cfRule>
    <cfRule type="cellIs" dxfId="4636" priority="930" operator="lessThan">
      <formula>0.8</formula>
    </cfRule>
  </conditionalFormatting>
  <conditionalFormatting sqref="P138 P140 P142:P143">
    <cfRule type="cellIs" dxfId="4635" priority="928" operator="greaterThan">
      <formula>0</formula>
    </cfRule>
  </conditionalFormatting>
  <conditionalFormatting sqref="Q148:Q153">
    <cfRule type="cellIs" dxfId="4634" priority="927" operator="lessThan">
      <formula>0</formula>
    </cfRule>
  </conditionalFormatting>
  <conditionalFormatting sqref="R148:R153">
    <cfRule type="cellIs" dxfId="4633" priority="925" operator="lessThan">
      <formula>0.8</formula>
    </cfRule>
    <cfRule type="cellIs" dxfId="4632" priority="926" operator="greaterThan">
      <formula>1</formula>
    </cfRule>
  </conditionalFormatting>
  <conditionalFormatting sqref="R148:R153">
    <cfRule type="cellIs" dxfId="4631" priority="923" operator="greaterThan">
      <formula>1</formula>
    </cfRule>
    <cfRule type="cellIs" dxfId="4630" priority="924" operator="lessThan">
      <formula>0.8</formula>
    </cfRule>
  </conditionalFormatting>
  <conditionalFormatting sqref="P148:P153">
    <cfRule type="cellIs" dxfId="4629" priority="922" operator="greaterThan">
      <formula>0</formula>
    </cfRule>
  </conditionalFormatting>
  <conditionalFormatting sqref="P148:P153">
    <cfRule type="cellIs" dxfId="4628" priority="916" operator="greaterThan">
      <formula>0</formula>
    </cfRule>
  </conditionalFormatting>
  <conditionalFormatting sqref="Q148:Q153">
    <cfRule type="cellIs" dxfId="4627" priority="921" operator="lessThan">
      <formula>0</formula>
    </cfRule>
  </conditionalFormatting>
  <conditionalFormatting sqref="R148:R153">
    <cfRule type="cellIs" dxfId="4626" priority="919" operator="lessThan">
      <formula>0.8</formula>
    </cfRule>
    <cfRule type="cellIs" dxfId="4625" priority="920" operator="greaterThan">
      <formula>1</formula>
    </cfRule>
  </conditionalFormatting>
  <conditionalFormatting sqref="R148:R153">
    <cfRule type="cellIs" dxfId="4624" priority="917" operator="greaterThan">
      <formula>1</formula>
    </cfRule>
    <cfRule type="cellIs" dxfId="4623" priority="918" operator="lessThan">
      <formula>0.8</formula>
    </cfRule>
  </conditionalFormatting>
  <conditionalFormatting sqref="Q148:Q153">
    <cfRule type="cellIs" dxfId="4622" priority="915" operator="lessThan">
      <formula>0</formula>
    </cfRule>
  </conditionalFormatting>
  <conditionalFormatting sqref="R148:R153">
    <cfRule type="cellIs" dxfId="4621" priority="913" operator="lessThan">
      <formula>0.8</formula>
    </cfRule>
    <cfRule type="cellIs" dxfId="4620" priority="914" operator="greaterThan">
      <formula>1</formula>
    </cfRule>
  </conditionalFormatting>
  <conditionalFormatting sqref="R148:R153">
    <cfRule type="cellIs" dxfId="4619" priority="911" operator="greaterThan">
      <formula>1</formula>
    </cfRule>
    <cfRule type="cellIs" dxfId="4618" priority="912" operator="lessThan">
      <formula>0.8</formula>
    </cfRule>
  </conditionalFormatting>
  <conditionalFormatting sqref="P148:P153">
    <cfRule type="cellIs" dxfId="4617" priority="910" operator="greaterThan">
      <formula>0</formula>
    </cfRule>
  </conditionalFormatting>
  <conditionalFormatting sqref="Q148:Q153">
    <cfRule type="cellIs" dxfId="4616" priority="909" operator="lessThan">
      <formula>0</formula>
    </cfRule>
  </conditionalFormatting>
  <conditionalFormatting sqref="R148:R153">
    <cfRule type="cellIs" dxfId="4615" priority="907" operator="lessThan">
      <formula>0.8</formula>
    </cfRule>
    <cfRule type="cellIs" dxfId="4614" priority="908" operator="greaterThan">
      <formula>1</formula>
    </cfRule>
  </conditionalFormatting>
  <conditionalFormatting sqref="R148:R153">
    <cfRule type="cellIs" dxfId="4613" priority="905" operator="greaterThan">
      <formula>1</formula>
    </cfRule>
    <cfRule type="cellIs" dxfId="4612" priority="906" operator="lessThan">
      <formula>0.8</formula>
    </cfRule>
  </conditionalFormatting>
  <conditionalFormatting sqref="P148:P153">
    <cfRule type="cellIs" dxfId="4611" priority="904" operator="greaterThan">
      <formula>0</formula>
    </cfRule>
  </conditionalFormatting>
  <conditionalFormatting sqref="P148:P153">
    <cfRule type="cellIs" dxfId="4610" priority="898" operator="greaterThan">
      <formula>0</formula>
    </cfRule>
  </conditionalFormatting>
  <conditionalFormatting sqref="Q148:Q153">
    <cfRule type="cellIs" dxfId="4609" priority="903" operator="lessThan">
      <formula>0</formula>
    </cfRule>
  </conditionalFormatting>
  <conditionalFormatting sqref="R148:R153">
    <cfRule type="cellIs" dxfId="4608" priority="901" operator="lessThan">
      <formula>0.8</formula>
    </cfRule>
    <cfRule type="cellIs" dxfId="4607" priority="902" operator="greaterThan">
      <formula>1</formula>
    </cfRule>
  </conditionalFormatting>
  <conditionalFormatting sqref="R148:R153">
    <cfRule type="cellIs" dxfId="4606" priority="899" operator="greaterThan">
      <formula>1</formula>
    </cfRule>
    <cfRule type="cellIs" dxfId="4605" priority="900" operator="lessThan">
      <formula>0.8</formula>
    </cfRule>
  </conditionalFormatting>
  <conditionalFormatting sqref="Q148:Q153">
    <cfRule type="cellIs" dxfId="4604" priority="897" operator="lessThan">
      <formula>0</formula>
    </cfRule>
  </conditionalFormatting>
  <conditionalFormatting sqref="R148:R153">
    <cfRule type="cellIs" dxfId="4603" priority="895" operator="lessThan">
      <formula>0.8</formula>
    </cfRule>
    <cfRule type="cellIs" dxfId="4602" priority="896" operator="greaterThan">
      <formula>1</formula>
    </cfRule>
  </conditionalFormatting>
  <conditionalFormatting sqref="R148:R153">
    <cfRule type="cellIs" dxfId="4601" priority="893" operator="greaterThan">
      <formula>1</formula>
    </cfRule>
    <cfRule type="cellIs" dxfId="4600" priority="894" operator="lessThan">
      <formula>0.8</formula>
    </cfRule>
  </conditionalFormatting>
  <conditionalFormatting sqref="P148:P153">
    <cfRule type="cellIs" dxfId="4599" priority="892" operator="greaterThan">
      <formula>0</formula>
    </cfRule>
  </conditionalFormatting>
  <conditionalFormatting sqref="Q148:Q153">
    <cfRule type="cellIs" dxfId="4598" priority="886" operator="lessThan">
      <formula>0</formula>
    </cfRule>
  </conditionalFormatting>
  <conditionalFormatting sqref="P148:P153">
    <cfRule type="cellIs" dxfId="4597" priority="887" operator="greaterThan">
      <formula>0</formula>
    </cfRule>
  </conditionalFormatting>
  <conditionalFormatting sqref="R148:R153">
    <cfRule type="cellIs" dxfId="4596" priority="890" operator="lessThan">
      <formula>0.8</formula>
    </cfRule>
    <cfRule type="cellIs" dxfId="4595" priority="891" operator="greaterThan">
      <formula>1</formula>
    </cfRule>
  </conditionalFormatting>
  <conditionalFormatting sqref="R148:R153">
    <cfRule type="cellIs" dxfId="4594" priority="888" operator="greaterThan">
      <formula>1</formula>
    </cfRule>
    <cfRule type="cellIs" dxfId="4593" priority="889" operator="lessThan">
      <formula>0.8</formula>
    </cfRule>
  </conditionalFormatting>
  <conditionalFormatting sqref="Q148:Q153">
    <cfRule type="cellIs" dxfId="4592" priority="880" operator="lessThan">
      <formula>0</formula>
    </cfRule>
  </conditionalFormatting>
  <conditionalFormatting sqref="R148:R153">
    <cfRule type="cellIs" dxfId="4591" priority="884" operator="lessThan">
      <formula>0.8</formula>
    </cfRule>
    <cfRule type="cellIs" dxfId="4590" priority="885" operator="greaterThan">
      <formula>1</formula>
    </cfRule>
  </conditionalFormatting>
  <conditionalFormatting sqref="R148:R153">
    <cfRule type="cellIs" dxfId="4589" priority="882" operator="greaterThan">
      <formula>1</formula>
    </cfRule>
    <cfRule type="cellIs" dxfId="4588" priority="883" operator="lessThan">
      <formula>0.8</formula>
    </cfRule>
  </conditionalFormatting>
  <conditionalFormatting sqref="P148:P153">
    <cfRule type="cellIs" dxfId="4587" priority="881" operator="greaterThan">
      <formula>0</formula>
    </cfRule>
  </conditionalFormatting>
  <conditionalFormatting sqref="Q148:Q153">
    <cfRule type="cellIs" dxfId="4586" priority="879" operator="lessThan">
      <formula>0</formula>
    </cfRule>
  </conditionalFormatting>
  <conditionalFormatting sqref="R148:R153">
    <cfRule type="cellIs" dxfId="4585" priority="877" operator="lessThan">
      <formula>0.8</formula>
    </cfRule>
    <cfRule type="cellIs" dxfId="4584" priority="878" operator="greaterThan">
      <formula>1</formula>
    </cfRule>
  </conditionalFormatting>
  <conditionalFormatting sqref="R148:R153">
    <cfRule type="cellIs" dxfId="4583" priority="875" operator="greaterThan">
      <formula>1</formula>
    </cfRule>
    <cfRule type="cellIs" dxfId="4582" priority="876" operator="lessThan">
      <formula>0.8</formula>
    </cfRule>
  </conditionalFormatting>
  <conditionalFormatting sqref="P148:P153">
    <cfRule type="cellIs" dxfId="4581" priority="874" operator="greaterThan">
      <formula>0</formula>
    </cfRule>
  </conditionalFormatting>
  <conditionalFormatting sqref="Q148:Q153">
    <cfRule type="cellIs" dxfId="4580" priority="873" operator="lessThan">
      <formula>0</formula>
    </cfRule>
  </conditionalFormatting>
  <conditionalFormatting sqref="R148:R153">
    <cfRule type="cellIs" dxfId="4579" priority="871" operator="lessThan">
      <formula>0.8</formula>
    </cfRule>
    <cfRule type="cellIs" dxfId="4578" priority="872" operator="greaterThan">
      <formula>1</formula>
    </cfRule>
  </conditionalFormatting>
  <conditionalFormatting sqref="R148:R153">
    <cfRule type="cellIs" dxfId="4577" priority="869" operator="greaterThan">
      <formula>1</formula>
    </cfRule>
    <cfRule type="cellIs" dxfId="4576" priority="870" operator="lessThan">
      <formula>0.8</formula>
    </cfRule>
  </conditionalFormatting>
  <conditionalFormatting sqref="P148:P153">
    <cfRule type="cellIs" dxfId="4575" priority="868" operator="greaterThan">
      <formula>0</formula>
    </cfRule>
  </conditionalFormatting>
  <conditionalFormatting sqref="Q148:Q153">
    <cfRule type="cellIs" dxfId="4574" priority="867" operator="lessThan">
      <formula>0</formula>
    </cfRule>
  </conditionalFormatting>
  <conditionalFormatting sqref="R148:R153">
    <cfRule type="cellIs" dxfId="4573" priority="865" operator="lessThan">
      <formula>0.8</formula>
    </cfRule>
    <cfRule type="cellIs" dxfId="4572" priority="866" operator="greaterThan">
      <formula>1</formula>
    </cfRule>
  </conditionalFormatting>
  <conditionalFormatting sqref="R148:R153">
    <cfRule type="cellIs" dxfId="4571" priority="863" operator="greaterThan">
      <formula>1</formula>
    </cfRule>
    <cfRule type="cellIs" dxfId="4570" priority="864" operator="lessThan">
      <formula>0.8</formula>
    </cfRule>
  </conditionalFormatting>
  <conditionalFormatting sqref="P148:P153">
    <cfRule type="cellIs" dxfId="4569" priority="862" operator="greaterThan">
      <formula>0</formula>
    </cfRule>
  </conditionalFormatting>
  <conditionalFormatting sqref="Q148:Q153">
    <cfRule type="cellIs" dxfId="4568" priority="861" operator="lessThan">
      <formula>0</formula>
    </cfRule>
  </conditionalFormatting>
  <conditionalFormatting sqref="R148:R153">
    <cfRule type="cellIs" dxfId="4567" priority="859" operator="lessThan">
      <formula>0.8</formula>
    </cfRule>
    <cfRule type="cellIs" dxfId="4566" priority="860" operator="greaterThan">
      <formula>1</formula>
    </cfRule>
  </conditionalFormatting>
  <conditionalFormatting sqref="R148:R153">
    <cfRule type="cellIs" dxfId="4565" priority="857" operator="greaterThan">
      <formula>1</formula>
    </cfRule>
    <cfRule type="cellIs" dxfId="4564" priority="858" operator="lessThan">
      <formula>0.8</formula>
    </cfRule>
  </conditionalFormatting>
  <conditionalFormatting sqref="P148:P153">
    <cfRule type="cellIs" dxfId="4563" priority="856" operator="greaterThan">
      <formula>0</formula>
    </cfRule>
  </conditionalFormatting>
  <conditionalFormatting sqref="Q148:Q153">
    <cfRule type="cellIs" dxfId="4562" priority="855" operator="lessThan">
      <formula>0</formula>
    </cfRule>
  </conditionalFormatting>
  <conditionalFormatting sqref="R148:R153">
    <cfRule type="cellIs" dxfId="4561" priority="853" operator="lessThan">
      <formula>0.8</formula>
    </cfRule>
    <cfRule type="cellIs" dxfId="4560" priority="854" operator="greaterThan">
      <formula>1</formula>
    </cfRule>
  </conditionalFormatting>
  <conditionalFormatting sqref="R148:R153">
    <cfRule type="cellIs" dxfId="4559" priority="851" operator="greaterThan">
      <formula>1</formula>
    </cfRule>
    <cfRule type="cellIs" dxfId="4558" priority="852" operator="lessThan">
      <formula>0.8</formula>
    </cfRule>
  </conditionalFormatting>
  <conditionalFormatting sqref="P148:P153">
    <cfRule type="cellIs" dxfId="4557" priority="850" operator="greaterThan">
      <formula>0</formula>
    </cfRule>
  </conditionalFormatting>
  <conditionalFormatting sqref="Q148:Q153">
    <cfRule type="cellIs" dxfId="4556" priority="849" operator="lessThan">
      <formula>0</formula>
    </cfRule>
  </conditionalFormatting>
  <conditionalFormatting sqref="R148:R153">
    <cfRule type="cellIs" dxfId="4555" priority="847" operator="lessThan">
      <formula>0.8</formula>
    </cfRule>
    <cfRule type="cellIs" dxfId="4554" priority="848" operator="greaterThan">
      <formula>1</formula>
    </cfRule>
  </conditionalFormatting>
  <conditionalFormatting sqref="R148:R153">
    <cfRule type="cellIs" dxfId="4553" priority="845" operator="greaterThan">
      <formula>1</formula>
    </cfRule>
    <cfRule type="cellIs" dxfId="4552" priority="846" operator="lessThan">
      <formula>0.8</formula>
    </cfRule>
  </conditionalFormatting>
  <conditionalFormatting sqref="P148:P153">
    <cfRule type="cellIs" dxfId="4551" priority="844" operator="greaterThan">
      <formula>0</formula>
    </cfRule>
  </conditionalFormatting>
  <conditionalFormatting sqref="Q148:Q153">
    <cfRule type="cellIs" dxfId="4550" priority="843" operator="lessThan">
      <formula>0</formula>
    </cfRule>
  </conditionalFormatting>
  <conditionalFormatting sqref="R148:R153">
    <cfRule type="cellIs" dxfId="4549" priority="841" operator="lessThan">
      <formula>0.8</formula>
    </cfRule>
    <cfRule type="cellIs" dxfId="4548" priority="842" operator="greaterThan">
      <formula>1</formula>
    </cfRule>
  </conditionalFormatting>
  <conditionalFormatting sqref="R148:R153">
    <cfRule type="cellIs" dxfId="4547" priority="839" operator="greaterThan">
      <formula>1</formula>
    </cfRule>
    <cfRule type="cellIs" dxfId="4546" priority="840" operator="lessThan">
      <formula>0.8</formula>
    </cfRule>
  </conditionalFormatting>
  <conditionalFormatting sqref="P148:P153">
    <cfRule type="cellIs" dxfId="4545" priority="838" operator="greaterThan">
      <formula>0</formula>
    </cfRule>
  </conditionalFormatting>
  <conditionalFormatting sqref="P148:P153">
    <cfRule type="cellIs" dxfId="4544" priority="832" operator="greaterThan">
      <formula>0</formula>
    </cfRule>
  </conditionalFormatting>
  <conditionalFormatting sqref="Q148:Q153">
    <cfRule type="cellIs" dxfId="4543" priority="837" operator="lessThan">
      <formula>0</formula>
    </cfRule>
  </conditionalFormatting>
  <conditionalFormatting sqref="R148:R153">
    <cfRule type="cellIs" dxfId="4542" priority="835" operator="lessThan">
      <formula>0.8</formula>
    </cfRule>
    <cfRule type="cellIs" dxfId="4541" priority="836" operator="greaterThan">
      <formula>1</formula>
    </cfRule>
  </conditionalFormatting>
  <conditionalFormatting sqref="R148:R153">
    <cfRule type="cellIs" dxfId="4540" priority="833" operator="greaterThan">
      <formula>1</formula>
    </cfRule>
    <cfRule type="cellIs" dxfId="4539" priority="834" operator="lessThan">
      <formula>0.8</formula>
    </cfRule>
  </conditionalFormatting>
  <conditionalFormatting sqref="P148:P153">
    <cfRule type="cellIs" dxfId="4538" priority="826" operator="greaterThan">
      <formula>0</formula>
    </cfRule>
  </conditionalFormatting>
  <conditionalFormatting sqref="Q148:Q153">
    <cfRule type="cellIs" dxfId="4537" priority="831" operator="lessThan">
      <formula>0</formula>
    </cfRule>
  </conditionalFormatting>
  <conditionalFormatting sqref="R148:R153">
    <cfRule type="cellIs" dxfId="4536" priority="829" operator="lessThan">
      <formula>0.8</formula>
    </cfRule>
    <cfRule type="cellIs" dxfId="4535" priority="830" operator="greaterThan">
      <formula>1</formula>
    </cfRule>
  </conditionalFormatting>
  <conditionalFormatting sqref="R148:R153">
    <cfRule type="cellIs" dxfId="4534" priority="827" operator="greaterThan">
      <formula>1</formula>
    </cfRule>
    <cfRule type="cellIs" dxfId="4533" priority="828" operator="lessThan">
      <formula>0.8</formula>
    </cfRule>
  </conditionalFormatting>
  <conditionalFormatting sqref="R148:R153">
    <cfRule type="cellIs" dxfId="4532" priority="823" operator="lessThan">
      <formula>0.8</formula>
    </cfRule>
    <cfRule type="cellIs" dxfId="4531" priority="824" operator="greaterThan">
      <formula>1</formula>
    </cfRule>
  </conditionalFormatting>
  <conditionalFormatting sqref="R148:R153">
    <cfRule type="cellIs" dxfId="4530" priority="821" operator="greaterThan">
      <formula>1</formula>
    </cfRule>
    <cfRule type="cellIs" dxfId="4529" priority="822" operator="lessThan">
      <formula>0.8</formula>
    </cfRule>
  </conditionalFormatting>
  <conditionalFormatting sqref="P148:P153">
    <cfRule type="cellIs" dxfId="4528" priority="820" operator="greaterThan">
      <formula>0</formula>
    </cfRule>
  </conditionalFormatting>
  <conditionalFormatting sqref="Q148:Q153">
    <cfRule type="cellIs" dxfId="4527" priority="825" operator="lessThan">
      <formula>0</formula>
    </cfRule>
  </conditionalFormatting>
  <conditionalFormatting sqref="Q148:Q153">
    <cfRule type="cellIs" dxfId="4526" priority="819" operator="lessThan">
      <formula>0</formula>
    </cfRule>
  </conditionalFormatting>
  <conditionalFormatting sqref="R148:R153">
    <cfRule type="cellIs" dxfId="4525" priority="817" operator="lessThan">
      <formula>0.8</formula>
    </cfRule>
    <cfRule type="cellIs" dxfId="4524" priority="818" operator="greaterThan">
      <formula>1</formula>
    </cfRule>
  </conditionalFormatting>
  <conditionalFormatting sqref="R148:R153">
    <cfRule type="cellIs" dxfId="4523" priority="815" operator="greaterThan">
      <formula>1</formula>
    </cfRule>
    <cfRule type="cellIs" dxfId="4522" priority="816" operator="lessThan">
      <formula>0.8</formula>
    </cfRule>
  </conditionalFormatting>
  <conditionalFormatting sqref="P148:P153">
    <cfRule type="cellIs" dxfId="4521" priority="814" operator="greaterThan">
      <formula>0</formula>
    </cfRule>
  </conditionalFormatting>
  <conditionalFormatting sqref="P148:P153">
    <cfRule type="cellIs" dxfId="4520" priority="808" operator="greaterThan">
      <formula>0</formula>
    </cfRule>
  </conditionalFormatting>
  <conditionalFormatting sqref="Q148:Q153">
    <cfRule type="cellIs" dxfId="4519" priority="813" operator="lessThan">
      <formula>0</formula>
    </cfRule>
  </conditionalFormatting>
  <conditionalFormatting sqref="R148:R153">
    <cfRule type="cellIs" dxfId="4518" priority="811" operator="lessThan">
      <formula>0.8</formula>
    </cfRule>
    <cfRule type="cellIs" dxfId="4517" priority="812" operator="greaterThan">
      <formula>1</formula>
    </cfRule>
  </conditionalFormatting>
  <conditionalFormatting sqref="R148:R153">
    <cfRule type="cellIs" dxfId="4516" priority="809" operator="greaterThan">
      <formula>1</formula>
    </cfRule>
    <cfRule type="cellIs" dxfId="4515" priority="810" operator="lessThan">
      <formula>0.8</formula>
    </cfRule>
  </conditionalFormatting>
  <conditionalFormatting sqref="P148:P153">
    <cfRule type="cellIs" dxfId="4514" priority="802" operator="greaterThan">
      <formula>0</formula>
    </cfRule>
  </conditionalFormatting>
  <conditionalFormatting sqref="Q148:Q153">
    <cfRule type="cellIs" dxfId="4513" priority="807" operator="lessThan">
      <formula>0</formula>
    </cfRule>
  </conditionalFormatting>
  <conditionalFormatting sqref="R148:R153">
    <cfRule type="cellIs" dxfId="4512" priority="805" operator="lessThan">
      <formula>0.8</formula>
    </cfRule>
    <cfRule type="cellIs" dxfId="4511" priority="806" operator="greaterThan">
      <formula>1</formula>
    </cfRule>
  </conditionalFormatting>
  <conditionalFormatting sqref="R148:R153">
    <cfRule type="cellIs" dxfId="4510" priority="803" operator="greaterThan">
      <formula>1</formula>
    </cfRule>
    <cfRule type="cellIs" dxfId="4509" priority="804" operator="lessThan">
      <formula>0.8</formula>
    </cfRule>
  </conditionalFormatting>
  <conditionalFormatting sqref="R148:R153">
    <cfRule type="cellIs" dxfId="4508" priority="799" operator="lessThan">
      <formula>0.8</formula>
    </cfRule>
    <cfRule type="cellIs" dxfId="4507" priority="800" operator="greaterThan">
      <formula>1</formula>
    </cfRule>
  </conditionalFormatting>
  <conditionalFormatting sqref="R148:R153">
    <cfRule type="cellIs" dxfId="4506" priority="797" operator="greaterThan">
      <formula>1</formula>
    </cfRule>
    <cfRule type="cellIs" dxfId="4505" priority="798" operator="lessThan">
      <formula>0.8</formula>
    </cfRule>
  </conditionalFormatting>
  <conditionalFormatting sqref="P148:P153">
    <cfRule type="cellIs" dxfId="4504" priority="796" operator="greaterThan">
      <formula>0</formula>
    </cfRule>
  </conditionalFormatting>
  <conditionalFormatting sqref="Q148:Q153">
    <cfRule type="cellIs" dxfId="4503" priority="801" operator="lessThan">
      <formula>0</formula>
    </cfRule>
  </conditionalFormatting>
  <conditionalFormatting sqref="P148:P153">
    <cfRule type="cellIs" dxfId="4502" priority="790" operator="greaterThan">
      <formula>0</formula>
    </cfRule>
  </conditionalFormatting>
  <conditionalFormatting sqref="Q148:Q153">
    <cfRule type="cellIs" dxfId="4501" priority="795" operator="lessThan">
      <formula>0</formula>
    </cfRule>
  </conditionalFormatting>
  <conditionalFormatting sqref="R148:R153">
    <cfRule type="cellIs" dxfId="4500" priority="793" operator="lessThan">
      <formula>0.8</formula>
    </cfRule>
    <cfRule type="cellIs" dxfId="4499" priority="794" operator="greaterThan">
      <formula>1</formula>
    </cfRule>
  </conditionalFormatting>
  <conditionalFormatting sqref="R148:R153">
    <cfRule type="cellIs" dxfId="4498" priority="791" operator="greaterThan">
      <formula>1</formula>
    </cfRule>
    <cfRule type="cellIs" dxfId="4497" priority="792" operator="lessThan">
      <formula>0.8</formula>
    </cfRule>
  </conditionalFormatting>
  <conditionalFormatting sqref="R148:R153">
    <cfRule type="cellIs" dxfId="4496" priority="787" operator="lessThan">
      <formula>0.8</formula>
    </cfRule>
    <cfRule type="cellIs" dxfId="4495" priority="788" operator="greaterThan">
      <formula>1</formula>
    </cfRule>
  </conditionalFormatting>
  <conditionalFormatting sqref="R148:R153">
    <cfRule type="cellIs" dxfId="4494" priority="785" operator="greaterThan">
      <formula>1</formula>
    </cfRule>
    <cfRule type="cellIs" dxfId="4493" priority="786" operator="lessThan">
      <formula>0.8</formula>
    </cfRule>
  </conditionalFormatting>
  <conditionalFormatting sqref="P148:P153">
    <cfRule type="cellIs" dxfId="4492" priority="784" operator="greaterThan">
      <formula>0</formula>
    </cfRule>
  </conditionalFormatting>
  <conditionalFormatting sqref="Q148:Q153">
    <cfRule type="cellIs" dxfId="4491" priority="789" operator="lessThan">
      <formula>0</formula>
    </cfRule>
  </conditionalFormatting>
  <conditionalFormatting sqref="R148:R153">
    <cfRule type="cellIs" dxfId="4490" priority="781" operator="lessThan">
      <formula>0.8</formula>
    </cfRule>
    <cfRule type="cellIs" dxfId="4489" priority="782" operator="greaterThan">
      <formula>1</formula>
    </cfRule>
  </conditionalFormatting>
  <conditionalFormatting sqref="R148:R153">
    <cfRule type="cellIs" dxfId="4488" priority="779" operator="greaterThan">
      <formula>1</formula>
    </cfRule>
    <cfRule type="cellIs" dxfId="4487" priority="780" operator="lessThan">
      <formula>0.8</formula>
    </cfRule>
  </conditionalFormatting>
  <conditionalFormatting sqref="P148:P153">
    <cfRule type="cellIs" dxfId="4486" priority="778" operator="greaterThan">
      <formula>0</formula>
    </cfRule>
  </conditionalFormatting>
  <conditionalFormatting sqref="Q148:Q153">
    <cfRule type="cellIs" dxfId="4485" priority="783" operator="lessThan">
      <formula>0</formula>
    </cfRule>
  </conditionalFormatting>
  <conditionalFormatting sqref="Q148:Q153">
    <cfRule type="cellIs" dxfId="4484" priority="777" operator="lessThan">
      <formula>0</formula>
    </cfRule>
  </conditionalFormatting>
  <conditionalFormatting sqref="R148:R153">
    <cfRule type="cellIs" dxfId="4483" priority="775" operator="lessThan">
      <formula>0.8</formula>
    </cfRule>
    <cfRule type="cellIs" dxfId="4482" priority="776" operator="greaterThan">
      <formula>1</formula>
    </cfRule>
  </conditionalFormatting>
  <conditionalFormatting sqref="R148:R153">
    <cfRule type="cellIs" dxfId="4481" priority="773" operator="greaterThan">
      <formula>1</formula>
    </cfRule>
    <cfRule type="cellIs" dxfId="4480" priority="774" operator="lessThan">
      <formula>0.8</formula>
    </cfRule>
  </conditionalFormatting>
  <conditionalFormatting sqref="P148:P153">
    <cfRule type="cellIs" dxfId="4479" priority="772" operator="greaterThan">
      <formula>0</formula>
    </cfRule>
  </conditionalFormatting>
  <conditionalFormatting sqref="Q148:Q153">
    <cfRule type="cellIs" dxfId="4478" priority="766" operator="lessThan">
      <formula>0</formula>
    </cfRule>
  </conditionalFormatting>
  <conditionalFormatting sqref="R148:R153">
    <cfRule type="cellIs" dxfId="4477" priority="770" operator="lessThan">
      <formula>0.8</formula>
    </cfRule>
    <cfRule type="cellIs" dxfId="4476" priority="771" operator="greaterThan">
      <formula>1</formula>
    </cfRule>
  </conditionalFormatting>
  <conditionalFormatting sqref="R148:R153">
    <cfRule type="cellIs" dxfId="4475" priority="768" operator="greaterThan">
      <formula>1</formula>
    </cfRule>
    <cfRule type="cellIs" dxfId="4474" priority="769" operator="lessThan">
      <formula>0.8</formula>
    </cfRule>
  </conditionalFormatting>
  <conditionalFormatting sqref="P148:P153">
    <cfRule type="cellIs" dxfId="4473" priority="767" operator="greaterThan">
      <formula>0</formula>
    </cfRule>
  </conditionalFormatting>
  <conditionalFormatting sqref="Q148:Q153">
    <cfRule type="cellIs" dxfId="4472" priority="765" operator="lessThan">
      <formula>0</formula>
    </cfRule>
  </conditionalFormatting>
  <conditionalFormatting sqref="R148:R153">
    <cfRule type="cellIs" dxfId="4471" priority="763" operator="lessThan">
      <formula>0.8</formula>
    </cfRule>
    <cfRule type="cellIs" dxfId="4470" priority="764" operator="greaterThan">
      <formula>1</formula>
    </cfRule>
  </conditionalFormatting>
  <conditionalFormatting sqref="R148:R153">
    <cfRule type="cellIs" dxfId="4469" priority="761" operator="greaterThan">
      <formula>1</formula>
    </cfRule>
    <cfRule type="cellIs" dxfId="4468" priority="762" operator="lessThan">
      <formula>0.8</formula>
    </cfRule>
  </conditionalFormatting>
  <conditionalFormatting sqref="P148:P153">
    <cfRule type="cellIs" dxfId="4467" priority="760" operator="greaterThan">
      <formula>0</formula>
    </cfRule>
  </conditionalFormatting>
  <conditionalFormatting sqref="Q148:Q153">
    <cfRule type="cellIs" dxfId="4466" priority="759" operator="lessThan">
      <formula>0</formula>
    </cfRule>
  </conditionalFormatting>
  <conditionalFormatting sqref="R148:R153">
    <cfRule type="cellIs" dxfId="4465" priority="757" operator="lessThan">
      <formula>0.8</formula>
    </cfRule>
    <cfRule type="cellIs" dxfId="4464" priority="758" operator="greaterThan">
      <formula>1</formula>
    </cfRule>
  </conditionalFormatting>
  <conditionalFormatting sqref="R148:R153">
    <cfRule type="cellIs" dxfId="4463" priority="755" operator="greaterThan">
      <formula>1</formula>
    </cfRule>
    <cfRule type="cellIs" dxfId="4462" priority="756" operator="lessThan">
      <formula>0.8</formula>
    </cfRule>
  </conditionalFormatting>
  <conditionalFormatting sqref="P148:P153">
    <cfRule type="cellIs" dxfId="4461" priority="754" operator="greaterThan">
      <formula>0</formula>
    </cfRule>
  </conditionalFormatting>
  <conditionalFormatting sqref="Q148:Q153">
    <cfRule type="cellIs" dxfId="4460" priority="753" operator="lessThan">
      <formula>0</formula>
    </cfRule>
  </conditionalFormatting>
  <conditionalFormatting sqref="R148:R153">
    <cfRule type="cellIs" dxfId="4459" priority="751" operator="lessThan">
      <formula>0.8</formula>
    </cfRule>
    <cfRule type="cellIs" dxfId="4458" priority="752" operator="greaterThan">
      <formula>1</formula>
    </cfRule>
  </conditionalFormatting>
  <conditionalFormatting sqref="R148:R153">
    <cfRule type="cellIs" dxfId="4457" priority="749" operator="greaterThan">
      <formula>1</formula>
    </cfRule>
    <cfRule type="cellIs" dxfId="4456" priority="750" operator="lessThan">
      <formula>0.8</formula>
    </cfRule>
  </conditionalFormatting>
  <conditionalFormatting sqref="P148:P153">
    <cfRule type="cellIs" dxfId="4455" priority="748" operator="greaterThan">
      <formula>0</formula>
    </cfRule>
  </conditionalFormatting>
  <conditionalFormatting sqref="Q148:Q153">
    <cfRule type="cellIs" dxfId="4454" priority="747" operator="lessThan">
      <formula>0</formula>
    </cfRule>
  </conditionalFormatting>
  <conditionalFormatting sqref="R148:R153">
    <cfRule type="cellIs" dxfId="4453" priority="745" operator="lessThan">
      <formula>0.8</formula>
    </cfRule>
    <cfRule type="cellIs" dxfId="4452" priority="746" operator="greaterThan">
      <formula>1</formula>
    </cfRule>
  </conditionalFormatting>
  <conditionalFormatting sqref="R148:R153">
    <cfRule type="cellIs" dxfId="4451" priority="743" operator="greaterThan">
      <formula>1</formula>
    </cfRule>
    <cfRule type="cellIs" dxfId="4450" priority="744" operator="lessThan">
      <formula>0.8</formula>
    </cfRule>
  </conditionalFormatting>
  <conditionalFormatting sqref="P148:P153">
    <cfRule type="cellIs" dxfId="4449" priority="742" operator="greaterThan">
      <formula>0</formula>
    </cfRule>
  </conditionalFormatting>
  <conditionalFormatting sqref="Q148:Q153">
    <cfRule type="cellIs" dxfId="4448" priority="741" operator="lessThan">
      <formula>0</formula>
    </cfRule>
  </conditionalFormatting>
  <conditionalFormatting sqref="R148:R153">
    <cfRule type="cellIs" dxfId="4447" priority="739" operator="lessThan">
      <formula>0.8</formula>
    </cfRule>
    <cfRule type="cellIs" dxfId="4446" priority="740" operator="greaterThan">
      <formula>1</formula>
    </cfRule>
  </conditionalFormatting>
  <conditionalFormatting sqref="R148:R153">
    <cfRule type="cellIs" dxfId="4445" priority="737" operator="greaterThan">
      <formula>1</formula>
    </cfRule>
    <cfRule type="cellIs" dxfId="4444" priority="738" operator="lessThan">
      <formula>0.8</formula>
    </cfRule>
  </conditionalFormatting>
  <conditionalFormatting sqref="P148:P153">
    <cfRule type="cellIs" dxfId="4443" priority="736" operator="greaterThan">
      <formula>0</formula>
    </cfRule>
  </conditionalFormatting>
  <conditionalFormatting sqref="P148:P153">
    <cfRule type="cellIs" dxfId="4442" priority="730" operator="greaterThan">
      <formula>0</formula>
    </cfRule>
  </conditionalFormatting>
  <conditionalFormatting sqref="Q148:Q153">
    <cfRule type="cellIs" dxfId="4441" priority="735" operator="lessThan">
      <formula>0</formula>
    </cfRule>
  </conditionalFormatting>
  <conditionalFormatting sqref="R148:R153">
    <cfRule type="cellIs" dxfId="4440" priority="733" operator="lessThan">
      <formula>0.8</formula>
    </cfRule>
    <cfRule type="cellIs" dxfId="4439" priority="734" operator="greaterThan">
      <formula>1</formula>
    </cfRule>
  </conditionalFormatting>
  <conditionalFormatting sqref="R148:R153">
    <cfRule type="cellIs" dxfId="4438" priority="731" operator="greaterThan">
      <formula>1</formula>
    </cfRule>
    <cfRule type="cellIs" dxfId="4437" priority="732" operator="lessThan">
      <formula>0.8</formula>
    </cfRule>
  </conditionalFormatting>
  <conditionalFormatting sqref="P148:P153">
    <cfRule type="cellIs" dxfId="4436" priority="724" operator="greaterThan">
      <formula>0</formula>
    </cfRule>
  </conditionalFormatting>
  <conditionalFormatting sqref="Q148:Q153">
    <cfRule type="cellIs" dxfId="4435" priority="729" operator="lessThan">
      <formula>0</formula>
    </cfRule>
  </conditionalFormatting>
  <conditionalFormatting sqref="R148:R153">
    <cfRule type="cellIs" dxfId="4434" priority="727" operator="lessThan">
      <formula>0.8</formula>
    </cfRule>
    <cfRule type="cellIs" dxfId="4433" priority="728" operator="greaterThan">
      <formula>1</formula>
    </cfRule>
  </conditionalFormatting>
  <conditionalFormatting sqref="R148:R153">
    <cfRule type="cellIs" dxfId="4432" priority="725" operator="greaterThan">
      <formula>1</formula>
    </cfRule>
    <cfRule type="cellIs" dxfId="4431" priority="726" operator="lessThan">
      <formula>0.8</formula>
    </cfRule>
  </conditionalFormatting>
  <conditionalFormatting sqref="R148:R153">
    <cfRule type="cellIs" dxfId="4430" priority="721" operator="lessThan">
      <formula>0.8</formula>
    </cfRule>
    <cfRule type="cellIs" dxfId="4429" priority="722" operator="greaterThan">
      <formula>1</formula>
    </cfRule>
  </conditionalFormatting>
  <conditionalFormatting sqref="R148:R153">
    <cfRule type="cellIs" dxfId="4428" priority="719" operator="greaterThan">
      <formula>1</formula>
    </cfRule>
    <cfRule type="cellIs" dxfId="4427" priority="720" operator="lessThan">
      <formula>0.8</formula>
    </cfRule>
  </conditionalFormatting>
  <conditionalFormatting sqref="P148:P153">
    <cfRule type="cellIs" dxfId="4426" priority="718" operator="greaterThan">
      <formula>0</formula>
    </cfRule>
  </conditionalFormatting>
  <conditionalFormatting sqref="Q148:Q153">
    <cfRule type="cellIs" dxfId="4425" priority="723" operator="lessThan">
      <formula>0</formula>
    </cfRule>
  </conditionalFormatting>
  <conditionalFormatting sqref="P44:P51">
    <cfRule type="cellIs" dxfId="4424" priority="712" operator="greaterThan">
      <formula>0</formula>
    </cfRule>
  </conditionalFormatting>
  <conditionalFormatting sqref="Q44:Q51">
    <cfRule type="cellIs" dxfId="4423" priority="717" operator="lessThan">
      <formula>0</formula>
    </cfRule>
  </conditionalFormatting>
  <conditionalFormatting sqref="R44:R51">
    <cfRule type="cellIs" dxfId="4422" priority="715" operator="lessThan">
      <formula>0.8</formula>
    </cfRule>
    <cfRule type="cellIs" dxfId="4421" priority="716" operator="greaterThan">
      <formula>1</formula>
    </cfRule>
  </conditionalFormatting>
  <conditionalFormatting sqref="R44:R51">
    <cfRule type="cellIs" dxfId="4420" priority="713" operator="greaterThan">
      <formula>1</formula>
    </cfRule>
    <cfRule type="cellIs" dxfId="4419" priority="714" operator="lessThan">
      <formula>0.8</formula>
    </cfRule>
  </conditionalFormatting>
  <conditionalFormatting sqref="Q84:Q91">
    <cfRule type="cellIs" dxfId="4418" priority="711" operator="lessThan">
      <formula>0</formula>
    </cfRule>
  </conditionalFormatting>
  <conditionalFormatting sqref="R84:R91">
    <cfRule type="cellIs" dxfId="4417" priority="709" operator="lessThan">
      <formula>0.8</formula>
    </cfRule>
    <cfRule type="cellIs" dxfId="4416" priority="710" operator="greaterThan">
      <formula>1</formula>
    </cfRule>
  </conditionalFormatting>
  <conditionalFormatting sqref="R84:R91">
    <cfRule type="cellIs" dxfId="4415" priority="707" operator="greaterThan">
      <formula>1</formula>
    </cfRule>
    <cfRule type="cellIs" dxfId="4414" priority="708" operator="lessThan">
      <formula>0.8</formula>
    </cfRule>
  </conditionalFormatting>
  <conditionalFormatting sqref="P84:P91">
    <cfRule type="cellIs" dxfId="4413" priority="706" operator="greaterThan">
      <formula>0</formula>
    </cfRule>
  </conditionalFormatting>
  <conditionalFormatting sqref="Q84:Q91">
    <cfRule type="cellIs" dxfId="4412" priority="705" operator="lessThan">
      <formula>0</formula>
    </cfRule>
  </conditionalFormatting>
  <conditionalFormatting sqref="R84:R91">
    <cfRule type="cellIs" dxfId="4411" priority="703" operator="lessThan">
      <formula>0.8</formula>
    </cfRule>
    <cfRule type="cellIs" dxfId="4410" priority="704" operator="greaterThan">
      <formula>1</formula>
    </cfRule>
  </conditionalFormatting>
  <conditionalFormatting sqref="R84:R91">
    <cfRule type="cellIs" dxfId="4409" priority="701" operator="greaterThan">
      <formula>1</formula>
    </cfRule>
    <cfRule type="cellIs" dxfId="4408" priority="702" operator="lessThan">
      <formula>0.8</formula>
    </cfRule>
  </conditionalFormatting>
  <conditionalFormatting sqref="P84:P91">
    <cfRule type="cellIs" dxfId="4407" priority="700" operator="greaterThan">
      <formula>0</formula>
    </cfRule>
  </conditionalFormatting>
  <conditionalFormatting sqref="Q84:Q91">
    <cfRule type="cellIs" dxfId="4406" priority="699" operator="lessThan">
      <formula>0</formula>
    </cfRule>
  </conditionalFormatting>
  <conditionalFormatting sqref="R84:R91">
    <cfRule type="cellIs" dxfId="4405" priority="697" operator="lessThan">
      <formula>0.8</formula>
    </cfRule>
    <cfRule type="cellIs" dxfId="4404" priority="698" operator="greaterThan">
      <formula>1</formula>
    </cfRule>
  </conditionalFormatting>
  <conditionalFormatting sqref="R84:R91">
    <cfRule type="cellIs" dxfId="4403" priority="695" operator="greaterThan">
      <formula>1</formula>
    </cfRule>
    <cfRule type="cellIs" dxfId="4402" priority="696" operator="lessThan">
      <formula>0.8</formula>
    </cfRule>
  </conditionalFormatting>
  <conditionalFormatting sqref="P84:P91">
    <cfRule type="cellIs" dxfId="4401" priority="694" operator="greaterThan">
      <formula>0</formula>
    </cfRule>
  </conditionalFormatting>
  <conditionalFormatting sqref="Q84:Q91">
    <cfRule type="cellIs" dxfId="4400" priority="693" operator="lessThan">
      <formula>0</formula>
    </cfRule>
  </conditionalFormatting>
  <conditionalFormatting sqref="R84:R91">
    <cfRule type="cellIs" dxfId="4399" priority="691" operator="lessThan">
      <formula>0.8</formula>
    </cfRule>
    <cfRule type="cellIs" dxfId="4398" priority="692" operator="greaterThan">
      <formula>1</formula>
    </cfRule>
  </conditionalFormatting>
  <conditionalFormatting sqref="R84:R91">
    <cfRule type="cellIs" dxfId="4397" priority="689" operator="greaterThan">
      <formula>1</formula>
    </cfRule>
    <cfRule type="cellIs" dxfId="4396" priority="690" operator="lessThan">
      <formula>0.8</formula>
    </cfRule>
  </conditionalFormatting>
  <conditionalFormatting sqref="P84:P91">
    <cfRule type="cellIs" dxfId="4395" priority="688" operator="greaterThan">
      <formula>0</formula>
    </cfRule>
  </conditionalFormatting>
  <conditionalFormatting sqref="P84:P91">
    <cfRule type="cellIs" dxfId="4394" priority="682" operator="greaterThan">
      <formula>0</formula>
    </cfRule>
  </conditionalFormatting>
  <conditionalFormatting sqref="Q84:Q91">
    <cfRule type="cellIs" dxfId="4393" priority="687" operator="lessThan">
      <formula>0</formula>
    </cfRule>
  </conditionalFormatting>
  <conditionalFormatting sqref="R84:R91">
    <cfRule type="cellIs" dxfId="4392" priority="685" operator="lessThan">
      <formula>0.8</formula>
    </cfRule>
    <cfRule type="cellIs" dxfId="4391" priority="686" operator="greaterThan">
      <formula>1</formula>
    </cfRule>
  </conditionalFormatting>
  <conditionalFormatting sqref="R84:R91">
    <cfRule type="cellIs" dxfId="4390" priority="683" operator="greaterThan">
      <formula>1</formula>
    </cfRule>
    <cfRule type="cellIs" dxfId="4389" priority="684" operator="lessThan">
      <formula>0.8</formula>
    </cfRule>
  </conditionalFormatting>
  <conditionalFormatting sqref="P84:P91">
    <cfRule type="cellIs" dxfId="4388" priority="676" operator="greaterThan">
      <formula>0</formula>
    </cfRule>
  </conditionalFormatting>
  <conditionalFormatting sqref="Q84:Q91">
    <cfRule type="cellIs" dxfId="4387" priority="681" operator="lessThan">
      <formula>0</formula>
    </cfRule>
  </conditionalFormatting>
  <conditionalFormatting sqref="R84:R91">
    <cfRule type="cellIs" dxfId="4386" priority="679" operator="lessThan">
      <formula>0.8</formula>
    </cfRule>
    <cfRule type="cellIs" dxfId="4385" priority="680" operator="greaterThan">
      <formula>1</formula>
    </cfRule>
  </conditionalFormatting>
  <conditionalFormatting sqref="R84:R91">
    <cfRule type="cellIs" dxfId="4384" priority="677" operator="greaterThan">
      <formula>1</formula>
    </cfRule>
    <cfRule type="cellIs" dxfId="4383" priority="678" operator="lessThan">
      <formula>0.8</formula>
    </cfRule>
  </conditionalFormatting>
  <conditionalFormatting sqref="R84:R91">
    <cfRule type="cellIs" dxfId="4382" priority="673" operator="lessThan">
      <formula>0.8</formula>
    </cfRule>
    <cfRule type="cellIs" dxfId="4381" priority="674" operator="greaterThan">
      <formula>1</formula>
    </cfRule>
  </conditionalFormatting>
  <conditionalFormatting sqref="R84:R91">
    <cfRule type="cellIs" dxfId="4380" priority="671" operator="greaterThan">
      <formula>1</formula>
    </cfRule>
    <cfRule type="cellIs" dxfId="4379" priority="672" operator="lessThan">
      <formula>0.8</formula>
    </cfRule>
  </conditionalFormatting>
  <conditionalFormatting sqref="P84:P91">
    <cfRule type="cellIs" dxfId="4378" priority="670" operator="greaterThan">
      <formula>0</formula>
    </cfRule>
  </conditionalFormatting>
  <conditionalFormatting sqref="Q84:Q91">
    <cfRule type="cellIs" dxfId="4377" priority="675" operator="lessThan">
      <formula>0</formula>
    </cfRule>
  </conditionalFormatting>
  <conditionalFormatting sqref="Q84:Q91">
    <cfRule type="cellIs" dxfId="4376" priority="669" operator="lessThan">
      <formula>0</formula>
    </cfRule>
  </conditionalFormatting>
  <conditionalFormatting sqref="R84:R91">
    <cfRule type="cellIs" dxfId="4375" priority="667" operator="lessThan">
      <formula>0.8</formula>
    </cfRule>
    <cfRule type="cellIs" dxfId="4374" priority="668" operator="greaterThan">
      <formula>1</formula>
    </cfRule>
  </conditionalFormatting>
  <conditionalFormatting sqref="R84:R91">
    <cfRule type="cellIs" dxfId="4373" priority="665" operator="greaterThan">
      <formula>1</formula>
    </cfRule>
    <cfRule type="cellIs" dxfId="4372" priority="666" operator="lessThan">
      <formula>0.8</formula>
    </cfRule>
  </conditionalFormatting>
  <conditionalFormatting sqref="P84:P91">
    <cfRule type="cellIs" dxfId="4371" priority="664" operator="greaterThan">
      <formula>0</formula>
    </cfRule>
  </conditionalFormatting>
  <conditionalFormatting sqref="P84:P91">
    <cfRule type="cellIs" dxfId="4370" priority="658" operator="greaterThan">
      <formula>0</formula>
    </cfRule>
  </conditionalFormatting>
  <conditionalFormatting sqref="Q84:Q91">
    <cfRule type="cellIs" dxfId="4369" priority="663" operator="lessThan">
      <formula>0</formula>
    </cfRule>
  </conditionalFormatting>
  <conditionalFormatting sqref="R84:R91">
    <cfRule type="cellIs" dxfId="4368" priority="661" operator="lessThan">
      <formula>0.8</formula>
    </cfRule>
    <cfRule type="cellIs" dxfId="4367" priority="662" operator="greaterThan">
      <formula>1</formula>
    </cfRule>
  </conditionalFormatting>
  <conditionalFormatting sqref="R84:R91">
    <cfRule type="cellIs" dxfId="4366" priority="659" operator="greaterThan">
      <formula>1</formula>
    </cfRule>
    <cfRule type="cellIs" dxfId="4365" priority="660" operator="lessThan">
      <formula>0.8</formula>
    </cfRule>
  </conditionalFormatting>
  <conditionalFormatting sqref="P84:P91">
    <cfRule type="cellIs" dxfId="4364" priority="652" operator="greaterThan">
      <formula>0</formula>
    </cfRule>
  </conditionalFormatting>
  <conditionalFormatting sqref="Q84:Q91">
    <cfRule type="cellIs" dxfId="4363" priority="657" operator="lessThan">
      <formula>0</formula>
    </cfRule>
  </conditionalFormatting>
  <conditionalFormatting sqref="R84:R91">
    <cfRule type="cellIs" dxfId="4362" priority="655" operator="lessThan">
      <formula>0.8</formula>
    </cfRule>
    <cfRule type="cellIs" dxfId="4361" priority="656" operator="greaterThan">
      <formula>1</formula>
    </cfRule>
  </conditionalFormatting>
  <conditionalFormatting sqref="R84:R91">
    <cfRule type="cellIs" dxfId="4360" priority="653" operator="greaterThan">
      <formula>1</formula>
    </cfRule>
    <cfRule type="cellIs" dxfId="4359" priority="654" operator="lessThan">
      <formula>0.8</formula>
    </cfRule>
  </conditionalFormatting>
  <conditionalFormatting sqref="R84:R91">
    <cfRule type="cellIs" dxfId="4358" priority="649" operator="lessThan">
      <formula>0.8</formula>
    </cfRule>
    <cfRule type="cellIs" dxfId="4357" priority="650" operator="greaterThan">
      <formula>1</formula>
    </cfRule>
  </conditionalFormatting>
  <conditionalFormatting sqref="R84:R91">
    <cfRule type="cellIs" dxfId="4356" priority="647" operator="greaterThan">
      <formula>1</formula>
    </cfRule>
    <cfRule type="cellIs" dxfId="4355" priority="648" operator="lessThan">
      <formula>0.8</formula>
    </cfRule>
  </conditionalFormatting>
  <conditionalFormatting sqref="P84:P91">
    <cfRule type="cellIs" dxfId="4354" priority="646" operator="greaterThan">
      <formula>0</formula>
    </cfRule>
  </conditionalFormatting>
  <conditionalFormatting sqref="Q84:Q91">
    <cfRule type="cellIs" dxfId="4353" priority="651" operator="lessThan">
      <formula>0</formula>
    </cfRule>
  </conditionalFormatting>
  <conditionalFormatting sqref="P84:P91">
    <cfRule type="cellIs" dxfId="4352" priority="640" operator="greaterThan">
      <formula>0</formula>
    </cfRule>
  </conditionalFormatting>
  <conditionalFormatting sqref="Q84:Q91">
    <cfRule type="cellIs" dxfId="4351" priority="645" operator="lessThan">
      <formula>0</formula>
    </cfRule>
  </conditionalFormatting>
  <conditionalFormatting sqref="R84:R91">
    <cfRule type="cellIs" dxfId="4350" priority="643" operator="lessThan">
      <formula>0.8</formula>
    </cfRule>
    <cfRule type="cellIs" dxfId="4349" priority="644" operator="greaterThan">
      <formula>1</formula>
    </cfRule>
  </conditionalFormatting>
  <conditionalFormatting sqref="R84:R91">
    <cfRule type="cellIs" dxfId="4348" priority="641" operator="greaterThan">
      <formula>1</formula>
    </cfRule>
    <cfRule type="cellIs" dxfId="4347" priority="642" operator="lessThan">
      <formula>0.8</formula>
    </cfRule>
  </conditionalFormatting>
  <conditionalFormatting sqref="R84:R91">
    <cfRule type="cellIs" dxfId="4346" priority="637" operator="lessThan">
      <formula>0.8</formula>
    </cfRule>
    <cfRule type="cellIs" dxfId="4345" priority="638" operator="greaterThan">
      <formula>1</formula>
    </cfRule>
  </conditionalFormatting>
  <conditionalFormatting sqref="R84:R91">
    <cfRule type="cellIs" dxfId="4344" priority="635" operator="greaterThan">
      <formula>1</formula>
    </cfRule>
    <cfRule type="cellIs" dxfId="4343" priority="636" operator="lessThan">
      <formula>0.8</formula>
    </cfRule>
  </conditionalFormatting>
  <conditionalFormatting sqref="P84:P91">
    <cfRule type="cellIs" dxfId="4342" priority="634" operator="greaterThan">
      <formula>0</formula>
    </cfRule>
  </conditionalFormatting>
  <conditionalFormatting sqref="Q84:Q91">
    <cfRule type="cellIs" dxfId="4341" priority="639" operator="lessThan">
      <formula>0</formula>
    </cfRule>
  </conditionalFormatting>
  <conditionalFormatting sqref="R84:R91">
    <cfRule type="cellIs" dxfId="4340" priority="631" operator="lessThan">
      <formula>0.8</formula>
    </cfRule>
    <cfRule type="cellIs" dxfId="4339" priority="632" operator="greaterThan">
      <formula>1</formula>
    </cfRule>
  </conditionalFormatting>
  <conditionalFormatting sqref="R84:R91">
    <cfRule type="cellIs" dxfId="4338" priority="629" operator="greaterThan">
      <formula>1</formula>
    </cfRule>
    <cfRule type="cellIs" dxfId="4337" priority="630" operator="lessThan">
      <formula>0.8</formula>
    </cfRule>
  </conditionalFormatting>
  <conditionalFormatting sqref="P84:P91">
    <cfRule type="cellIs" dxfId="4336" priority="628" operator="greaterThan">
      <formula>0</formula>
    </cfRule>
  </conditionalFormatting>
  <conditionalFormatting sqref="Q84:Q91">
    <cfRule type="cellIs" dxfId="4335" priority="633" operator="lessThan">
      <formula>0</formula>
    </cfRule>
  </conditionalFormatting>
  <conditionalFormatting sqref="Q84:Q91">
    <cfRule type="cellIs" dxfId="4334" priority="627" operator="lessThan">
      <formula>0</formula>
    </cfRule>
  </conditionalFormatting>
  <conditionalFormatting sqref="R84:R91">
    <cfRule type="cellIs" dxfId="4333" priority="625" operator="lessThan">
      <formula>0.8</formula>
    </cfRule>
    <cfRule type="cellIs" dxfId="4332" priority="626" operator="greaterThan">
      <formula>1</formula>
    </cfRule>
  </conditionalFormatting>
  <conditionalFormatting sqref="R84:R91">
    <cfRule type="cellIs" dxfId="4331" priority="623" operator="greaterThan">
      <formula>1</formula>
    </cfRule>
    <cfRule type="cellIs" dxfId="4330" priority="624" operator="lessThan">
      <formula>0.8</formula>
    </cfRule>
  </conditionalFormatting>
  <conditionalFormatting sqref="P84:P91">
    <cfRule type="cellIs" dxfId="4329" priority="622" operator="greaterThan">
      <formula>0</formula>
    </cfRule>
  </conditionalFormatting>
  <conditionalFormatting sqref="Q84:Q91">
    <cfRule type="cellIs" dxfId="4328" priority="616" operator="lessThan">
      <formula>0</formula>
    </cfRule>
  </conditionalFormatting>
  <conditionalFormatting sqref="R84:R91">
    <cfRule type="cellIs" dxfId="4327" priority="620" operator="lessThan">
      <formula>0.8</formula>
    </cfRule>
    <cfRule type="cellIs" dxfId="4326" priority="621" operator="greaterThan">
      <formula>1</formula>
    </cfRule>
  </conditionalFormatting>
  <conditionalFormatting sqref="R84:R91">
    <cfRule type="cellIs" dxfId="4325" priority="618" operator="greaterThan">
      <formula>1</formula>
    </cfRule>
    <cfRule type="cellIs" dxfId="4324" priority="619" operator="lessThan">
      <formula>0.8</formula>
    </cfRule>
  </conditionalFormatting>
  <conditionalFormatting sqref="P84:P91">
    <cfRule type="cellIs" dxfId="4323" priority="617" operator="greaterThan">
      <formula>0</formula>
    </cfRule>
  </conditionalFormatting>
  <conditionalFormatting sqref="Q84:Q91">
    <cfRule type="cellIs" dxfId="4322" priority="615" operator="lessThan">
      <formula>0</formula>
    </cfRule>
  </conditionalFormatting>
  <conditionalFormatting sqref="R84:R91">
    <cfRule type="cellIs" dxfId="4321" priority="613" operator="lessThan">
      <formula>0.8</formula>
    </cfRule>
    <cfRule type="cellIs" dxfId="4320" priority="614" operator="greaterThan">
      <formula>1</formula>
    </cfRule>
  </conditionalFormatting>
  <conditionalFormatting sqref="R84:R91">
    <cfRule type="cellIs" dxfId="4319" priority="611" operator="greaterThan">
      <formula>1</formula>
    </cfRule>
    <cfRule type="cellIs" dxfId="4318" priority="612" operator="lessThan">
      <formula>0.8</formula>
    </cfRule>
  </conditionalFormatting>
  <conditionalFormatting sqref="P84:P91">
    <cfRule type="cellIs" dxfId="4317" priority="610" operator="greaterThan">
      <formula>0</formula>
    </cfRule>
  </conditionalFormatting>
  <conditionalFormatting sqref="Q84:Q91">
    <cfRule type="cellIs" dxfId="4316" priority="609" operator="lessThan">
      <formula>0</formula>
    </cfRule>
  </conditionalFormatting>
  <conditionalFormatting sqref="R84:R91">
    <cfRule type="cellIs" dxfId="4315" priority="607" operator="lessThan">
      <formula>0.8</formula>
    </cfRule>
    <cfRule type="cellIs" dxfId="4314" priority="608" operator="greaterThan">
      <formula>1</formula>
    </cfRule>
  </conditionalFormatting>
  <conditionalFormatting sqref="R84:R91">
    <cfRule type="cellIs" dxfId="4313" priority="605" operator="greaterThan">
      <formula>1</formula>
    </cfRule>
    <cfRule type="cellIs" dxfId="4312" priority="606" operator="lessThan">
      <formula>0.8</formula>
    </cfRule>
  </conditionalFormatting>
  <conditionalFormatting sqref="P84:P91">
    <cfRule type="cellIs" dxfId="4311" priority="604" operator="greaterThan">
      <formula>0</formula>
    </cfRule>
  </conditionalFormatting>
  <conditionalFormatting sqref="Q84:Q91">
    <cfRule type="cellIs" dxfId="4310" priority="603" operator="lessThan">
      <formula>0</formula>
    </cfRule>
  </conditionalFormatting>
  <conditionalFormatting sqref="R84:R91">
    <cfRule type="cellIs" dxfId="4309" priority="601" operator="lessThan">
      <formula>0.8</formula>
    </cfRule>
    <cfRule type="cellIs" dxfId="4308" priority="602" operator="greaterThan">
      <formula>1</formula>
    </cfRule>
  </conditionalFormatting>
  <conditionalFormatting sqref="R84:R91">
    <cfRule type="cellIs" dxfId="4307" priority="599" operator="greaterThan">
      <formula>1</formula>
    </cfRule>
    <cfRule type="cellIs" dxfId="4306" priority="600" operator="lessThan">
      <formula>0.8</formula>
    </cfRule>
  </conditionalFormatting>
  <conditionalFormatting sqref="P84:P91">
    <cfRule type="cellIs" dxfId="4305" priority="598" operator="greaterThan">
      <formula>0</formula>
    </cfRule>
  </conditionalFormatting>
  <conditionalFormatting sqref="Q84:Q91">
    <cfRule type="cellIs" dxfId="4304" priority="597" operator="lessThan">
      <formula>0</formula>
    </cfRule>
  </conditionalFormatting>
  <conditionalFormatting sqref="R84:R91">
    <cfRule type="cellIs" dxfId="4303" priority="595" operator="lessThan">
      <formula>0.8</formula>
    </cfRule>
    <cfRule type="cellIs" dxfId="4302" priority="596" operator="greaterThan">
      <formula>1</formula>
    </cfRule>
  </conditionalFormatting>
  <conditionalFormatting sqref="R84:R91">
    <cfRule type="cellIs" dxfId="4301" priority="593" operator="greaterThan">
      <formula>1</formula>
    </cfRule>
    <cfRule type="cellIs" dxfId="4300" priority="594" operator="lessThan">
      <formula>0.8</formula>
    </cfRule>
  </conditionalFormatting>
  <conditionalFormatting sqref="P84:P91">
    <cfRule type="cellIs" dxfId="4299" priority="592" operator="greaterThan">
      <formula>0</formula>
    </cfRule>
  </conditionalFormatting>
  <conditionalFormatting sqref="Q84:Q91">
    <cfRule type="cellIs" dxfId="4298" priority="591" operator="lessThan">
      <formula>0</formula>
    </cfRule>
  </conditionalFormatting>
  <conditionalFormatting sqref="R84:R91">
    <cfRule type="cellIs" dxfId="4297" priority="589" operator="lessThan">
      <formula>0.8</formula>
    </cfRule>
    <cfRule type="cellIs" dxfId="4296" priority="590" operator="greaterThan">
      <formula>1</formula>
    </cfRule>
  </conditionalFormatting>
  <conditionalFormatting sqref="R84:R91">
    <cfRule type="cellIs" dxfId="4295" priority="587" operator="greaterThan">
      <formula>1</formula>
    </cfRule>
    <cfRule type="cellIs" dxfId="4294" priority="588" operator="lessThan">
      <formula>0.8</formula>
    </cfRule>
  </conditionalFormatting>
  <conditionalFormatting sqref="P84:P91">
    <cfRule type="cellIs" dxfId="4293" priority="586" operator="greaterThan">
      <formula>0</formula>
    </cfRule>
  </conditionalFormatting>
  <conditionalFormatting sqref="P84:P91">
    <cfRule type="cellIs" dxfId="4292" priority="580" operator="greaterThan">
      <formula>0</formula>
    </cfRule>
  </conditionalFormatting>
  <conditionalFormatting sqref="Q84:Q91">
    <cfRule type="cellIs" dxfId="4291" priority="585" operator="lessThan">
      <formula>0</formula>
    </cfRule>
  </conditionalFormatting>
  <conditionalFormatting sqref="R84:R91">
    <cfRule type="cellIs" dxfId="4290" priority="583" operator="lessThan">
      <formula>0.8</formula>
    </cfRule>
    <cfRule type="cellIs" dxfId="4289" priority="584" operator="greaterThan">
      <formula>1</formula>
    </cfRule>
  </conditionalFormatting>
  <conditionalFormatting sqref="R84:R91">
    <cfRule type="cellIs" dxfId="4288" priority="581" operator="greaterThan">
      <formula>1</formula>
    </cfRule>
    <cfRule type="cellIs" dxfId="4287" priority="582" operator="lessThan">
      <formula>0.8</formula>
    </cfRule>
  </conditionalFormatting>
  <conditionalFormatting sqref="P84:P91">
    <cfRule type="cellIs" dxfId="4286" priority="574" operator="greaterThan">
      <formula>0</formula>
    </cfRule>
  </conditionalFormatting>
  <conditionalFormatting sqref="Q84:Q91">
    <cfRule type="cellIs" dxfId="4285" priority="579" operator="lessThan">
      <formula>0</formula>
    </cfRule>
  </conditionalFormatting>
  <conditionalFormatting sqref="R84:R91">
    <cfRule type="cellIs" dxfId="4284" priority="577" operator="lessThan">
      <formula>0.8</formula>
    </cfRule>
    <cfRule type="cellIs" dxfId="4283" priority="578" operator="greaterThan">
      <formula>1</formula>
    </cfRule>
  </conditionalFormatting>
  <conditionalFormatting sqref="R84:R91">
    <cfRule type="cellIs" dxfId="4282" priority="575" operator="greaterThan">
      <formula>1</formula>
    </cfRule>
    <cfRule type="cellIs" dxfId="4281" priority="576" operator="lessThan">
      <formula>0.8</formula>
    </cfRule>
  </conditionalFormatting>
  <conditionalFormatting sqref="R84:R91">
    <cfRule type="cellIs" dxfId="4280" priority="571" operator="lessThan">
      <formula>0.8</formula>
    </cfRule>
    <cfRule type="cellIs" dxfId="4279" priority="572" operator="greaterThan">
      <formula>1</formula>
    </cfRule>
  </conditionalFormatting>
  <conditionalFormatting sqref="R84:R91">
    <cfRule type="cellIs" dxfId="4278" priority="569" operator="greaterThan">
      <formula>1</formula>
    </cfRule>
    <cfRule type="cellIs" dxfId="4277" priority="570" operator="lessThan">
      <formula>0.8</formula>
    </cfRule>
  </conditionalFormatting>
  <conditionalFormatting sqref="P84:P91">
    <cfRule type="cellIs" dxfId="4276" priority="568" operator="greaterThan">
      <formula>0</formula>
    </cfRule>
  </conditionalFormatting>
  <conditionalFormatting sqref="Q84:Q91">
    <cfRule type="cellIs" dxfId="4275" priority="573" operator="lessThan">
      <formula>0</formula>
    </cfRule>
  </conditionalFormatting>
  <conditionalFormatting sqref="Q84:Q91">
    <cfRule type="cellIs" dxfId="4274" priority="567" operator="lessThan">
      <formula>0</formula>
    </cfRule>
  </conditionalFormatting>
  <conditionalFormatting sqref="R84:R91">
    <cfRule type="cellIs" dxfId="4273" priority="565" operator="lessThan">
      <formula>0.8</formula>
    </cfRule>
    <cfRule type="cellIs" dxfId="4272" priority="566" operator="greaterThan">
      <formula>1</formula>
    </cfRule>
  </conditionalFormatting>
  <conditionalFormatting sqref="R84:R91">
    <cfRule type="cellIs" dxfId="4271" priority="563" operator="greaterThan">
      <formula>1</formula>
    </cfRule>
    <cfRule type="cellIs" dxfId="4270" priority="564" operator="lessThan">
      <formula>0.8</formula>
    </cfRule>
  </conditionalFormatting>
  <conditionalFormatting sqref="P84:P91">
    <cfRule type="cellIs" dxfId="4269" priority="562" operator="greaterThan">
      <formula>0</formula>
    </cfRule>
  </conditionalFormatting>
  <conditionalFormatting sqref="Q84:Q91">
    <cfRule type="cellIs" dxfId="4268" priority="561" operator="lessThan">
      <formula>0</formula>
    </cfRule>
  </conditionalFormatting>
  <conditionalFormatting sqref="R84:R91">
    <cfRule type="cellIs" dxfId="4267" priority="559" operator="lessThan">
      <formula>0.8</formula>
    </cfRule>
    <cfRule type="cellIs" dxfId="4266" priority="560" operator="greaterThan">
      <formula>1</formula>
    </cfRule>
  </conditionalFormatting>
  <conditionalFormatting sqref="R84:R91">
    <cfRule type="cellIs" dxfId="4265" priority="557" operator="greaterThan">
      <formula>1</formula>
    </cfRule>
    <cfRule type="cellIs" dxfId="4264" priority="558" operator="lessThan">
      <formula>0.8</formula>
    </cfRule>
  </conditionalFormatting>
  <conditionalFormatting sqref="P84:P91">
    <cfRule type="cellIs" dxfId="4263" priority="556" operator="greaterThan">
      <formula>0</formula>
    </cfRule>
  </conditionalFormatting>
  <conditionalFormatting sqref="Q84:Q91">
    <cfRule type="cellIs" dxfId="4262" priority="555" operator="lessThan">
      <formula>0</formula>
    </cfRule>
  </conditionalFormatting>
  <conditionalFormatting sqref="R84:R91">
    <cfRule type="cellIs" dxfId="4261" priority="553" operator="lessThan">
      <formula>0.8</formula>
    </cfRule>
    <cfRule type="cellIs" dxfId="4260" priority="554" operator="greaterThan">
      <formula>1</formula>
    </cfRule>
  </conditionalFormatting>
  <conditionalFormatting sqref="R84:R91">
    <cfRule type="cellIs" dxfId="4259" priority="551" operator="greaterThan">
      <formula>1</formula>
    </cfRule>
    <cfRule type="cellIs" dxfId="4258" priority="552" operator="lessThan">
      <formula>0.8</formula>
    </cfRule>
  </conditionalFormatting>
  <conditionalFormatting sqref="P84:P91">
    <cfRule type="cellIs" dxfId="4257" priority="550" operator="greaterThan">
      <formula>0</formula>
    </cfRule>
  </conditionalFormatting>
  <conditionalFormatting sqref="Q84:Q91">
    <cfRule type="cellIs" dxfId="4256" priority="549" operator="lessThan">
      <formula>0</formula>
    </cfRule>
  </conditionalFormatting>
  <conditionalFormatting sqref="R84:R91">
    <cfRule type="cellIs" dxfId="4255" priority="547" operator="lessThan">
      <formula>0.8</formula>
    </cfRule>
    <cfRule type="cellIs" dxfId="4254" priority="548" operator="greaterThan">
      <formula>1</formula>
    </cfRule>
  </conditionalFormatting>
  <conditionalFormatting sqref="R84:R91">
    <cfRule type="cellIs" dxfId="4253" priority="545" operator="greaterThan">
      <formula>1</formula>
    </cfRule>
    <cfRule type="cellIs" dxfId="4252" priority="546" operator="lessThan">
      <formula>0.8</formula>
    </cfRule>
  </conditionalFormatting>
  <conditionalFormatting sqref="P84:P91">
    <cfRule type="cellIs" dxfId="4251" priority="544" operator="greaterThan">
      <formula>0</formula>
    </cfRule>
  </conditionalFormatting>
  <conditionalFormatting sqref="P84:P91">
    <cfRule type="cellIs" dxfId="4250" priority="538" operator="greaterThan">
      <formula>0</formula>
    </cfRule>
  </conditionalFormatting>
  <conditionalFormatting sqref="Q84:Q91">
    <cfRule type="cellIs" dxfId="4249" priority="543" operator="lessThan">
      <formula>0</formula>
    </cfRule>
  </conditionalFormatting>
  <conditionalFormatting sqref="R84:R91">
    <cfRule type="cellIs" dxfId="4248" priority="541" operator="lessThan">
      <formula>0.8</formula>
    </cfRule>
    <cfRule type="cellIs" dxfId="4247" priority="542" operator="greaterThan">
      <formula>1</formula>
    </cfRule>
  </conditionalFormatting>
  <conditionalFormatting sqref="R84:R91">
    <cfRule type="cellIs" dxfId="4246" priority="539" operator="greaterThan">
      <formula>1</formula>
    </cfRule>
    <cfRule type="cellIs" dxfId="4245" priority="540" operator="lessThan">
      <formula>0.8</formula>
    </cfRule>
  </conditionalFormatting>
  <conditionalFormatting sqref="P84:P91">
    <cfRule type="cellIs" dxfId="4244" priority="532" operator="greaterThan">
      <formula>0</formula>
    </cfRule>
  </conditionalFormatting>
  <conditionalFormatting sqref="Q84:Q91">
    <cfRule type="cellIs" dxfId="4243" priority="537" operator="lessThan">
      <formula>0</formula>
    </cfRule>
  </conditionalFormatting>
  <conditionalFormatting sqref="R84:R91">
    <cfRule type="cellIs" dxfId="4242" priority="535" operator="lessThan">
      <formula>0.8</formula>
    </cfRule>
    <cfRule type="cellIs" dxfId="4241" priority="536" operator="greaterThan">
      <formula>1</formula>
    </cfRule>
  </conditionalFormatting>
  <conditionalFormatting sqref="R84:R91">
    <cfRule type="cellIs" dxfId="4240" priority="533" operator="greaterThan">
      <formula>1</formula>
    </cfRule>
    <cfRule type="cellIs" dxfId="4239" priority="534" operator="lessThan">
      <formula>0.8</formula>
    </cfRule>
  </conditionalFormatting>
  <conditionalFormatting sqref="R84:R91">
    <cfRule type="cellIs" dxfId="4238" priority="529" operator="lessThan">
      <formula>0.8</formula>
    </cfRule>
    <cfRule type="cellIs" dxfId="4237" priority="530" operator="greaterThan">
      <formula>1</formula>
    </cfRule>
  </conditionalFormatting>
  <conditionalFormatting sqref="R84:R91">
    <cfRule type="cellIs" dxfId="4236" priority="527" operator="greaterThan">
      <formula>1</formula>
    </cfRule>
    <cfRule type="cellIs" dxfId="4235" priority="528" operator="lessThan">
      <formula>0.8</formula>
    </cfRule>
  </conditionalFormatting>
  <conditionalFormatting sqref="P84:P91">
    <cfRule type="cellIs" dxfId="4234" priority="526" operator="greaterThan">
      <formula>0</formula>
    </cfRule>
  </conditionalFormatting>
  <conditionalFormatting sqref="Q84:Q91">
    <cfRule type="cellIs" dxfId="4233" priority="531" operator="lessThan">
      <formula>0</formula>
    </cfRule>
  </conditionalFormatting>
  <conditionalFormatting sqref="Q84:Q91">
    <cfRule type="cellIs" dxfId="4232" priority="525" operator="lessThan">
      <formula>0</formula>
    </cfRule>
  </conditionalFormatting>
  <conditionalFormatting sqref="R84:R91">
    <cfRule type="cellIs" dxfId="4231" priority="523" operator="lessThan">
      <formula>0.8</formula>
    </cfRule>
    <cfRule type="cellIs" dxfId="4230" priority="524" operator="greaterThan">
      <formula>1</formula>
    </cfRule>
  </conditionalFormatting>
  <conditionalFormatting sqref="R84:R91">
    <cfRule type="cellIs" dxfId="4229" priority="521" operator="greaterThan">
      <formula>1</formula>
    </cfRule>
    <cfRule type="cellIs" dxfId="4228" priority="522" operator="lessThan">
      <formula>0.8</formula>
    </cfRule>
  </conditionalFormatting>
  <conditionalFormatting sqref="P84:P91">
    <cfRule type="cellIs" dxfId="4227" priority="520" operator="greaterThan">
      <formula>0</formula>
    </cfRule>
  </conditionalFormatting>
  <conditionalFormatting sqref="P84:P91">
    <cfRule type="cellIs" dxfId="4226" priority="514" operator="greaterThan">
      <formula>0</formula>
    </cfRule>
  </conditionalFormatting>
  <conditionalFormatting sqref="Q84:Q91">
    <cfRule type="cellIs" dxfId="4225" priority="519" operator="lessThan">
      <formula>0</formula>
    </cfRule>
  </conditionalFormatting>
  <conditionalFormatting sqref="R84:R91">
    <cfRule type="cellIs" dxfId="4224" priority="517" operator="lessThan">
      <formula>0.8</formula>
    </cfRule>
    <cfRule type="cellIs" dxfId="4223" priority="518" operator="greaterThan">
      <formula>1</formula>
    </cfRule>
  </conditionalFormatting>
  <conditionalFormatting sqref="R84:R91">
    <cfRule type="cellIs" dxfId="4222" priority="515" operator="greaterThan">
      <formula>1</formula>
    </cfRule>
    <cfRule type="cellIs" dxfId="4221" priority="516" operator="lessThan">
      <formula>0.8</formula>
    </cfRule>
  </conditionalFormatting>
  <conditionalFormatting sqref="P84:P91">
    <cfRule type="cellIs" dxfId="4220" priority="508" operator="greaterThan">
      <formula>0</formula>
    </cfRule>
  </conditionalFormatting>
  <conditionalFormatting sqref="Q84:Q91">
    <cfRule type="cellIs" dxfId="4219" priority="513" operator="lessThan">
      <formula>0</formula>
    </cfRule>
  </conditionalFormatting>
  <conditionalFormatting sqref="R84:R91">
    <cfRule type="cellIs" dxfId="4218" priority="511" operator="lessThan">
      <formula>0.8</formula>
    </cfRule>
    <cfRule type="cellIs" dxfId="4217" priority="512" operator="greaterThan">
      <formula>1</formula>
    </cfRule>
  </conditionalFormatting>
  <conditionalFormatting sqref="R84:R91">
    <cfRule type="cellIs" dxfId="4216" priority="509" operator="greaterThan">
      <formula>1</formula>
    </cfRule>
    <cfRule type="cellIs" dxfId="4215" priority="510" operator="lessThan">
      <formula>0.8</formula>
    </cfRule>
  </conditionalFormatting>
  <conditionalFormatting sqref="R84:R91">
    <cfRule type="cellIs" dxfId="4214" priority="505" operator="lessThan">
      <formula>0.8</formula>
    </cfRule>
    <cfRule type="cellIs" dxfId="4213" priority="506" operator="greaterThan">
      <formula>1</formula>
    </cfRule>
  </conditionalFormatting>
  <conditionalFormatting sqref="R84:R91">
    <cfRule type="cellIs" dxfId="4212" priority="503" operator="greaterThan">
      <formula>1</formula>
    </cfRule>
    <cfRule type="cellIs" dxfId="4211" priority="504" operator="lessThan">
      <formula>0.8</formula>
    </cfRule>
  </conditionalFormatting>
  <conditionalFormatting sqref="P84:P91">
    <cfRule type="cellIs" dxfId="4210" priority="502" operator="greaterThan">
      <formula>0</formula>
    </cfRule>
  </conditionalFormatting>
  <conditionalFormatting sqref="Q84:Q91">
    <cfRule type="cellIs" dxfId="4209" priority="507" operator="lessThan">
      <formula>0</formula>
    </cfRule>
  </conditionalFormatting>
  <conditionalFormatting sqref="P84:P91">
    <cfRule type="cellIs" dxfId="4208" priority="496" operator="greaterThan">
      <formula>0</formula>
    </cfRule>
  </conditionalFormatting>
  <conditionalFormatting sqref="Q84:Q91">
    <cfRule type="cellIs" dxfId="4207" priority="501" operator="lessThan">
      <formula>0</formula>
    </cfRule>
  </conditionalFormatting>
  <conditionalFormatting sqref="R84:R91">
    <cfRule type="cellIs" dxfId="4206" priority="499" operator="lessThan">
      <formula>0.8</formula>
    </cfRule>
    <cfRule type="cellIs" dxfId="4205" priority="500" operator="greaterThan">
      <formula>1</formula>
    </cfRule>
  </conditionalFormatting>
  <conditionalFormatting sqref="R84:R91">
    <cfRule type="cellIs" dxfId="4204" priority="497" operator="greaterThan">
      <formula>1</formula>
    </cfRule>
    <cfRule type="cellIs" dxfId="4203" priority="498" operator="lessThan">
      <formula>0.8</formula>
    </cfRule>
  </conditionalFormatting>
  <conditionalFormatting sqref="R84:R91">
    <cfRule type="cellIs" dxfId="4202" priority="493" operator="lessThan">
      <formula>0.8</formula>
    </cfRule>
    <cfRule type="cellIs" dxfId="4201" priority="494" operator="greaterThan">
      <formula>1</formula>
    </cfRule>
  </conditionalFormatting>
  <conditionalFormatting sqref="R84:R91">
    <cfRule type="cellIs" dxfId="4200" priority="491" operator="greaterThan">
      <formula>1</formula>
    </cfRule>
    <cfRule type="cellIs" dxfId="4199" priority="492" operator="lessThan">
      <formula>0.8</formula>
    </cfRule>
  </conditionalFormatting>
  <conditionalFormatting sqref="P84:P91">
    <cfRule type="cellIs" dxfId="4198" priority="490" operator="greaterThan">
      <formula>0</formula>
    </cfRule>
  </conditionalFormatting>
  <conditionalFormatting sqref="Q84:Q91">
    <cfRule type="cellIs" dxfId="4197" priority="495" operator="lessThan">
      <formula>0</formula>
    </cfRule>
  </conditionalFormatting>
  <conditionalFormatting sqref="R84:R91">
    <cfRule type="cellIs" dxfId="4196" priority="487" operator="lessThan">
      <formula>0.8</formula>
    </cfRule>
    <cfRule type="cellIs" dxfId="4195" priority="488" operator="greaterThan">
      <formula>1</formula>
    </cfRule>
  </conditionalFormatting>
  <conditionalFormatting sqref="R84:R91">
    <cfRule type="cellIs" dxfId="4194" priority="485" operator="greaterThan">
      <formula>1</formula>
    </cfRule>
    <cfRule type="cellIs" dxfId="4193" priority="486" operator="lessThan">
      <formula>0.8</formula>
    </cfRule>
  </conditionalFormatting>
  <conditionalFormatting sqref="P84:P91">
    <cfRule type="cellIs" dxfId="4192" priority="484" operator="greaterThan">
      <formula>0</formula>
    </cfRule>
  </conditionalFormatting>
  <conditionalFormatting sqref="Q84:Q91">
    <cfRule type="cellIs" dxfId="4191" priority="489" operator="lessThan">
      <formula>0</formula>
    </cfRule>
  </conditionalFormatting>
  <conditionalFormatting sqref="Q84:Q91">
    <cfRule type="cellIs" dxfId="4190" priority="483" operator="lessThan">
      <formula>0</formula>
    </cfRule>
  </conditionalFormatting>
  <conditionalFormatting sqref="R84:R91">
    <cfRule type="cellIs" dxfId="4189" priority="481" operator="lessThan">
      <formula>0.8</formula>
    </cfRule>
    <cfRule type="cellIs" dxfId="4188" priority="482" operator="greaterThan">
      <formula>1</formula>
    </cfRule>
  </conditionalFormatting>
  <conditionalFormatting sqref="R84:R91">
    <cfRule type="cellIs" dxfId="4187" priority="479" operator="greaterThan">
      <formula>1</formula>
    </cfRule>
    <cfRule type="cellIs" dxfId="4186" priority="480" operator="lessThan">
      <formula>0.8</formula>
    </cfRule>
  </conditionalFormatting>
  <conditionalFormatting sqref="P84:P91">
    <cfRule type="cellIs" dxfId="4185" priority="478" operator="greaterThan">
      <formula>0</formula>
    </cfRule>
  </conditionalFormatting>
  <conditionalFormatting sqref="Q84:Q91">
    <cfRule type="cellIs" dxfId="4184" priority="472" operator="lessThan">
      <formula>0</formula>
    </cfRule>
  </conditionalFormatting>
  <conditionalFormatting sqref="R84:R91">
    <cfRule type="cellIs" dxfId="4183" priority="476" operator="lessThan">
      <formula>0.8</formula>
    </cfRule>
    <cfRule type="cellIs" dxfId="4182" priority="477" operator="greaterThan">
      <formula>1</formula>
    </cfRule>
  </conditionalFormatting>
  <conditionalFormatting sqref="R84:R91">
    <cfRule type="cellIs" dxfId="4181" priority="474" operator="greaterThan">
      <formula>1</formula>
    </cfRule>
    <cfRule type="cellIs" dxfId="4180" priority="475" operator="lessThan">
      <formula>0.8</formula>
    </cfRule>
  </conditionalFormatting>
  <conditionalFormatting sqref="P84:P91">
    <cfRule type="cellIs" dxfId="4179" priority="473" operator="greaterThan">
      <formula>0</formula>
    </cfRule>
  </conditionalFormatting>
  <conditionalFormatting sqref="Q84:Q91">
    <cfRule type="cellIs" dxfId="4178" priority="471" operator="lessThan">
      <formula>0</formula>
    </cfRule>
  </conditionalFormatting>
  <conditionalFormatting sqref="R84:R91">
    <cfRule type="cellIs" dxfId="4177" priority="469" operator="lessThan">
      <formula>0.8</formula>
    </cfRule>
    <cfRule type="cellIs" dxfId="4176" priority="470" operator="greaterThan">
      <formula>1</formula>
    </cfRule>
  </conditionalFormatting>
  <conditionalFormatting sqref="R84:R91">
    <cfRule type="cellIs" dxfId="4175" priority="467" operator="greaterThan">
      <formula>1</formula>
    </cfRule>
    <cfRule type="cellIs" dxfId="4174" priority="468" operator="lessThan">
      <formula>0.8</formula>
    </cfRule>
  </conditionalFormatting>
  <conditionalFormatting sqref="P84:P91">
    <cfRule type="cellIs" dxfId="4173" priority="466" operator="greaterThan">
      <formula>0</formula>
    </cfRule>
  </conditionalFormatting>
  <conditionalFormatting sqref="Q84:Q91">
    <cfRule type="cellIs" dxfId="4172" priority="465" operator="lessThan">
      <formula>0</formula>
    </cfRule>
  </conditionalFormatting>
  <conditionalFormatting sqref="R84:R91">
    <cfRule type="cellIs" dxfId="4171" priority="463" operator="lessThan">
      <formula>0.8</formula>
    </cfRule>
    <cfRule type="cellIs" dxfId="4170" priority="464" operator="greaterThan">
      <formula>1</formula>
    </cfRule>
  </conditionalFormatting>
  <conditionalFormatting sqref="R84:R91">
    <cfRule type="cellIs" dxfId="4169" priority="461" operator="greaterThan">
      <formula>1</formula>
    </cfRule>
    <cfRule type="cellIs" dxfId="4168" priority="462" operator="lessThan">
      <formula>0.8</formula>
    </cfRule>
  </conditionalFormatting>
  <conditionalFormatting sqref="P84:P91">
    <cfRule type="cellIs" dxfId="4167" priority="460" operator="greaterThan">
      <formula>0</formula>
    </cfRule>
  </conditionalFormatting>
  <conditionalFormatting sqref="Q84:Q91">
    <cfRule type="cellIs" dxfId="4166" priority="459" operator="lessThan">
      <formula>0</formula>
    </cfRule>
  </conditionalFormatting>
  <conditionalFormatting sqref="R84:R91">
    <cfRule type="cellIs" dxfId="4165" priority="457" operator="lessThan">
      <formula>0.8</formula>
    </cfRule>
    <cfRule type="cellIs" dxfId="4164" priority="458" operator="greaterThan">
      <formula>1</formula>
    </cfRule>
  </conditionalFormatting>
  <conditionalFormatting sqref="R84:R91">
    <cfRule type="cellIs" dxfId="4163" priority="455" operator="greaterThan">
      <formula>1</formula>
    </cfRule>
    <cfRule type="cellIs" dxfId="4162" priority="456" operator="lessThan">
      <formula>0.8</formula>
    </cfRule>
  </conditionalFormatting>
  <conditionalFormatting sqref="P84:P91">
    <cfRule type="cellIs" dxfId="4161" priority="454" operator="greaterThan">
      <formula>0</formula>
    </cfRule>
  </conditionalFormatting>
  <conditionalFormatting sqref="Q84:Q91">
    <cfRule type="cellIs" dxfId="4160" priority="453" operator="lessThan">
      <formula>0</formula>
    </cfRule>
  </conditionalFormatting>
  <conditionalFormatting sqref="R84:R91">
    <cfRule type="cellIs" dxfId="4159" priority="451" operator="lessThan">
      <formula>0.8</formula>
    </cfRule>
    <cfRule type="cellIs" dxfId="4158" priority="452" operator="greaterThan">
      <formula>1</formula>
    </cfRule>
  </conditionalFormatting>
  <conditionalFormatting sqref="R84:R91">
    <cfRule type="cellIs" dxfId="4157" priority="449" operator="greaterThan">
      <formula>1</formula>
    </cfRule>
    <cfRule type="cellIs" dxfId="4156" priority="450" operator="lessThan">
      <formula>0.8</formula>
    </cfRule>
  </conditionalFormatting>
  <conditionalFormatting sqref="P84:P91">
    <cfRule type="cellIs" dxfId="4155" priority="448" operator="greaterThan">
      <formula>0</formula>
    </cfRule>
  </conditionalFormatting>
  <conditionalFormatting sqref="Q84:Q91">
    <cfRule type="cellIs" dxfId="4154" priority="447" operator="lessThan">
      <formula>0</formula>
    </cfRule>
  </conditionalFormatting>
  <conditionalFormatting sqref="R84:R91">
    <cfRule type="cellIs" dxfId="4153" priority="445" operator="lessThan">
      <formula>0.8</formula>
    </cfRule>
    <cfRule type="cellIs" dxfId="4152" priority="446" operator="greaterThan">
      <formula>1</formula>
    </cfRule>
  </conditionalFormatting>
  <conditionalFormatting sqref="R84:R91">
    <cfRule type="cellIs" dxfId="4151" priority="443" operator="greaterThan">
      <formula>1</formula>
    </cfRule>
    <cfRule type="cellIs" dxfId="4150" priority="444" operator="lessThan">
      <formula>0.8</formula>
    </cfRule>
  </conditionalFormatting>
  <conditionalFormatting sqref="P84:P91">
    <cfRule type="cellIs" dxfId="4149" priority="442" operator="greaterThan">
      <formula>0</formula>
    </cfRule>
  </conditionalFormatting>
  <conditionalFormatting sqref="P84:P91">
    <cfRule type="cellIs" dxfId="4148" priority="436" operator="greaterThan">
      <formula>0</formula>
    </cfRule>
  </conditionalFormatting>
  <conditionalFormatting sqref="Q84:Q91">
    <cfRule type="cellIs" dxfId="4147" priority="441" operator="lessThan">
      <formula>0</formula>
    </cfRule>
  </conditionalFormatting>
  <conditionalFormatting sqref="R84:R91">
    <cfRule type="cellIs" dxfId="4146" priority="439" operator="lessThan">
      <formula>0.8</formula>
    </cfRule>
    <cfRule type="cellIs" dxfId="4145" priority="440" operator="greaterThan">
      <formula>1</formula>
    </cfRule>
  </conditionalFormatting>
  <conditionalFormatting sqref="R84:R91">
    <cfRule type="cellIs" dxfId="4144" priority="437" operator="greaterThan">
      <formula>1</formula>
    </cfRule>
    <cfRule type="cellIs" dxfId="4143" priority="438" operator="lessThan">
      <formula>0.8</formula>
    </cfRule>
  </conditionalFormatting>
  <conditionalFormatting sqref="P84:P91">
    <cfRule type="cellIs" dxfId="4142" priority="430" operator="greaterThan">
      <formula>0</formula>
    </cfRule>
  </conditionalFormatting>
  <conditionalFormatting sqref="Q84:Q91">
    <cfRule type="cellIs" dxfId="4141" priority="435" operator="lessThan">
      <formula>0</formula>
    </cfRule>
  </conditionalFormatting>
  <conditionalFormatting sqref="R84:R91">
    <cfRule type="cellIs" dxfId="4140" priority="433" operator="lessThan">
      <formula>0.8</formula>
    </cfRule>
    <cfRule type="cellIs" dxfId="4139" priority="434" operator="greaterThan">
      <formula>1</formula>
    </cfRule>
  </conditionalFormatting>
  <conditionalFormatting sqref="R84:R91">
    <cfRule type="cellIs" dxfId="4138" priority="431" operator="greaterThan">
      <formula>1</formula>
    </cfRule>
    <cfRule type="cellIs" dxfId="4137" priority="432" operator="lessThan">
      <formula>0.8</formula>
    </cfRule>
  </conditionalFormatting>
  <conditionalFormatting sqref="R84:R91">
    <cfRule type="cellIs" dxfId="4136" priority="427" operator="lessThan">
      <formula>0.8</formula>
    </cfRule>
    <cfRule type="cellIs" dxfId="4135" priority="428" operator="greaterThan">
      <formula>1</formula>
    </cfRule>
  </conditionalFormatting>
  <conditionalFormatting sqref="R84:R91">
    <cfRule type="cellIs" dxfId="4134" priority="425" operator="greaterThan">
      <formula>1</formula>
    </cfRule>
    <cfRule type="cellIs" dxfId="4133" priority="426" operator="lessThan">
      <formula>0.8</formula>
    </cfRule>
  </conditionalFormatting>
  <conditionalFormatting sqref="P84:P91">
    <cfRule type="cellIs" dxfId="4132" priority="424" operator="greaterThan">
      <formula>0</formula>
    </cfRule>
  </conditionalFormatting>
  <conditionalFormatting sqref="Q84:Q91">
    <cfRule type="cellIs" dxfId="4131" priority="429" operator="lessThan">
      <formula>0</formula>
    </cfRule>
  </conditionalFormatting>
  <conditionalFormatting sqref="Q84:Q91">
    <cfRule type="cellIs" dxfId="4130" priority="418" operator="lessThan">
      <formula>0</formula>
    </cfRule>
  </conditionalFormatting>
  <conditionalFormatting sqref="P84:P91">
    <cfRule type="cellIs" dxfId="4129" priority="419" operator="greaterThan">
      <formula>0</formula>
    </cfRule>
  </conditionalFormatting>
  <conditionalFormatting sqref="R84:R91">
    <cfRule type="cellIs" dxfId="4128" priority="422" operator="lessThan">
      <formula>0.8</formula>
    </cfRule>
    <cfRule type="cellIs" dxfId="4127" priority="423" operator="greaterThan">
      <formula>1</formula>
    </cfRule>
  </conditionalFormatting>
  <conditionalFormatting sqref="R84:R91">
    <cfRule type="cellIs" dxfId="4126" priority="420" operator="greaterThan">
      <formula>1</formula>
    </cfRule>
    <cfRule type="cellIs" dxfId="4125" priority="421" operator="lessThan">
      <formula>0.8</formula>
    </cfRule>
  </conditionalFormatting>
  <conditionalFormatting sqref="Q84:Q91">
    <cfRule type="cellIs" dxfId="4124" priority="412" operator="lessThan">
      <formula>0</formula>
    </cfRule>
  </conditionalFormatting>
  <conditionalFormatting sqref="R84:R91">
    <cfRule type="cellIs" dxfId="4123" priority="416" operator="lessThan">
      <formula>0.8</formula>
    </cfRule>
    <cfRule type="cellIs" dxfId="4122" priority="417" operator="greaterThan">
      <formula>1</formula>
    </cfRule>
  </conditionalFormatting>
  <conditionalFormatting sqref="R84:R91">
    <cfRule type="cellIs" dxfId="4121" priority="414" operator="greaterThan">
      <formula>1</formula>
    </cfRule>
    <cfRule type="cellIs" dxfId="4120" priority="415" operator="lessThan">
      <formula>0.8</formula>
    </cfRule>
  </conditionalFormatting>
  <conditionalFormatting sqref="P84:P91">
    <cfRule type="cellIs" dxfId="4119" priority="413" operator="greaterThan">
      <formula>0</formula>
    </cfRule>
  </conditionalFormatting>
  <conditionalFormatting sqref="Q84:Q91">
    <cfRule type="cellIs" dxfId="4118" priority="411" operator="lessThan">
      <formula>0</formula>
    </cfRule>
  </conditionalFormatting>
  <conditionalFormatting sqref="R84:R91">
    <cfRule type="cellIs" dxfId="4117" priority="409" operator="lessThan">
      <formula>0.8</formula>
    </cfRule>
    <cfRule type="cellIs" dxfId="4116" priority="410" operator="greaterThan">
      <formula>1</formula>
    </cfRule>
  </conditionalFormatting>
  <conditionalFormatting sqref="R84:R91">
    <cfRule type="cellIs" dxfId="4115" priority="407" operator="greaterThan">
      <formula>1</formula>
    </cfRule>
    <cfRule type="cellIs" dxfId="4114" priority="408" operator="lessThan">
      <formula>0.8</formula>
    </cfRule>
  </conditionalFormatting>
  <conditionalFormatting sqref="P84:P91">
    <cfRule type="cellIs" dxfId="4113" priority="406" operator="greaterThan">
      <formula>0</formula>
    </cfRule>
  </conditionalFormatting>
  <conditionalFormatting sqref="Q84:Q91">
    <cfRule type="cellIs" dxfId="4112" priority="405" operator="lessThan">
      <formula>0</formula>
    </cfRule>
  </conditionalFormatting>
  <conditionalFormatting sqref="R84:R91">
    <cfRule type="cellIs" dxfId="4111" priority="403" operator="lessThan">
      <formula>0.8</formula>
    </cfRule>
    <cfRule type="cellIs" dxfId="4110" priority="404" operator="greaterThan">
      <formula>1</formula>
    </cfRule>
  </conditionalFormatting>
  <conditionalFormatting sqref="R84:R91">
    <cfRule type="cellIs" dxfId="4109" priority="401" operator="greaterThan">
      <formula>1</formula>
    </cfRule>
    <cfRule type="cellIs" dxfId="4108" priority="402" operator="lessThan">
      <formula>0.8</formula>
    </cfRule>
  </conditionalFormatting>
  <conditionalFormatting sqref="P84:P91">
    <cfRule type="cellIs" dxfId="4107" priority="400" operator="greaterThan">
      <formula>0</formula>
    </cfRule>
  </conditionalFormatting>
  <conditionalFormatting sqref="Q84:Q91">
    <cfRule type="cellIs" dxfId="4106" priority="399" operator="lessThan">
      <formula>0</formula>
    </cfRule>
  </conditionalFormatting>
  <conditionalFormatting sqref="R84:R91">
    <cfRule type="cellIs" dxfId="4105" priority="397" operator="lessThan">
      <formula>0.8</formula>
    </cfRule>
    <cfRule type="cellIs" dxfId="4104" priority="398" operator="greaterThan">
      <formula>1</formula>
    </cfRule>
  </conditionalFormatting>
  <conditionalFormatting sqref="R84:R91">
    <cfRule type="cellIs" dxfId="4103" priority="395" operator="greaterThan">
      <formula>1</formula>
    </cfRule>
    <cfRule type="cellIs" dxfId="4102" priority="396" operator="lessThan">
      <formula>0.8</formula>
    </cfRule>
  </conditionalFormatting>
  <conditionalFormatting sqref="P84:P91">
    <cfRule type="cellIs" dxfId="4101" priority="394" operator="greaterThan">
      <formula>0</formula>
    </cfRule>
  </conditionalFormatting>
  <conditionalFormatting sqref="Q84:Q91">
    <cfRule type="cellIs" dxfId="4100" priority="393" operator="lessThan">
      <formula>0</formula>
    </cfRule>
  </conditionalFormatting>
  <conditionalFormatting sqref="R84:R91">
    <cfRule type="cellIs" dxfId="4099" priority="391" operator="lessThan">
      <formula>0.8</formula>
    </cfRule>
    <cfRule type="cellIs" dxfId="4098" priority="392" operator="greaterThan">
      <formula>1</formula>
    </cfRule>
  </conditionalFormatting>
  <conditionalFormatting sqref="R84:R91">
    <cfRule type="cellIs" dxfId="4097" priority="389" operator="greaterThan">
      <formula>1</formula>
    </cfRule>
    <cfRule type="cellIs" dxfId="4096" priority="390" operator="lessThan">
      <formula>0.8</formula>
    </cfRule>
  </conditionalFormatting>
  <conditionalFormatting sqref="P84:P91">
    <cfRule type="cellIs" dxfId="4095" priority="388" operator="greaterThan">
      <formula>0</formula>
    </cfRule>
  </conditionalFormatting>
  <conditionalFormatting sqref="Q84:Q91">
    <cfRule type="cellIs" dxfId="4094" priority="387" operator="lessThan">
      <formula>0</formula>
    </cfRule>
  </conditionalFormatting>
  <conditionalFormatting sqref="R84:R91">
    <cfRule type="cellIs" dxfId="4093" priority="385" operator="lessThan">
      <formula>0.8</formula>
    </cfRule>
    <cfRule type="cellIs" dxfId="4092" priority="386" operator="greaterThan">
      <formula>1</formula>
    </cfRule>
  </conditionalFormatting>
  <conditionalFormatting sqref="R84:R91">
    <cfRule type="cellIs" dxfId="4091" priority="383" operator="greaterThan">
      <formula>1</formula>
    </cfRule>
    <cfRule type="cellIs" dxfId="4090" priority="384" operator="lessThan">
      <formula>0.8</formula>
    </cfRule>
  </conditionalFormatting>
  <conditionalFormatting sqref="P84:P91">
    <cfRule type="cellIs" dxfId="4089" priority="382" operator="greaterThan">
      <formula>0</formula>
    </cfRule>
  </conditionalFormatting>
  <conditionalFormatting sqref="Q84:Q91">
    <cfRule type="cellIs" dxfId="4088" priority="381" operator="lessThan">
      <formula>0</formula>
    </cfRule>
  </conditionalFormatting>
  <conditionalFormatting sqref="R84:R91">
    <cfRule type="cellIs" dxfId="4087" priority="379" operator="lessThan">
      <formula>0.8</formula>
    </cfRule>
    <cfRule type="cellIs" dxfId="4086" priority="380" operator="greaterThan">
      <formula>1</formula>
    </cfRule>
  </conditionalFormatting>
  <conditionalFormatting sqref="R84:R91">
    <cfRule type="cellIs" dxfId="4085" priority="377" operator="greaterThan">
      <formula>1</formula>
    </cfRule>
    <cfRule type="cellIs" dxfId="4084" priority="378" operator="lessThan">
      <formula>0.8</formula>
    </cfRule>
  </conditionalFormatting>
  <conditionalFormatting sqref="P84:P91">
    <cfRule type="cellIs" dxfId="4083" priority="376" operator="greaterThan">
      <formula>0</formula>
    </cfRule>
  </conditionalFormatting>
  <conditionalFormatting sqref="Q84:Q91">
    <cfRule type="cellIs" dxfId="4082" priority="375" operator="lessThan">
      <formula>0</formula>
    </cfRule>
  </conditionalFormatting>
  <conditionalFormatting sqref="R84:R91">
    <cfRule type="cellIs" dxfId="4081" priority="373" operator="lessThan">
      <formula>0.8</formula>
    </cfRule>
    <cfRule type="cellIs" dxfId="4080" priority="374" operator="greaterThan">
      <formula>1</formula>
    </cfRule>
  </conditionalFormatting>
  <conditionalFormatting sqref="R84:R91">
    <cfRule type="cellIs" dxfId="4079" priority="371" operator="greaterThan">
      <formula>1</formula>
    </cfRule>
    <cfRule type="cellIs" dxfId="4078" priority="372" operator="lessThan">
      <formula>0.8</formula>
    </cfRule>
  </conditionalFormatting>
  <conditionalFormatting sqref="P84:P91">
    <cfRule type="cellIs" dxfId="4077" priority="370" operator="greaterThan">
      <formula>0</formula>
    </cfRule>
  </conditionalFormatting>
  <conditionalFormatting sqref="P84:P91">
    <cfRule type="cellIs" dxfId="4076" priority="364" operator="greaterThan">
      <formula>0</formula>
    </cfRule>
  </conditionalFormatting>
  <conditionalFormatting sqref="Q84:Q91">
    <cfRule type="cellIs" dxfId="4075" priority="369" operator="lessThan">
      <formula>0</formula>
    </cfRule>
  </conditionalFormatting>
  <conditionalFormatting sqref="R84:R91">
    <cfRule type="cellIs" dxfId="4074" priority="367" operator="lessThan">
      <formula>0.8</formula>
    </cfRule>
    <cfRule type="cellIs" dxfId="4073" priority="368" operator="greaterThan">
      <formula>1</formula>
    </cfRule>
  </conditionalFormatting>
  <conditionalFormatting sqref="R84:R91">
    <cfRule type="cellIs" dxfId="4072" priority="365" operator="greaterThan">
      <formula>1</formula>
    </cfRule>
    <cfRule type="cellIs" dxfId="4071" priority="366" operator="lessThan">
      <formula>0.8</formula>
    </cfRule>
  </conditionalFormatting>
  <conditionalFormatting sqref="P84:P91">
    <cfRule type="cellIs" dxfId="4070" priority="358" operator="greaterThan">
      <formula>0</formula>
    </cfRule>
  </conditionalFormatting>
  <conditionalFormatting sqref="Q84:Q91">
    <cfRule type="cellIs" dxfId="4069" priority="363" operator="lessThan">
      <formula>0</formula>
    </cfRule>
  </conditionalFormatting>
  <conditionalFormatting sqref="R84:R91">
    <cfRule type="cellIs" dxfId="4068" priority="361" operator="lessThan">
      <formula>0.8</formula>
    </cfRule>
    <cfRule type="cellIs" dxfId="4067" priority="362" operator="greaterThan">
      <formula>1</formula>
    </cfRule>
  </conditionalFormatting>
  <conditionalFormatting sqref="R84:R91">
    <cfRule type="cellIs" dxfId="4066" priority="359" operator="greaterThan">
      <formula>1</formula>
    </cfRule>
    <cfRule type="cellIs" dxfId="4065" priority="360" operator="lessThan">
      <formula>0.8</formula>
    </cfRule>
  </conditionalFormatting>
  <conditionalFormatting sqref="R84:R91">
    <cfRule type="cellIs" dxfId="4064" priority="355" operator="lessThan">
      <formula>0.8</formula>
    </cfRule>
    <cfRule type="cellIs" dxfId="4063" priority="356" operator="greaterThan">
      <formula>1</formula>
    </cfRule>
  </conditionalFormatting>
  <conditionalFormatting sqref="R84:R91">
    <cfRule type="cellIs" dxfId="4062" priority="353" operator="greaterThan">
      <formula>1</formula>
    </cfRule>
    <cfRule type="cellIs" dxfId="4061" priority="354" operator="lessThan">
      <formula>0.8</formula>
    </cfRule>
  </conditionalFormatting>
  <conditionalFormatting sqref="P84:P91">
    <cfRule type="cellIs" dxfId="4060" priority="352" operator="greaterThan">
      <formula>0</formula>
    </cfRule>
  </conditionalFormatting>
  <conditionalFormatting sqref="Q84:Q91">
    <cfRule type="cellIs" dxfId="4059" priority="357" operator="lessThan">
      <formula>0</formula>
    </cfRule>
  </conditionalFormatting>
  <conditionalFormatting sqref="Q84:Q91">
    <cfRule type="cellIs" dxfId="4058" priority="351" operator="lessThan">
      <formula>0</formula>
    </cfRule>
  </conditionalFormatting>
  <conditionalFormatting sqref="R84:R91">
    <cfRule type="cellIs" dxfId="4057" priority="349" operator="lessThan">
      <formula>0.8</formula>
    </cfRule>
    <cfRule type="cellIs" dxfId="4056" priority="350" operator="greaterThan">
      <formula>1</formula>
    </cfRule>
  </conditionalFormatting>
  <conditionalFormatting sqref="R84:R91">
    <cfRule type="cellIs" dxfId="4055" priority="347" operator="greaterThan">
      <formula>1</formula>
    </cfRule>
    <cfRule type="cellIs" dxfId="4054" priority="348" operator="lessThan">
      <formula>0.8</formula>
    </cfRule>
  </conditionalFormatting>
  <conditionalFormatting sqref="P84:P91">
    <cfRule type="cellIs" dxfId="4053" priority="346" operator="greaterThan">
      <formula>0</formula>
    </cfRule>
  </conditionalFormatting>
  <conditionalFormatting sqref="P84:P91">
    <cfRule type="cellIs" dxfId="4052" priority="340" operator="greaterThan">
      <formula>0</formula>
    </cfRule>
  </conditionalFormatting>
  <conditionalFormatting sqref="Q84:Q91">
    <cfRule type="cellIs" dxfId="4051" priority="345" operator="lessThan">
      <formula>0</formula>
    </cfRule>
  </conditionalFormatting>
  <conditionalFormatting sqref="R84:R91">
    <cfRule type="cellIs" dxfId="4050" priority="343" operator="lessThan">
      <formula>0.8</formula>
    </cfRule>
    <cfRule type="cellIs" dxfId="4049" priority="344" operator="greaterThan">
      <formula>1</formula>
    </cfRule>
  </conditionalFormatting>
  <conditionalFormatting sqref="R84:R91">
    <cfRule type="cellIs" dxfId="4048" priority="341" operator="greaterThan">
      <formula>1</formula>
    </cfRule>
    <cfRule type="cellIs" dxfId="4047" priority="342" operator="lessThan">
      <formula>0.8</formula>
    </cfRule>
  </conditionalFormatting>
  <conditionalFormatting sqref="P84:P91">
    <cfRule type="cellIs" dxfId="4046" priority="334" operator="greaterThan">
      <formula>0</formula>
    </cfRule>
  </conditionalFormatting>
  <conditionalFormatting sqref="Q84:Q91">
    <cfRule type="cellIs" dxfId="4045" priority="339" operator="lessThan">
      <formula>0</formula>
    </cfRule>
  </conditionalFormatting>
  <conditionalFormatting sqref="R84:R91">
    <cfRule type="cellIs" dxfId="4044" priority="337" operator="lessThan">
      <formula>0.8</formula>
    </cfRule>
    <cfRule type="cellIs" dxfId="4043" priority="338" operator="greaterThan">
      <formula>1</formula>
    </cfRule>
  </conditionalFormatting>
  <conditionalFormatting sqref="R84:R91">
    <cfRule type="cellIs" dxfId="4042" priority="335" operator="greaterThan">
      <formula>1</formula>
    </cfRule>
    <cfRule type="cellIs" dxfId="4041" priority="336" operator="lessThan">
      <formula>0.8</formula>
    </cfRule>
  </conditionalFormatting>
  <conditionalFormatting sqref="R84:R91">
    <cfRule type="cellIs" dxfId="4040" priority="331" operator="lessThan">
      <formula>0.8</formula>
    </cfRule>
    <cfRule type="cellIs" dxfId="4039" priority="332" operator="greaterThan">
      <formula>1</formula>
    </cfRule>
  </conditionalFormatting>
  <conditionalFormatting sqref="R84:R91">
    <cfRule type="cellIs" dxfId="4038" priority="329" operator="greaterThan">
      <formula>1</formula>
    </cfRule>
    <cfRule type="cellIs" dxfId="4037" priority="330" operator="lessThan">
      <formula>0.8</formula>
    </cfRule>
  </conditionalFormatting>
  <conditionalFormatting sqref="P84:P91">
    <cfRule type="cellIs" dxfId="4036" priority="328" operator="greaterThan">
      <formula>0</formula>
    </cfRule>
  </conditionalFormatting>
  <conditionalFormatting sqref="Q84:Q91">
    <cfRule type="cellIs" dxfId="4035" priority="333" operator="lessThan">
      <formula>0</formula>
    </cfRule>
  </conditionalFormatting>
  <conditionalFormatting sqref="P84:P91">
    <cfRule type="cellIs" dxfId="4034" priority="322" operator="greaterThan">
      <formula>0</formula>
    </cfRule>
  </conditionalFormatting>
  <conditionalFormatting sqref="Q84:Q91">
    <cfRule type="cellIs" dxfId="4033" priority="327" operator="lessThan">
      <formula>0</formula>
    </cfRule>
  </conditionalFormatting>
  <conditionalFormatting sqref="R84:R91">
    <cfRule type="cellIs" dxfId="4032" priority="325" operator="lessThan">
      <formula>0.8</formula>
    </cfRule>
    <cfRule type="cellIs" dxfId="4031" priority="326" operator="greaterThan">
      <formula>1</formula>
    </cfRule>
  </conditionalFormatting>
  <conditionalFormatting sqref="R84:R91">
    <cfRule type="cellIs" dxfId="4030" priority="323" operator="greaterThan">
      <formula>1</formula>
    </cfRule>
    <cfRule type="cellIs" dxfId="4029" priority="324" operator="lessThan">
      <formula>0.8</formula>
    </cfRule>
  </conditionalFormatting>
  <conditionalFormatting sqref="R84:R91">
    <cfRule type="cellIs" dxfId="4028" priority="319" operator="lessThan">
      <formula>0.8</formula>
    </cfRule>
    <cfRule type="cellIs" dxfId="4027" priority="320" operator="greaterThan">
      <formula>1</formula>
    </cfRule>
  </conditionalFormatting>
  <conditionalFormatting sqref="R84:R91">
    <cfRule type="cellIs" dxfId="4026" priority="317" operator="greaterThan">
      <formula>1</formula>
    </cfRule>
    <cfRule type="cellIs" dxfId="4025" priority="318" operator="lessThan">
      <formula>0.8</formula>
    </cfRule>
  </conditionalFormatting>
  <conditionalFormatting sqref="P84:P91">
    <cfRule type="cellIs" dxfId="4024" priority="316" operator="greaterThan">
      <formula>0</formula>
    </cfRule>
  </conditionalFormatting>
  <conditionalFormatting sqref="Q84:Q91">
    <cfRule type="cellIs" dxfId="4023" priority="321" operator="lessThan">
      <formula>0</formula>
    </cfRule>
  </conditionalFormatting>
  <conditionalFormatting sqref="R84:R91">
    <cfRule type="cellIs" dxfId="4022" priority="313" operator="lessThan">
      <formula>0.8</formula>
    </cfRule>
    <cfRule type="cellIs" dxfId="4021" priority="314" operator="greaterThan">
      <formula>1</formula>
    </cfRule>
  </conditionalFormatting>
  <conditionalFormatting sqref="R84:R91">
    <cfRule type="cellIs" dxfId="4020" priority="311" operator="greaterThan">
      <formula>1</formula>
    </cfRule>
    <cfRule type="cellIs" dxfId="4019" priority="312" operator="lessThan">
      <formula>0.8</formula>
    </cfRule>
  </conditionalFormatting>
  <conditionalFormatting sqref="P84:P91">
    <cfRule type="cellIs" dxfId="4018" priority="310" operator="greaterThan">
      <formula>0</formula>
    </cfRule>
  </conditionalFormatting>
  <conditionalFormatting sqref="Q84:Q91">
    <cfRule type="cellIs" dxfId="4017" priority="315" operator="lessThan">
      <formula>0</formula>
    </cfRule>
  </conditionalFormatting>
  <conditionalFormatting sqref="Q84:Q91">
    <cfRule type="cellIs" dxfId="4016" priority="309" operator="lessThan">
      <formula>0</formula>
    </cfRule>
  </conditionalFormatting>
  <conditionalFormatting sqref="R84:R91">
    <cfRule type="cellIs" dxfId="4015" priority="307" operator="lessThan">
      <formula>0.8</formula>
    </cfRule>
    <cfRule type="cellIs" dxfId="4014" priority="308" operator="greaterThan">
      <formula>1</formula>
    </cfRule>
  </conditionalFormatting>
  <conditionalFormatting sqref="R84:R91">
    <cfRule type="cellIs" dxfId="4013" priority="305" operator="greaterThan">
      <formula>1</formula>
    </cfRule>
    <cfRule type="cellIs" dxfId="4012" priority="306" operator="lessThan">
      <formula>0.8</formula>
    </cfRule>
  </conditionalFormatting>
  <conditionalFormatting sqref="P84:P91">
    <cfRule type="cellIs" dxfId="4011" priority="304" operator="greaterThan">
      <formula>0</formula>
    </cfRule>
  </conditionalFormatting>
  <conditionalFormatting sqref="Q84:Q91">
    <cfRule type="cellIs" dxfId="4010" priority="298" operator="lessThan">
      <formula>0</formula>
    </cfRule>
  </conditionalFormatting>
  <conditionalFormatting sqref="R84:R91">
    <cfRule type="cellIs" dxfId="4009" priority="302" operator="lessThan">
      <formula>0.8</formula>
    </cfRule>
    <cfRule type="cellIs" dxfId="4008" priority="303" operator="greaterThan">
      <formula>1</formula>
    </cfRule>
  </conditionalFormatting>
  <conditionalFormatting sqref="R84:R91">
    <cfRule type="cellIs" dxfId="4007" priority="300" operator="greaterThan">
      <formula>1</formula>
    </cfRule>
    <cfRule type="cellIs" dxfId="4006" priority="301" operator="lessThan">
      <formula>0.8</formula>
    </cfRule>
  </conditionalFormatting>
  <conditionalFormatting sqref="P84:P91">
    <cfRule type="cellIs" dxfId="4005" priority="299" operator="greaterThan">
      <formula>0</formula>
    </cfRule>
  </conditionalFormatting>
  <conditionalFormatting sqref="Q84:Q91">
    <cfRule type="cellIs" dxfId="4004" priority="297" operator="lessThan">
      <formula>0</formula>
    </cfRule>
  </conditionalFormatting>
  <conditionalFormatting sqref="R84:R91">
    <cfRule type="cellIs" dxfId="4003" priority="295" operator="lessThan">
      <formula>0.8</formula>
    </cfRule>
    <cfRule type="cellIs" dxfId="4002" priority="296" operator="greaterThan">
      <formula>1</formula>
    </cfRule>
  </conditionalFormatting>
  <conditionalFormatting sqref="R84:R91">
    <cfRule type="cellIs" dxfId="4001" priority="293" operator="greaterThan">
      <formula>1</formula>
    </cfRule>
    <cfRule type="cellIs" dxfId="4000" priority="294" operator="lessThan">
      <formula>0.8</formula>
    </cfRule>
  </conditionalFormatting>
  <conditionalFormatting sqref="P84:P91">
    <cfRule type="cellIs" dxfId="3999" priority="292" operator="greaterThan">
      <formula>0</formula>
    </cfRule>
  </conditionalFormatting>
  <conditionalFormatting sqref="Q84:Q91">
    <cfRule type="cellIs" dxfId="3998" priority="291" operator="lessThan">
      <formula>0</formula>
    </cfRule>
  </conditionalFormatting>
  <conditionalFormatting sqref="R84:R91">
    <cfRule type="cellIs" dxfId="3997" priority="289" operator="lessThan">
      <formula>0.8</formula>
    </cfRule>
    <cfRule type="cellIs" dxfId="3996" priority="290" operator="greaterThan">
      <formula>1</formula>
    </cfRule>
  </conditionalFormatting>
  <conditionalFormatting sqref="R84:R91">
    <cfRule type="cellIs" dxfId="3995" priority="287" operator="greaterThan">
      <formula>1</formula>
    </cfRule>
    <cfRule type="cellIs" dxfId="3994" priority="288" operator="lessThan">
      <formula>0.8</formula>
    </cfRule>
  </conditionalFormatting>
  <conditionalFormatting sqref="P84:P91">
    <cfRule type="cellIs" dxfId="3993" priority="286" operator="greaterThan">
      <formula>0</formula>
    </cfRule>
  </conditionalFormatting>
  <conditionalFormatting sqref="Q84:Q91">
    <cfRule type="cellIs" dxfId="3992" priority="285" operator="lessThan">
      <formula>0</formula>
    </cfRule>
  </conditionalFormatting>
  <conditionalFormatting sqref="R84:R91">
    <cfRule type="cellIs" dxfId="3991" priority="283" operator="lessThan">
      <formula>0.8</formula>
    </cfRule>
    <cfRule type="cellIs" dxfId="3990" priority="284" operator="greaterThan">
      <formula>1</formula>
    </cfRule>
  </conditionalFormatting>
  <conditionalFormatting sqref="R84:R91">
    <cfRule type="cellIs" dxfId="3989" priority="281" operator="greaterThan">
      <formula>1</formula>
    </cfRule>
    <cfRule type="cellIs" dxfId="3988" priority="282" operator="lessThan">
      <formula>0.8</formula>
    </cfRule>
  </conditionalFormatting>
  <conditionalFormatting sqref="P84:P91">
    <cfRule type="cellIs" dxfId="3987" priority="280" operator="greaterThan">
      <formula>0</formula>
    </cfRule>
  </conditionalFormatting>
  <conditionalFormatting sqref="Q84:Q91">
    <cfRule type="cellIs" dxfId="3986" priority="279" operator="lessThan">
      <formula>0</formula>
    </cfRule>
  </conditionalFormatting>
  <conditionalFormatting sqref="R84:R91">
    <cfRule type="cellIs" dxfId="3985" priority="277" operator="lessThan">
      <formula>0.8</formula>
    </cfRule>
    <cfRule type="cellIs" dxfId="3984" priority="278" operator="greaterThan">
      <formula>1</formula>
    </cfRule>
  </conditionalFormatting>
  <conditionalFormatting sqref="R84:R91">
    <cfRule type="cellIs" dxfId="3983" priority="275" operator="greaterThan">
      <formula>1</formula>
    </cfRule>
    <cfRule type="cellIs" dxfId="3982" priority="276" operator="lessThan">
      <formula>0.8</formula>
    </cfRule>
  </conditionalFormatting>
  <conditionalFormatting sqref="P84:P91">
    <cfRule type="cellIs" dxfId="3981" priority="274" operator="greaterThan">
      <formula>0</formula>
    </cfRule>
  </conditionalFormatting>
  <conditionalFormatting sqref="Q84:Q91">
    <cfRule type="cellIs" dxfId="3980" priority="273" operator="lessThan">
      <formula>0</formula>
    </cfRule>
  </conditionalFormatting>
  <conditionalFormatting sqref="R84:R91">
    <cfRule type="cellIs" dxfId="3979" priority="271" operator="lessThan">
      <formula>0.8</formula>
    </cfRule>
    <cfRule type="cellIs" dxfId="3978" priority="272" operator="greaterThan">
      <formula>1</formula>
    </cfRule>
  </conditionalFormatting>
  <conditionalFormatting sqref="R84:R91">
    <cfRule type="cellIs" dxfId="3977" priority="269" operator="greaterThan">
      <formula>1</formula>
    </cfRule>
    <cfRule type="cellIs" dxfId="3976" priority="270" operator="lessThan">
      <formula>0.8</formula>
    </cfRule>
  </conditionalFormatting>
  <conditionalFormatting sqref="P84:P91">
    <cfRule type="cellIs" dxfId="3975" priority="268" operator="greaterThan">
      <formula>0</formula>
    </cfRule>
  </conditionalFormatting>
  <conditionalFormatting sqref="P84:P91">
    <cfRule type="cellIs" dxfId="3974" priority="262" operator="greaterThan">
      <formula>0</formula>
    </cfRule>
  </conditionalFormatting>
  <conditionalFormatting sqref="Q84:Q91">
    <cfRule type="cellIs" dxfId="3973" priority="267" operator="lessThan">
      <formula>0</formula>
    </cfRule>
  </conditionalFormatting>
  <conditionalFormatting sqref="R84:R91">
    <cfRule type="cellIs" dxfId="3972" priority="265" operator="lessThan">
      <formula>0.8</formula>
    </cfRule>
    <cfRule type="cellIs" dxfId="3971" priority="266" operator="greaterThan">
      <formula>1</formula>
    </cfRule>
  </conditionalFormatting>
  <conditionalFormatting sqref="R84:R91">
    <cfRule type="cellIs" dxfId="3970" priority="263" operator="greaterThan">
      <formula>1</formula>
    </cfRule>
    <cfRule type="cellIs" dxfId="3969" priority="264" operator="lessThan">
      <formula>0.8</formula>
    </cfRule>
  </conditionalFormatting>
  <conditionalFormatting sqref="P84:P91">
    <cfRule type="cellIs" dxfId="3968" priority="256" operator="greaterThan">
      <formula>0</formula>
    </cfRule>
  </conditionalFormatting>
  <conditionalFormatting sqref="Q84:Q91">
    <cfRule type="cellIs" dxfId="3967" priority="261" operator="lessThan">
      <formula>0</formula>
    </cfRule>
  </conditionalFormatting>
  <conditionalFormatting sqref="R84:R91">
    <cfRule type="cellIs" dxfId="3966" priority="259" operator="lessThan">
      <formula>0.8</formula>
    </cfRule>
    <cfRule type="cellIs" dxfId="3965" priority="260" operator="greaterThan">
      <formula>1</formula>
    </cfRule>
  </conditionalFormatting>
  <conditionalFormatting sqref="R84:R91">
    <cfRule type="cellIs" dxfId="3964" priority="257" operator="greaterThan">
      <formula>1</formula>
    </cfRule>
    <cfRule type="cellIs" dxfId="3963" priority="258" operator="lessThan">
      <formula>0.8</formula>
    </cfRule>
  </conditionalFormatting>
  <conditionalFormatting sqref="R84:R91">
    <cfRule type="cellIs" dxfId="3962" priority="253" operator="lessThan">
      <formula>0.8</formula>
    </cfRule>
    <cfRule type="cellIs" dxfId="3961" priority="254" operator="greaterThan">
      <formula>1</formula>
    </cfRule>
  </conditionalFormatting>
  <conditionalFormatting sqref="R84:R91">
    <cfRule type="cellIs" dxfId="3960" priority="251" operator="greaterThan">
      <formula>1</formula>
    </cfRule>
    <cfRule type="cellIs" dxfId="3959" priority="252" operator="lessThan">
      <formula>0.8</formula>
    </cfRule>
  </conditionalFormatting>
  <conditionalFormatting sqref="P84:P91">
    <cfRule type="cellIs" dxfId="3958" priority="250" operator="greaterThan">
      <formula>0</formula>
    </cfRule>
  </conditionalFormatting>
  <conditionalFormatting sqref="Q84:Q91">
    <cfRule type="cellIs" dxfId="3957" priority="255" operator="lessThan">
      <formula>0</formula>
    </cfRule>
  </conditionalFormatting>
  <conditionalFormatting sqref="Q84:Q91">
    <cfRule type="cellIs" dxfId="3956" priority="249" operator="lessThan">
      <formula>0</formula>
    </cfRule>
  </conditionalFormatting>
  <conditionalFormatting sqref="R84:R91">
    <cfRule type="cellIs" dxfId="3955" priority="247" operator="lessThan">
      <formula>0.8</formula>
    </cfRule>
    <cfRule type="cellIs" dxfId="3954" priority="248" operator="greaterThan">
      <formula>1</formula>
    </cfRule>
  </conditionalFormatting>
  <conditionalFormatting sqref="R84:R91">
    <cfRule type="cellIs" dxfId="3953" priority="245" operator="greaterThan">
      <formula>1</formula>
    </cfRule>
    <cfRule type="cellIs" dxfId="3952" priority="246" operator="lessThan">
      <formula>0.8</formula>
    </cfRule>
  </conditionalFormatting>
  <conditionalFormatting sqref="P84:P91">
    <cfRule type="cellIs" dxfId="3951" priority="244" operator="greaterThan">
      <formula>0</formula>
    </cfRule>
  </conditionalFormatting>
  <conditionalFormatting sqref="Q84:Q91">
    <cfRule type="cellIs" dxfId="3950" priority="243" operator="lessThan">
      <formula>0</formula>
    </cfRule>
  </conditionalFormatting>
  <conditionalFormatting sqref="R84:R91">
    <cfRule type="cellIs" dxfId="3949" priority="241" operator="lessThan">
      <formula>0.8</formula>
    </cfRule>
    <cfRule type="cellIs" dxfId="3948" priority="242" operator="greaterThan">
      <formula>1</formula>
    </cfRule>
  </conditionalFormatting>
  <conditionalFormatting sqref="R84:R91">
    <cfRule type="cellIs" dxfId="3947" priority="239" operator="greaterThan">
      <formula>1</formula>
    </cfRule>
    <cfRule type="cellIs" dxfId="3946" priority="240" operator="lessThan">
      <formula>0.8</formula>
    </cfRule>
  </conditionalFormatting>
  <conditionalFormatting sqref="P84:P91">
    <cfRule type="cellIs" dxfId="3945" priority="238" operator="greaterThan">
      <formula>0</formula>
    </cfRule>
  </conditionalFormatting>
  <conditionalFormatting sqref="Q84:Q91">
    <cfRule type="cellIs" dxfId="3944" priority="237" operator="lessThan">
      <formula>0</formula>
    </cfRule>
  </conditionalFormatting>
  <conditionalFormatting sqref="R84:R91">
    <cfRule type="cellIs" dxfId="3943" priority="235" operator="lessThan">
      <formula>0.8</formula>
    </cfRule>
    <cfRule type="cellIs" dxfId="3942" priority="236" operator="greaterThan">
      <formula>1</formula>
    </cfRule>
  </conditionalFormatting>
  <conditionalFormatting sqref="R84:R91">
    <cfRule type="cellIs" dxfId="3941" priority="233" operator="greaterThan">
      <formula>1</formula>
    </cfRule>
    <cfRule type="cellIs" dxfId="3940" priority="234" operator="lessThan">
      <formula>0.8</formula>
    </cfRule>
  </conditionalFormatting>
  <conditionalFormatting sqref="P84:P91">
    <cfRule type="cellIs" dxfId="3939" priority="232" operator="greaterThan">
      <formula>0</formula>
    </cfRule>
  </conditionalFormatting>
  <conditionalFormatting sqref="Q84:Q91">
    <cfRule type="cellIs" dxfId="3938" priority="231" operator="lessThan">
      <formula>0</formula>
    </cfRule>
  </conditionalFormatting>
  <conditionalFormatting sqref="R84:R91">
    <cfRule type="cellIs" dxfId="3937" priority="229" operator="lessThan">
      <formula>0.8</formula>
    </cfRule>
    <cfRule type="cellIs" dxfId="3936" priority="230" operator="greaterThan">
      <formula>1</formula>
    </cfRule>
  </conditionalFormatting>
  <conditionalFormatting sqref="R84:R91">
    <cfRule type="cellIs" dxfId="3935" priority="227" operator="greaterThan">
      <formula>1</formula>
    </cfRule>
    <cfRule type="cellIs" dxfId="3934" priority="228" operator="lessThan">
      <formula>0.8</formula>
    </cfRule>
  </conditionalFormatting>
  <conditionalFormatting sqref="P84:P91">
    <cfRule type="cellIs" dxfId="3933" priority="226" operator="greaterThan">
      <formula>0</formula>
    </cfRule>
  </conditionalFormatting>
  <conditionalFormatting sqref="P84:P91">
    <cfRule type="cellIs" dxfId="3932" priority="220" operator="greaterThan">
      <formula>0</formula>
    </cfRule>
  </conditionalFormatting>
  <conditionalFormatting sqref="Q84:Q91">
    <cfRule type="cellIs" dxfId="3931" priority="225" operator="lessThan">
      <formula>0</formula>
    </cfRule>
  </conditionalFormatting>
  <conditionalFormatting sqref="R84:R91">
    <cfRule type="cellIs" dxfId="3930" priority="223" operator="lessThan">
      <formula>0.8</formula>
    </cfRule>
    <cfRule type="cellIs" dxfId="3929" priority="224" operator="greaterThan">
      <formula>1</formula>
    </cfRule>
  </conditionalFormatting>
  <conditionalFormatting sqref="R84:R91">
    <cfRule type="cellIs" dxfId="3928" priority="221" operator="greaterThan">
      <formula>1</formula>
    </cfRule>
    <cfRule type="cellIs" dxfId="3927" priority="222" operator="lessThan">
      <formula>0.8</formula>
    </cfRule>
  </conditionalFormatting>
  <conditionalFormatting sqref="P84:P91">
    <cfRule type="cellIs" dxfId="3926" priority="214" operator="greaterThan">
      <formula>0</formula>
    </cfRule>
  </conditionalFormatting>
  <conditionalFormatting sqref="Q84:Q91">
    <cfRule type="cellIs" dxfId="3925" priority="219" operator="lessThan">
      <formula>0</formula>
    </cfRule>
  </conditionalFormatting>
  <conditionalFormatting sqref="R84:R91">
    <cfRule type="cellIs" dxfId="3924" priority="217" operator="lessThan">
      <formula>0.8</formula>
    </cfRule>
    <cfRule type="cellIs" dxfId="3923" priority="218" operator="greaterThan">
      <formula>1</formula>
    </cfRule>
  </conditionalFormatting>
  <conditionalFormatting sqref="R84:R91">
    <cfRule type="cellIs" dxfId="3922" priority="215" operator="greaterThan">
      <formula>1</formula>
    </cfRule>
    <cfRule type="cellIs" dxfId="3921" priority="216" operator="lessThan">
      <formula>0.8</formula>
    </cfRule>
  </conditionalFormatting>
  <conditionalFormatting sqref="R84:R91">
    <cfRule type="cellIs" dxfId="3920" priority="211" operator="lessThan">
      <formula>0.8</formula>
    </cfRule>
    <cfRule type="cellIs" dxfId="3919" priority="212" operator="greaterThan">
      <formula>1</formula>
    </cfRule>
  </conditionalFormatting>
  <conditionalFormatting sqref="R84:R91">
    <cfRule type="cellIs" dxfId="3918" priority="209" operator="greaterThan">
      <formula>1</formula>
    </cfRule>
    <cfRule type="cellIs" dxfId="3917" priority="210" operator="lessThan">
      <formula>0.8</formula>
    </cfRule>
  </conditionalFormatting>
  <conditionalFormatting sqref="P84:P91">
    <cfRule type="cellIs" dxfId="3916" priority="208" operator="greaterThan">
      <formula>0</formula>
    </cfRule>
  </conditionalFormatting>
  <conditionalFormatting sqref="Q84:Q91">
    <cfRule type="cellIs" dxfId="3915" priority="213" operator="lessThan">
      <formula>0</formula>
    </cfRule>
  </conditionalFormatting>
  <conditionalFormatting sqref="Q84:Q91">
    <cfRule type="cellIs" dxfId="3914" priority="207" operator="lessThan">
      <formula>0</formula>
    </cfRule>
  </conditionalFormatting>
  <conditionalFormatting sqref="R84:R91">
    <cfRule type="cellIs" dxfId="3913" priority="205" operator="lessThan">
      <formula>0.8</formula>
    </cfRule>
    <cfRule type="cellIs" dxfId="3912" priority="206" operator="greaterThan">
      <formula>1</formula>
    </cfRule>
  </conditionalFormatting>
  <conditionalFormatting sqref="R84:R91">
    <cfRule type="cellIs" dxfId="3911" priority="203" operator="greaterThan">
      <formula>1</formula>
    </cfRule>
    <cfRule type="cellIs" dxfId="3910" priority="204" operator="lessThan">
      <formula>0.8</formula>
    </cfRule>
  </conditionalFormatting>
  <conditionalFormatting sqref="P84:P91">
    <cfRule type="cellIs" dxfId="3909" priority="202" operator="greaterThan">
      <formula>0</formula>
    </cfRule>
  </conditionalFormatting>
  <conditionalFormatting sqref="P84:P91">
    <cfRule type="cellIs" dxfId="3908" priority="196" operator="greaterThan">
      <formula>0</formula>
    </cfRule>
  </conditionalFormatting>
  <conditionalFormatting sqref="Q84:Q91">
    <cfRule type="cellIs" dxfId="3907" priority="201" operator="lessThan">
      <formula>0</formula>
    </cfRule>
  </conditionalFormatting>
  <conditionalFormatting sqref="R84:R91">
    <cfRule type="cellIs" dxfId="3906" priority="199" operator="lessThan">
      <formula>0.8</formula>
    </cfRule>
    <cfRule type="cellIs" dxfId="3905" priority="200" operator="greaterThan">
      <formula>1</formula>
    </cfRule>
  </conditionalFormatting>
  <conditionalFormatting sqref="R84:R91">
    <cfRule type="cellIs" dxfId="3904" priority="197" operator="greaterThan">
      <formula>1</formula>
    </cfRule>
    <cfRule type="cellIs" dxfId="3903" priority="198" operator="lessThan">
      <formula>0.8</formula>
    </cfRule>
  </conditionalFormatting>
  <conditionalFormatting sqref="P84:P91">
    <cfRule type="cellIs" dxfId="3902" priority="190" operator="greaterThan">
      <formula>0</formula>
    </cfRule>
  </conditionalFormatting>
  <conditionalFormatting sqref="Q84:Q91">
    <cfRule type="cellIs" dxfId="3901" priority="195" operator="lessThan">
      <formula>0</formula>
    </cfRule>
  </conditionalFormatting>
  <conditionalFormatting sqref="R84:R91">
    <cfRule type="cellIs" dxfId="3900" priority="193" operator="lessThan">
      <formula>0.8</formula>
    </cfRule>
    <cfRule type="cellIs" dxfId="3899" priority="194" operator="greaterThan">
      <formula>1</formula>
    </cfRule>
  </conditionalFormatting>
  <conditionalFormatting sqref="R84:R91">
    <cfRule type="cellIs" dxfId="3898" priority="191" operator="greaterThan">
      <formula>1</formula>
    </cfRule>
    <cfRule type="cellIs" dxfId="3897" priority="192" operator="lessThan">
      <formula>0.8</formula>
    </cfRule>
  </conditionalFormatting>
  <conditionalFormatting sqref="R84:R91">
    <cfRule type="cellIs" dxfId="3896" priority="187" operator="lessThan">
      <formula>0.8</formula>
    </cfRule>
    <cfRule type="cellIs" dxfId="3895" priority="188" operator="greaterThan">
      <formula>1</formula>
    </cfRule>
  </conditionalFormatting>
  <conditionalFormatting sqref="R84:R91">
    <cfRule type="cellIs" dxfId="3894" priority="185" operator="greaterThan">
      <formula>1</formula>
    </cfRule>
    <cfRule type="cellIs" dxfId="3893" priority="186" operator="lessThan">
      <formula>0.8</formula>
    </cfRule>
  </conditionalFormatting>
  <conditionalFormatting sqref="P84:P91">
    <cfRule type="cellIs" dxfId="3892" priority="184" operator="greaterThan">
      <formula>0</formula>
    </cfRule>
  </conditionalFormatting>
  <conditionalFormatting sqref="Q84:Q91">
    <cfRule type="cellIs" dxfId="3891" priority="189" operator="lessThan">
      <formula>0</formula>
    </cfRule>
  </conditionalFormatting>
  <conditionalFormatting sqref="P84:P91">
    <cfRule type="cellIs" dxfId="3890" priority="178" operator="greaterThan">
      <formula>0</formula>
    </cfRule>
  </conditionalFormatting>
  <conditionalFormatting sqref="Q84:Q91">
    <cfRule type="cellIs" dxfId="3889" priority="183" operator="lessThan">
      <formula>0</formula>
    </cfRule>
  </conditionalFormatting>
  <conditionalFormatting sqref="R84:R91">
    <cfRule type="cellIs" dxfId="3888" priority="181" operator="lessThan">
      <formula>0.8</formula>
    </cfRule>
    <cfRule type="cellIs" dxfId="3887" priority="182" operator="greaterThan">
      <formula>1</formula>
    </cfRule>
  </conditionalFormatting>
  <conditionalFormatting sqref="R84:R91">
    <cfRule type="cellIs" dxfId="3886" priority="179" operator="greaterThan">
      <formula>1</formula>
    </cfRule>
    <cfRule type="cellIs" dxfId="3885" priority="180" operator="lessThan">
      <formula>0.8</formula>
    </cfRule>
  </conditionalFormatting>
  <conditionalFormatting sqref="R84:R91">
    <cfRule type="cellIs" dxfId="3884" priority="175" operator="lessThan">
      <formula>0.8</formula>
    </cfRule>
    <cfRule type="cellIs" dxfId="3883" priority="176" operator="greaterThan">
      <formula>1</formula>
    </cfRule>
  </conditionalFormatting>
  <conditionalFormatting sqref="R84:R91">
    <cfRule type="cellIs" dxfId="3882" priority="173" operator="greaterThan">
      <formula>1</formula>
    </cfRule>
    <cfRule type="cellIs" dxfId="3881" priority="174" operator="lessThan">
      <formula>0.8</formula>
    </cfRule>
  </conditionalFormatting>
  <conditionalFormatting sqref="P84:P91">
    <cfRule type="cellIs" dxfId="3880" priority="172" operator="greaterThan">
      <formula>0</formula>
    </cfRule>
  </conditionalFormatting>
  <conditionalFormatting sqref="Q84:Q91">
    <cfRule type="cellIs" dxfId="3879" priority="177" operator="lessThan">
      <formula>0</formula>
    </cfRule>
  </conditionalFormatting>
  <conditionalFormatting sqref="R84:R91">
    <cfRule type="cellIs" dxfId="3878" priority="169" operator="lessThan">
      <formula>0.8</formula>
    </cfRule>
    <cfRule type="cellIs" dxfId="3877" priority="170" operator="greaterThan">
      <formula>1</formula>
    </cfRule>
  </conditionalFormatting>
  <conditionalFormatting sqref="R84:R91">
    <cfRule type="cellIs" dxfId="3876" priority="167" operator="greaterThan">
      <formula>1</formula>
    </cfRule>
    <cfRule type="cellIs" dxfId="3875" priority="168" operator="lessThan">
      <formula>0.8</formula>
    </cfRule>
  </conditionalFormatting>
  <conditionalFormatting sqref="P84:P91">
    <cfRule type="cellIs" dxfId="3874" priority="166" operator="greaterThan">
      <formula>0</formula>
    </cfRule>
  </conditionalFormatting>
  <conditionalFormatting sqref="Q84:Q91">
    <cfRule type="cellIs" dxfId="3873" priority="171" operator="lessThan">
      <formula>0</formula>
    </cfRule>
  </conditionalFormatting>
  <conditionalFormatting sqref="Q84:Q91">
    <cfRule type="cellIs" dxfId="3872" priority="165" operator="lessThan">
      <formula>0</formula>
    </cfRule>
  </conditionalFormatting>
  <conditionalFormatting sqref="R84:R91">
    <cfRule type="cellIs" dxfId="3871" priority="163" operator="lessThan">
      <formula>0.8</formula>
    </cfRule>
    <cfRule type="cellIs" dxfId="3870" priority="164" operator="greaterThan">
      <formula>1</formula>
    </cfRule>
  </conditionalFormatting>
  <conditionalFormatting sqref="R84:R91">
    <cfRule type="cellIs" dxfId="3869" priority="161" operator="greaterThan">
      <formula>1</formula>
    </cfRule>
    <cfRule type="cellIs" dxfId="3868" priority="162" operator="lessThan">
      <formula>0.8</formula>
    </cfRule>
  </conditionalFormatting>
  <conditionalFormatting sqref="P84:P91">
    <cfRule type="cellIs" dxfId="3867" priority="160" operator="greaterThan">
      <formula>0</formula>
    </cfRule>
  </conditionalFormatting>
  <conditionalFormatting sqref="Q84:Q91">
    <cfRule type="cellIs" dxfId="3866" priority="154" operator="lessThan">
      <formula>0</formula>
    </cfRule>
  </conditionalFormatting>
  <conditionalFormatting sqref="R84:R91">
    <cfRule type="cellIs" dxfId="3865" priority="158" operator="lessThan">
      <formula>0.8</formula>
    </cfRule>
    <cfRule type="cellIs" dxfId="3864" priority="159" operator="greaterThan">
      <formula>1</formula>
    </cfRule>
  </conditionalFormatting>
  <conditionalFormatting sqref="R84:R91">
    <cfRule type="cellIs" dxfId="3863" priority="156" operator="greaterThan">
      <formula>1</formula>
    </cfRule>
    <cfRule type="cellIs" dxfId="3862" priority="157" operator="lessThan">
      <formula>0.8</formula>
    </cfRule>
  </conditionalFormatting>
  <conditionalFormatting sqref="P84:P91">
    <cfRule type="cellIs" dxfId="3861" priority="155" operator="greaterThan">
      <formula>0</formula>
    </cfRule>
  </conditionalFormatting>
  <conditionalFormatting sqref="Q84:Q91">
    <cfRule type="cellIs" dxfId="3860" priority="153" operator="lessThan">
      <formula>0</formula>
    </cfRule>
  </conditionalFormatting>
  <conditionalFormatting sqref="R84:R91">
    <cfRule type="cellIs" dxfId="3859" priority="151" operator="lessThan">
      <formula>0.8</formula>
    </cfRule>
    <cfRule type="cellIs" dxfId="3858" priority="152" operator="greaterThan">
      <formula>1</formula>
    </cfRule>
  </conditionalFormatting>
  <conditionalFormatting sqref="R84:R91">
    <cfRule type="cellIs" dxfId="3857" priority="149" operator="greaterThan">
      <formula>1</formula>
    </cfRule>
    <cfRule type="cellIs" dxfId="3856" priority="150" operator="lessThan">
      <formula>0.8</formula>
    </cfRule>
  </conditionalFormatting>
  <conditionalFormatting sqref="P84:P91">
    <cfRule type="cellIs" dxfId="3855" priority="148" operator="greaterThan">
      <formula>0</formula>
    </cfRule>
  </conditionalFormatting>
  <conditionalFormatting sqref="Q84:Q91">
    <cfRule type="cellIs" dxfId="3854" priority="147" operator="lessThan">
      <formula>0</formula>
    </cfRule>
  </conditionalFormatting>
  <conditionalFormatting sqref="R84:R91">
    <cfRule type="cellIs" dxfId="3853" priority="145" operator="lessThan">
      <formula>0.8</formula>
    </cfRule>
    <cfRule type="cellIs" dxfId="3852" priority="146" operator="greaterThan">
      <formula>1</formula>
    </cfRule>
  </conditionalFormatting>
  <conditionalFormatting sqref="R84:R91">
    <cfRule type="cellIs" dxfId="3851" priority="143" operator="greaterThan">
      <formula>1</formula>
    </cfRule>
    <cfRule type="cellIs" dxfId="3850" priority="144" operator="lessThan">
      <formula>0.8</formula>
    </cfRule>
  </conditionalFormatting>
  <conditionalFormatting sqref="P84:P91">
    <cfRule type="cellIs" dxfId="3849" priority="142" operator="greaterThan">
      <formula>0</formula>
    </cfRule>
  </conditionalFormatting>
  <conditionalFormatting sqref="Q84:Q91">
    <cfRule type="cellIs" dxfId="3848" priority="141" operator="lessThan">
      <formula>0</formula>
    </cfRule>
  </conditionalFormatting>
  <conditionalFormatting sqref="R84:R91">
    <cfRule type="cellIs" dxfId="3847" priority="139" operator="lessThan">
      <formula>0.8</formula>
    </cfRule>
    <cfRule type="cellIs" dxfId="3846" priority="140" operator="greaterThan">
      <formula>1</formula>
    </cfRule>
  </conditionalFormatting>
  <conditionalFormatting sqref="R84:R91">
    <cfRule type="cellIs" dxfId="3845" priority="137" operator="greaterThan">
      <formula>1</formula>
    </cfRule>
    <cfRule type="cellIs" dxfId="3844" priority="138" operator="lessThan">
      <formula>0.8</formula>
    </cfRule>
  </conditionalFormatting>
  <conditionalFormatting sqref="P84:P91">
    <cfRule type="cellIs" dxfId="3843" priority="136" operator="greaterThan">
      <formula>0</formula>
    </cfRule>
  </conditionalFormatting>
  <conditionalFormatting sqref="Q84:Q91">
    <cfRule type="cellIs" dxfId="3842" priority="135" operator="lessThan">
      <formula>0</formula>
    </cfRule>
  </conditionalFormatting>
  <conditionalFormatting sqref="R84:R91">
    <cfRule type="cellIs" dxfId="3841" priority="133" operator="lessThan">
      <formula>0.8</formula>
    </cfRule>
    <cfRule type="cellIs" dxfId="3840" priority="134" operator="greaterThan">
      <formula>1</formula>
    </cfRule>
  </conditionalFormatting>
  <conditionalFormatting sqref="R84:R91">
    <cfRule type="cellIs" dxfId="3839" priority="131" operator="greaterThan">
      <formula>1</formula>
    </cfRule>
    <cfRule type="cellIs" dxfId="3838" priority="132" operator="lessThan">
      <formula>0.8</formula>
    </cfRule>
  </conditionalFormatting>
  <conditionalFormatting sqref="P84:P91">
    <cfRule type="cellIs" dxfId="3837" priority="130" operator="greaterThan">
      <formula>0</formula>
    </cfRule>
  </conditionalFormatting>
  <conditionalFormatting sqref="Q84:Q91">
    <cfRule type="cellIs" dxfId="3836" priority="129" operator="lessThan">
      <formula>0</formula>
    </cfRule>
  </conditionalFormatting>
  <conditionalFormatting sqref="R84:R91">
    <cfRule type="cellIs" dxfId="3835" priority="127" operator="lessThan">
      <formula>0.8</formula>
    </cfRule>
    <cfRule type="cellIs" dxfId="3834" priority="128" operator="greaterThan">
      <formula>1</formula>
    </cfRule>
  </conditionalFormatting>
  <conditionalFormatting sqref="R84:R91">
    <cfRule type="cellIs" dxfId="3833" priority="125" operator="greaterThan">
      <formula>1</formula>
    </cfRule>
    <cfRule type="cellIs" dxfId="3832" priority="126" operator="lessThan">
      <formula>0.8</formula>
    </cfRule>
  </conditionalFormatting>
  <conditionalFormatting sqref="P84:P91">
    <cfRule type="cellIs" dxfId="3831" priority="124" operator="greaterThan">
      <formula>0</formula>
    </cfRule>
  </conditionalFormatting>
  <conditionalFormatting sqref="P84:P91">
    <cfRule type="cellIs" dxfId="3830" priority="118" operator="greaterThan">
      <formula>0</formula>
    </cfRule>
  </conditionalFormatting>
  <conditionalFormatting sqref="Q84:Q91">
    <cfRule type="cellIs" dxfId="3829" priority="123" operator="lessThan">
      <formula>0</formula>
    </cfRule>
  </conditionalFormatting>
  <conditionalFormatting sqref="R84:R91">
    <cfRule type="cellIs" dxfId="3828" priority="121" operator="lessThan">
      <formula>0.8</formula>
    </cfRule>
    <cfRule type="cellIs" dxfId="3827" priority="122" operator="greaterThan">
      <formula>1</formula>
    </cfRule>
  </conditionalFormatting>
  <conditionalFormatting sqref="R84:R91">
    <cfRule type="cellIs" dxfId="3826" priority="119" operator="greaterThan">
      <formula>1</formula>
    </cfRule>
    <cfRule type="cellIs" dxfId="3825" priority="120" operator="lessThan">
      <formula>0.8</formula>
    </cfRule>
  </conditionalFormatting>
  <conditionalFormatting sqref="P84:P91">
    <cfRule type="cellIs" dxfId="3824" priority="112" operator="greaterThan">
      <formula>0</formula>
    </cfRule>
  </conditionalFormatting>
  <conditionalFormatting sqref="Q84:Q91">
    <cfRule type="cellIs" dxfId="3823" priority="117" operator="lessThan">
      <formula>0</formula>
    </cfRule>
  </conditionalFormatting>
  <conditionalFormatting sqref="R84:R91">
    <cfRule type="cellIs" dxfId="3822" priority="115" operator="lessThan">
      <formula>0.8</formula>
    </cfRule>
    <cfRule type="cellIs" dxfId="3821" priority="116" operator="greaterThan">
      <formula>1</formula>
    </cfRule>
  </conditionalFormatting>
  <conditionalFormatting sqref="R84:R91">
    <cfRule type="cellIs" dxfId="3820" priority="113" operator="greaterThan">
      <formula>1</formula>
    </cfRule>
    <cfRule type="cellIs" dxfId="3819" priority="114" operator="lessThan">
      <formula>0.8</formula>
    </cfRule>
  </conditionalFormatting>
  <conditionalFormatting sqref="R84:R91">
    <cfRule type="cellIs" dxfId="3818" priority="109" operator="lessThan">
      <formula>0.8</formula>
    </cfRule>
    <cfRule type="cellIs" dxfId="3817" priority="110" operator="greaterThan">
      <formula>1</formula>
    </cfRule>
  </conditionalFormatting>
  <conditionalFormatting sqref="R84:R91">
    <cfRule type="cellIs" dxfId="3816" priority="107" operator="greaterThan">
      <formula>1</formula>
    </cfRule>
    <cfRule type="cellIs" dxfId="3815" priority="108" operator="lessThan">
      <formula>0.8</formula>
    </cfRule>
  </conditionalFormatting>
  <conditionalFormatting sqref="P84:P91">
    <cfRule type="cellIs" dxfId="3814" priority="106" operator="greaterThan">
      <formula>0</formula>
    </cfRule>
  </conditionalFormatting>
  <conditionalFormatting sqref="Q84:Q91">
    <cfRule type="cellIs" dxfId="3813" priority="111" operator="lessThan">
      <formula>0</formula>
    </cfRule>
  </conditionalFormatting>
  <conditionalFormatting sqref="Q84:Q91">
    <cfRule type="cellIs" dxfId="3812" priority="100" operator="lessThan">
      <formula>0</formula>
    </cfRule>
  </conditionalFormatting>
  <conditionalFormatting sqref="P84:P91">
    <cfRule type="cellIs" dxfId="3811" priority="101" operator="greaterThan">
      <formula>0</formula>
    </cfRule>
  </conditionalFormatting>
  <conditionalFormatting sqref="R84:R91">
    <cfRule type="cellIs" dxfId="3810" priority="104" operator="lessThan">
      <formula>0.8</formula>
    </cfRule>
    <cfRule type="cellIs" dxfId="3809" priority="105" operator="greaterThan">
      <formula>1</formula>
    </cfRule>
  </conditionalFormatting>
  <conditionalFormatting sqref="R84:R91">
    <cfRule type="cellIs" dxfId="3808" priority="102" operator="greaterThan">
      <formula>1</formula>
    </cfRule>
    <cfRule type="cellIs" dxfId="3807" priority="103" operator="lessThan">
      <formula>0.8</formula>
    </cfRule>
  </conditionalFormatting>
  <conditionalFormatting sqref="Q84:Q91">
    <cfRule type="cellIs" dxfId="3806" priority="94" operator="lessThan">
      <formula>0</formula>
    </cfRule>
  </conditionalFormatting>
  <conditionalFormatting sqref="R84:R91">
    <cfRule type="cellIs" dxfId="3805" priority="98" operator="lessThan">
      <formula>0.8</formula>
    </cfRule>
    <cfRule type="cellIs" dxfId="3804" priority="99" operator="greaterThan">
      <formula>1</formula>
    </cfRule>
  </conditionalFormatting>
  <conditionalFormatting sqref="R84:R91">
    <cfRule type="cellIs" dxfId="3803" priority="96" operator="greaterThan">
      <formula>1</formula>
    </cfRule>
    <cfRule type="cellIs" dxfId="3802" priority="97" operator="lessThan">
      <formula>0.8</formula>
    </cfRule>
  </conditionalFormatting>
  <conditionalFormatting sqref="P84:P91">
    <cfRule type="cellIs" dxfId="3801" priority="95" operator="greaterThan">
      <formula>0</formula>
    </cfRule>
  </conditionalFormatting>
  <conditionalFormatting sqref="Q84:Q91">
    <cfRule type="cellIs" dxfId="3800" priority="93" operator="lessThan">
      <formula>0</formula>
    </cfRule>
  </conditionalFormatting>
  <conditionalFormatting sqref="R84:R91">
    <cfRule type="cellIs" dxfId="3799" priority="91" operator="lessThan">
      <formula>0.8</formula>
    </cfRule>
    <cfRule type="cellIs" dxfId="3798" priority="92" operator="greaterThan">
      <formula>1</formula>
    </cfRule>
  </conditionalFormatting>
  <conditionalFormatting sqref="R84:R91">
    <cfRule type="cellIs" dxfId="3797" priority="89" operator="greaterThan">
      <formula>1</formula>
    </cfRule>
    <cfRule type="cellIs" dxfId="3796" priority="90" operator="lessThan">
      <formula>0.8</formula>
    </cfRule>
  </conditionalFormatting>
  <conditionalFormatting sqref="P84:P91">
    <cfRule type="cellIs" dxfId="3795" priority="88" operator="greaterThan">
      <formula>0</formula>
    </cfRule>
  </conditionalFormatting>
  <conditionalFormatting sqref="Q84:Q91">
    <cfRule type="cellIs" dxfId="3794" priority="87" operator="lessThan">
      <formula>0</formula>
    </cfRule>
  </conditionalFormatting>
  <conditionalFormatting sqref="R84:R91">
    <cfRule type="cellIs" dxfId="3793" priority="85" operator="lessThan">
      <formula>0.8</formula>
    </cfRule>
    <cfRule type="cellIs" dxfId="3792" priority="86" operator="greaterThan">
      <formula>1</formula>
    </cfRule>
  </conditionalFormatting>
  <conditionalFormatting sqref="R84:R91">
    <cfRule type="cellIs" dxfId="3791" priority="83" operator="greaterThan">
      <formula>1</formula>
    </cfRule>
    <cfRule type="cellIs" dxfId="3790" priority="84" operator="lessThan">
      <formula>0.8</formula>
    </cfRule>
  </conditionalFormatting>
  <conditionalFormatting sqref="P84:P91">
    <cfRule type="cellIs" dxfId="3789" priority="82" operator="greaterThan">
      <formula>0</formula>
    </cfRule>
  </conditionalFormatting>
  <conditionalFormatting sqref="Q84:Q91">
    <cfRule type="cellIs" dxfId="3788" priority="81" operator="lessThan">
      <formula>0</formula>
    </cfRule>
  </conditionalFormatting>
  <conditionalFormatting sqref="R84:R91">
    <cfRule type="cellIs" dxfId="3787" priority="79" operator="lessThan">
      <formula>0.8</formula>
    </cfRule>
    <cfRule type="cellIs" dxfId="3786" priority="80" operator="greaterThan">
      <formula>1</formula>
    </cfRule>
  </conditionalFormatting>
  <conditionalFormatting sqref="R84:R91">
    <cfRule type="cellIs" dxfId="3785" priority="77" operator="greaterThan">
      <formula>1</formula>
    </cfRule>
    <cfRule type="cellIs" dxfId="3784" priority="78" operator="lessThan">
      <formula>0.8</formula>
    </cfRule>
  </conditionalFormatting>
  <conditionalFormatting sqref="P84:P91">
    <cfRule type="cellIs" dxfId="3783" priority="76" operator="greaterThan">
      <formula>0</formula>
    </cfRule>
  </conditionalFormatting>
  <conditionalFormatting sqref="Q162:Q166">
    <cfRule type="cellIs" dxfId="3782" priority="75" operator="lessThan">
      <formula>0</formula>
    </cfRule>
  </conditionalFormatting>
  <conditionalFormatting sqref="R162:R166">
    <cfRule type="cellIs" dxfId="3781" priority="73" operator="lessThan">
      <formula>0.8</formula>
    </cfRule>
    <cfRule type="cellIs" dxfId="3780" priority="74" operator="greaterThan">
      <formula>1</formula>
    </cfRule>
  </conditionalFormatting>
  <conditionalFormatting sqref="R162:R166">
    <cfRule type="cellIs" dxfId="3779" priority="71" operator="greaterThan">
      <formula>1</formula>
    </cfRule>
    <cfRule type="cellIs" dxfId="3778" priority="72" operator="lessThan">
      <formula>0.8</formula>
    </cfRule>
  </conditionalFormatting>
  <conditionalFormatting sqref="P162:P166">
    <cfRule type="cellIs" dxfId="3777" priority="70" operator="greaterThan">
      <formula>0</formula>
    </cfRule>
  </conditionalFormatting>
  <conditionalFormatting sqref="P167:P168">
    <cfRule type="cellIs" dxfId="3776" priority="64" operator="greaterThan">
      <formula>0</formula>
    </cfRule>
  </conditionalFormatting>
  <conditionalFormatting sqref="R167:R168">
    <cfRule type="cellIs" dxfId="3775" priority="67" operator="lessThan">
      <formula>0.8</formula>
    </cfRule>
    <cfRule type="cellIs" dxfId="3774" priority="68" operator="greaterThan">
      <formula>1</formula>
    </cfRule>
  </conditionalFormatting>
  <conditionalFormatting sqref="R167:R168">
    <cfRule type="cellIs" dxfId="3773" priority="65" operator="greaterThan">
      <formula>1</formula>
    </cfRule>
    <cfRule type="cellIs" dxfId="3772" priority="66" operator="lessThan">
      <formula>0.8</formula>
    </cfRule>
  </conditionalFormatting>
  <conditionalFormatting sqref="Q167:Q168">
    <cfRule type="cellIs" dxfId="3771" priority="69" operator="lessThan">
      <formula>0</formula>
    </cfRule>
  </conditionalFormatting>
  <conditionalFormatting sqref="Q161">
    <cfRule type="cellIs" dxfId="3770" priority="63" operator="lessThan">
      <formula>0</formula>
    </cfRule>
  </conditionalFormatting>
  <conditionalFormatting sqref="R161">
    <cfRule type="cellIs" dxfId="3769" priority="61" operator="lessThan">
      <formula>0.8</formula>
    </cfRule>
    <cfRule type="cellIs" dxfId="3768" priority="62" operator="greaterThan">
      <formula>1</formula>
    </cfRule>
  </conditionalFormatting>
  <conditionalFormatting sqref="R161">
    <cfRule type="cellIs" dxfId="3767" priority="59" operator="greaterThan">
      <formula>1</formula>
    </cfRule>
    <cfRule type="cellIs" dxfId="3766" priority="60" operator="lessThan">
      <formula>0.8</formula>
    </cfRule>
  </conditionalFormatting>
  <conditionalFormatting sqref="P161">
    <cfRule type="cellIs" dxfId="3765" priority="58" operator="greaterThan">
      <formula>0</formula>
    </cfRule>
  </conditionalFormatting>
  <conditionalFormatting sqref="Q162:Q166">
    <cfRule type="cellIs" dxfId="3764" priority="57" operator="lessThan">
      <formula>0</formula>
    </cfRule>
  </conditionalFormatting>
  <conditionalFormatting sqref="R162:R166">
    <cfRule type="cellIs" dxfId="3763" priority="55" operator="lessThan">
      <formula>0.8</formula>
    </cfRule>
    <cfRule type="cellIs" dxfId="3762" priority="56" operator="greaterThan">
      <formula>1</formula>
    </cfRule>
  </conditionalFormatting>
  <conditionalFormatting sqref="R162:R166">
    <cfRule type="cellIs" dxfId="3761" priority="53" operator="greaterThan">
      <formula>1</formula>
    </cfRule>
    <cfRule type="cellIs" dxfId="3760" priority="54" operator="lessThan">
      <formula>0.8</formula>
    </cfRule>
  </conditionalFormatting>
  <conditionalFormatting sqref="P162:P166">
    <cfRule type="cellIs" dxfId="3759" priority="52" operator="greaterThan">
      <formula>0</formula>
    </cfRule>
  </conditionalFormatting>
  <conditionalFormatting sqref="Q162:Q166">
    <cfRule type="cellIs" dxfId="3758" priority="51" operator="lessThan">
      <formula>0</formula>
    </cfRule>
  </conditionalFormatting>
  <conditionalFormatting sqref="R162:R166">
    <cfRule type="cellIs" dxfId="3757" priority="49" operator="lessThan">
      <formula>0.8</formula>
    </cfRule>
    <cfRule type="cellIs" dxfId="3756" priority="50" operator="greaterThan">
      <formula>1</formula>
    </cfRule>
  </conditionalFormatting>
  <conditionalFormatting sqref="R162:R166">
    <cfRule type="cellIs" dxfId="3755" priority="47" operator="greaterThan">
      <formula>1</formula>
    </cfRule>
    <cfRule type="cellIs" dxfId="3754" priority="48" operator="lessThan">
      <formula>0.8</formula>
    </cfRule>
  </conditionalFormatting>
  <conditionalFormatting sqref="P162:P166">
    <cfRule type="cellIs" dxfId="3753" priority="46" operator="greaterThan">
      <formula>0</formula>
    </cfRule>
  </conditionalFormatting>
  <conditionalFormatting sqref="Q167:Q168">
    <cfRule type="cellIs" dxfId="3752" priority="45" operator="lessThan">
      <formula>0</formula>
    </cfRule>
  </conditionalFormatting>
  <conditionalFormatting sqref="R167:R168">
    <cfRule type="cellIs" dxfId="3751" priority="43" operator="lessThan">
      <formula>0.8</formula>
    </cfRule>
    <cfRule type="cellIs" dxfId="3750" priority="44" operator="greaterThan">
      <formula>1</formula>
    </cfRule>
  </conditionalFormatting>
  <conditionalFormatting sqref="R167:R168">
    <cfRule type="cellIs" dxfId="3749" priority="41" operator="greaterThan">
      <formula>1</formula>
    </cfRule>
    <cfRule type="cellIs" dxfId="3748" priority="42" operator="lessThan">
      <formula>0.8</formula>
    </cfRule>
  </conditionalFormatting>
  <conditionalFormatting sqref="P167:P168">
    <cfRule type="cellIs" dxfId="3747" priority="40" operator="greaterThan">
      <formula>0</formula>
    </cfRule>
  </conditionalFormatting>
  <conditionalFormatting sqref="Q161">
    <cfRule type="cellIs" dxfId="3746" priority="39" operator="lessThan">
      <formula>0</formula>
    </cfRule>
  </conditionalFormatting>
  <conditionalFormatting sqref="R161">
    <cfRule type="cellIs" dxfId="3745" priority="37" operator="lessThan">
      <formula>0.8</formula>
    </cfRule>
    <cfRule type="cellIs" dxfId="3744" priority="38" operator="greaterThan">
      <formula>1</formula>
    </cfRule>
  </conditionalFormatting>
  <conditionalFormatting sqref="R161">
    <cfRule type="cellIs" dxfId="3743" priority="35" operator="greaterThan">
      <formula>1</formula>
    </cfRule>
    <cfRule type="cellIs" dxfId="3742" priority="36" operator="lessThan">
      <formula>0.8</formula>
    </cfRule>
  </conditionalFormatting>
  <conditionalFormatting sqref="P161">
    <cfRule type="cellIs" dxfId="3741" priority="34" operator="greaterThan">
      <formula>0</formula>
    </cfRule>
  </conditionalFormatting>
  <conditionalFormatting sqref="Q162:Q166">
    <cfRule type="cellIs" dxfId="3740" priority="33" operator="lessThan">
      <formula>0</formula>
    </cfRule>
  </conditionalFormatting>
  <conditionalFormatting sqref="R162:R166">
    <cfRule type="cellIs" dxfId="3739" priority="31" operator="lessThan">
      <formula>0.8</formula>
    </cfRule>
    <cfRule type="cellIs" dxfId="3738" priority="32" operator="greaterThan">
      <formula>1</formula>
    </cfRule>
  </conditionalFormatting>
  <conditionalFormatting sqref="R162:R166">
    <cfRule type="cellIs" dxfId="3737" priority="29" operator="greaterThan">
      <formula>1</formula>
    </cfRule>
    <cfRule type="cellIs" dxfId="3736" priority="30" operator="lessThan">
      <formula>0.8</formula>
    </cfRule>
  </conditionalFormatting>
  <conditionalFormatting sqref="P162:P166">
    <cfRule type="cellIs" dxfId="3735" priority="28" operator="greaterThan">
      <formula>0</formula>
    </cfRule>
  </conditionalFormatting>
  <conditionalFormatting sqref="Q161">
    <cfRule type="cellIs" dxfId="3734" priority="27" operator="lessThan">
      <formula>0</formula>
    </cfRule>
  </conditionalFormatting>
  <conditionalFormatting sqref="R161">
    <cfRule type="cellIs" dxfId="3733" priority="25" operator="lessThan">
      <formula>0.8</formula>
    </cfRule>
    <cfRule type="cellIs" dxfId="3732" priority="26" operator="greaterThan">
      <formula>1</formula>
    </cfRule>
  </conditionalFormatting>
  <conditionalFormatting sqref="R161">
    <cfRule type="cellIs" dxfId="3731" priority="23" operator="greaterThan">
      <formula>1</formula>
    </cfRule>
    <cfRule type="cellIs" dxfId="3730" priority="24" operator="lessThan">
      <formula>0.8</formula>
    </cfRule>
  </conditionalFormatting>
  <conditionalFormatting sqref="P161">
    <cfRule type="cellIs" dxfId="3729" priority="22" operator="greaterThan">
      <formula>0</formula>
    </cfRule>
  </conditionalFormatting>
  <conditionalFormatting sqref="Q162:Q166">
    <cfRule type="cellIs" dxfId="3728" priority="21" operator="lessThan">
      <formula>0</formula>
    </cfRule>
  </conditionalFormatting>
  <conditionalFormatting sqref="R162:R166">
    <cfRule type="cellIs" dxfId="3727" priority="19" operator="lessThan">
      <formula>0.8</formula>
    </cfRule>
    <cfRule type="cellIs" dxfId="3726" priority="20" operator="greaterThan">
      <formula>1</formula>
    </cfRule>
  </conditionalFormatting>
  <conditionalFormatting sqref="R162:R166">
    <cfRule type="cellIs" dxfId="3725" priority="17" operator="greaterThan">
      <formula>1</formula>
    </cfRule>
    <cfRule type="cellIs" dxfId="3724" priority="18" operator="lessThan">
      <formula>0.8</formula>
    </cfRule>
  </conditionalFormatting>
  <conditionalFormatting sqref="P162:P166">
    <cfRule type="cellIs" dxfId="3723" priority="16" operator="greaterThan">
      <formula>0</formula>
    </cfRule>
  </conditionalFormatting>
  <conditionalFormatting sqref="Q161">
    <cfRule type="cellIs" dxfId="3722" priority="15" operator="lessThan">
      <formula>0</formula>
    </cfRule>
  </conditionalFormatting>
  <conditionalFormatting sqref="R161">
    <cfRule type="cellIs" dxfId="3721" priority="13" operator="lessThan">
      <formula>0.8</formula>
    </cfRule>
    <cfRule type="cellIs" dxfId="3720" priority="14" operator="greaterThan">
      <formula>1</formula>
    </cfRule>
  </conditionalFormatting>
  <conditionalFormatting sqref="R161">
    <cfRule type="cellIs" dxfId="3719" priority="11" operator="greaterThan">
      <formula>1</formula>
    </cfRule>
    <cfRule type="cellIs" dxfId="3718" priority="12" operator="lessThan">
      <formula>0.8</formula>
    </cfRule>
  </conditionalFormatting>
  <conditionalFormatting sqref="P161">
    <cfRule type="cellIs" dxfId="3717" priority="10" operator="greaterThan">
      <formula>0</formula>
    </cfRule>
  </conditionalFormatting>
  <conditionalFormatting sqref="P167:P168">
    <cfRule type="cellIs" dxfId="3716" priority="4" operator="greaterThan">
      <formula>0</formula>
    </cfRule>
  </conditionalFormatting>
  <conditionalFormatting sqref="R167:R168">
    <cfRule type="cellIs" dxfId="3715" priority="7" operator="lessThan">
      <formula>0.8</formula>
    </cfRule>
    <cfRule type="cellIs" dxfId="3714" priority="8" operator="greaterThan">
      <formula>1</formula>
    </cfRule>
  </conditionalFormatting>
  <conditionalFormatting sqref="R167:R168">
    <cfRule type="cellIs" dxfId="3713" priority="5" operator="greaterThan">
      <formula>1</formula>
    </cfRule>
    <cfRule type="cellIs" dxfId="3712" priority="6" operator="lessThan">
      <formula>0.8</formula>
    </cfRule>
  </conditionalFormatting>
  <conditionalFormatting sqref="Q167:Q168">
    <cfRule type="cellIs" dxfId="3711" priority="9" operator="lessThan">
      <formula>0</formula>
    </cfRule>
  </conditionalFormatting>
  <conditionalFormatting sqref="AF30">
    <cfRule type="cellIs" dxfId="3710" priority="3" operator="lessThan">
      <formula>0</formula>
    </cfRule>
  </conditionalFormatting>
  <conditionalFormatting sqref="AG30">
    <cfRule type="cellIs" dxfId="3709" priority="1" operator="greaterThan">
      <formula>1</formula>
    </cfRule>
    <cfRule type="cellIs" dxfId="3708" priority="2" operator="lessThan">
      <formula>0.8</formula>
    </cfRule>
  </conditionalFormatting>
  <dataValidations count="4">
    <dataValidation type="list" allowBlank="1" showInputMessage="1" showErrorMessage="1" sqref="AB11:AC11">
      <formula1>$AJ$174:$AJ$185</formula1>
    </dataValidation>
    <dataValidation type="list" allowBlank="1" showInputMessage="1" showErrorMessage="1" sqref="AB150:AC150">
      <formula1>$AJ$165:$AJ$177</formula1>
    </dataValidation>
    <dataValidation type="list" allowBlank="1" showInputMessage="1" showErrorMessage="1" sqref="AB121:AC149 AC12 AB5:AC10 AB160:AC173 AC17:AC112 AB12:AB112">
      <formula1>$AJ$174:$AJ$186</formula1>
    </dataValidation>
    <dataValidation type="list" allowBlank="1" showInputMessage="1" showErrorMessage="1" sqref="AB151:AC159 AB113:AC120">
      <formula1>$AJ$177:$AJ$189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Q38"/>
  <sheetViews>
    <sheetView zoomScale="40" zoomScaleNormal="40" workbookViewId="0">
      <selection activeCell="R29" sqref="R29"/>
    </sheetView>
  </sheetViews>
  <sheetFormatPr defaultColWidth="8.08984375" defaultRowHeight="15.5"/>
  <cols>
    <col min="1" max="1" width="8.08984375" style="2"/>
    <col min="2" max="2" width="7.08984375" style="2" customWidth="1"/>
    <col min="3" max="3" width="7.08984375" style="31" customWidth="1"/>
    <col min="4" max="17" width="14.1796875" style="2" customWidth="1"/>
    <col min="18" max="21" width="9.6328125" style="2" customWidth="1"/>
    <col min="22" max="22" width="11.1796875" style="2" customWidth="1"/>
    <col min="23" max="23" width="11.453125" style="2" customWidth="1"/>
    <col min="24" max="16384" width="8.08984375" style="2"/>
  </cols>
  <sheetData>
    <row r="1" spans="2:17" ht="27.75" customHeight="1">
      <c r="B1" s="556" t="s">
        <v>68</v>
      </c>
      <c r="C1" s="557"/>
      <c r="D1" s="557"/>
      <c r="E1" s="557"/>
      <c r="F1" s="557"/>
      <c r="G1" s="557"/>
      <c r="H1" s="557"/>
      <c r="I1" s="557"/>
      <c r="J1" s="557"/>
      <c r="K1" s="557"/>
      <c r="L1" s="557"/>
      <c r="M1" s="558"/>
      <c r="N1" s="1"/>
      <c r="O1" s="1"/>
    </row>
    <row r="2" spans="2:17" ht="27.75" customHeight="1">
      <c r="B2" s="556"/>
      <c r="C2" s="557"/>
      <c r="D2" s="557"/>
      <c r="E2" s="557"/>
      <c r="F2" s="557"/>
      <c r="G2" s="557"/>
      <c r="H2" s="557"/>
      <c r="I2" s="557"/>
      <c r="J2" s="557"/>
      <c r="K2" s="557"/>
      <c r="L2" s="557"/>
      <c r="M2" s="558"/>
      <c r="N2" s="1"/>
      <c r="O2" s="1"/>
    </row>
    <row r="3" spans="2:17" ht="46.5" customHeight="1">
      <c r="B3" s="548" t="s">
        <v>0</v>
      </c>
      <c r="C3" s="549"/>
      <c r="D3" s="559" t="s">
        <v>81</v>
      </c>
      <c r="E3" s="560"/>
      <c r="F3" s="548" t="s">
        <v>1</v>
      </c>
      <c r="G3" s="549"/>
      <c r="H3" s="561">
        <v>220214.84999999998</v>
      </c>
      <c r="I3" s="562"/>
      <c r="J3" s="548" t="s">
        <v>2</v>
      </c>
      <c r="K3" s="549"/>
      <c r="L3" s="563">
        <v>7237539.6654833434</v>
      </c>
      <c r="M3" s="564"/>
      <c r="N3" s="3"/>
    </row>
    <row r="4" spans="2:17" ht="24" customHeight="1">
      <c r="B4" s="548" t="s">
        <v>69</v>
      </c>
      <c r="C4" s="549"/>
      <c r="D4" s="540" t="s">
        <v>70</v>
      </c>
      <c r="E4" s="541"/>
      <c r="F4" s="554" t="s">
        <v>71</v>
      </c>
      <c r="G4" s="555"/>
      <c r="H4" s="554" t="s">
        <v>72</v>
      </c>
      <c r="I4" s="555"/>
      <c r="J4" s="554" t="s">
        <v>73</v>
      </c>
      <c r="K4" s="555"/>
      <c r="L4" s="554" t="s">
        <v>74</v>
      </c>
      <c r="M4" s="555"/>
      <c r="N4" s="487" t="s">
        <v>54</v>
      </c>
      <c r="O4" s="488"/>
      <c r="P4" s="488" t="s">
        <v>55</v>
      </c>
      <c r="Q4" s="488"/>
    </row>
    <row r="5" spans="2:17" ht="24" customHeight="1">
      <c r="B5" s="534" t="s">
        <v>75</v>
      </c>
      <c r="C5" s="535"/>
      <c r="D5" s="540" t="s">
        <v>76</v>
      </c>
      <c r="E5" s="541"/>
      <c r="F5" s="540" t="s">
        <v>3</v>
      </c>
      <c r="G5" s="541"/>
      <c r="H5" s="542" t="s">
        <v>4</v>
      </c>
      <c r="I5" s="543"/>
      <c r="J5" s="544" t="s">
        <v>5</v>
      </c>
      <c r="K5" s="545"/>
      <c r="L5" s="546" t="s">
        <v>6</v>
      </c>
      <c r="M5" s="547"/>
      <c r="N5" s="4" t="s">
        <v>56</v>
      </c>
      <c r="O5" s="5" t="s">
        <v>57</v>
      </c>
      <c r="P5" s="4" t="s">
        <v>56</v>
      </c>
      <c r="Q5" s="5" t="s">
        <v>58</v>
      </c>
    </row>
    <row r="6" spans="2:17" ht="39.65" customHeight="1">
      <c r="B6" s="536"/>
      <c r="C6" s="537"/>
      <c r="D6" s="548" t="s">
        <v>7</v>
      </c>
      <c r="E6" s="549"/>
      <c r="F6" s="550">
        <f>AVERAGE(D13:O13,P13:Q13,D30:F30,H30,J30:L30)</f>
        <v>368.98457540599946</v>
      </c>
      <c r="G6" s="551"/>
      <c r="H6" s="552">
        <f>AVERAGE(D13:P13,Q13)</f>
        <v>141.33400596614209</v>
      </c>
      <c r="I6" s="553"/>
      <c r="J6" s="552">
        <f>AVERAGE(D30:F30,H30)</f>
        <v>786.25</v>
      </c>
      <c r="K6" s="553"/>
      <c r="L6" s="526">
        <f>AVERAGE(J30:L30)</f>
        <v>875</v>
      </c>
      <c r="M6" s="527"/>
      <c r="N6" s="489">
        <v>0</v>
      </c>
      <c r="O6" s="490">
        <v>1</v>
      </c>
      <c r="P6" s="491">
        <v>1</v>
      </c>
      <c r="Q6" s="490">
        <v>3</v>
      </c>
    </row>
    <row r="7" spans="2:17" s="6" customFormat="1" ht="39.65" customHeight="1">
      <c r="B7" s="536"/>
      <c r="C7" s="537"/>
      <c r="D7" s="518" t="s">
        <v>8</v>
      </c>
      <c r="E7" s="519"/>
      <c r="F7" s="528">
        <f>AVERAGE(D14:O14,P14:Q14,D31:F31,J31:L31,H31)</f>
        <v>329.962381926923</v>
      </c>
      <c r="G7" s="529"/>
      <c r="H7" s="530">
        <f>AVERAGE(D14:P14,Q14)</f>
        <v>123.97930216916393</v>
      </c>
      <c r="I7" s="531"/>
      <c r="J7" s="530">
        <f>AVERAGE(D31:F31,H31)</f>
        <v>685.73752057503032</v>
      </c>
      <c r="K7" s="531"/>
      <c r="L7" s="532">
        <f>AVERAGE(J31:L31)</f>
        <v>816.84990259898893</v>
      </c>
      <c r="M7" s="533"/>
      <c r="N7" s="489"/>
      <c r="O7" s="490"/>
      <c r="P7" s="491"/>
      <c r="Q7" s="490"/>
    </row>
    <row r="8" spans="2:17" s="6" customFormat="1" ht="39.65" customHeight="1">
      <c r="B8" s="538"/>
      <c r="C8" s="539"/>
      <c r="D8" s="518" t="s">
        <v>9</v>
      </c>
      <c r="E8" s="519"/>
      <c r="F8" s="520">
        <f>AVERAGE(D15:O15,P15:Q15,D32:F32,H32,J32:K32,L32)</f>
        <v>0.87904764213725339</v>
      </c>
      <c r="G8" s="521"/>
      <c r="H8" s="520">
        <f>AVERAGE(D15:O15,P15:Q15)</f>
        <v>0.8703665296198253</v>
      </c>
      <c r="I8" s="521"/>
      <c r="J8" s="520">
        <f>AVERAGE(D32:F32,H32)</f>
        <v>0.86791540066675321</v>
      </c>
      <c r="K8" s="521"/>
      <c r="L8" s="520">
        <f>AVERAGE(J32:L32)</f>
        <v>0.93440248917925162</v>
      </c>
      <c r="M8" s="521"/>
      <c r="N8" s="489"/>
      <c r="O8" s="490"/>
      <c r="P8" s="491"/>
      <c r="Q8" s="490"/>
    </row>
    <row r="9" spans="2:17" ht="25.5" customHeight="1" thickBot="1">
      <c r="B9" s="7"/>
      <c r="C9" s="7"/>
      <c r="D9" s="7"/>
      <c r="E9" s="7"/>
      <c r="F9" s="7"/>
      <c r="G9" s="7"/>
      <c r="H9" s="8"/>
      <c r="I9" s="9"/>
      <c r="J9" s="9"/>
      <c r="K9" s="9"/>
      <c r="L9" s="9"/>
      <c r="M9" s="9"/>
      <c r="N9" s="9"/>
      <c r="O9" s="7"/>
    </row>
    <row r="10" spans="2:17" ht="30" customHeight="1">
      <c r="B10" s="502" t="s">
        <v>10</v>
      </c>
      <c r="C10" s="522"/>
      <c r="D10" s="523" t="s">
        <v>11</v>
      </c>
      <c r="E10" s="524"/>
      <c r="F10" s="524"/>
      <c r="G10" s="524"/>
      <c r="H10" s="524"/>
      <c r="I10" s="524"/>
      <c r="J10" s="524"/>
      <c r="K10" s="524"/>
      <c r="L10" s="524"/>
      <c r="M10" s="524"/>
      <c r="N10" s="524"/>
      <c r="O10" s="524"/>
      <c r="P10" s="524"/>
      <c r="Q10" s="525"/>
    </row>
    <row r="11" spans="2:17" ht="17.25" customHeight="1">
      <c r="B11" s="510" t="s">
        <v>12</v>
      </c>
      <c r="C11" s="511"/>
      <c r="D11" s="10">
        <v>1</v>
      </c>
      <c r="E11" s="10">
        <v>2</v>
      </c>
      <c r="F11" s="10">
        <v>3</v>
      </c>
      <c r="G11" s="10">
        <v>4</v>
      </c>
      <c r="H11" s="10">
        <v>5</v>
      </c>
      <c r="I11" s="10">
        <v>6</v>
      </c>
      <c r="J11" s="10">
        <v>7</v>
      </c>
      <c r="K11" s="10">
        <v>8</v>
      </c>
      <c r="L11" s="10">
        <v>9</v>
      </c>
      <c r="M11" s="10">
        <v>10</v>
      </c>
      <c r="N11" s="10">
        <v>11</v>
      </c>
      <c r="O11" s="10">
        <v>12</v>
      </c>
      <c r="P11" s="10">
        <v>13</v>
      </c>
      <c r="Q11" s="11">
        <v>14</v>
      </c>
    </row>
    <row r="12" spans="2:17" ht="33.9" customHeight="1">
      <c r="B12" s="512"/>
      <c r="C12" s="513"/>
      <c r="D12" s="12" t="s">
        <v>13</v>
      </c>
      <c r="E12" s="12" t="s">
        <v>14</v>
      </c>
      <c r="F12" s="12" t="s">
        <v>15</v>
      </c>
      <c r="G12" s="12" t="s">
        <v>16</v>
      </c>
      <c r="H12" s="12" t="s">
        <v>17</v>
      </c>
      <c r="I12" s="12" t="s">
        <v>18</v>
      </c>
      <c r="J12" s="12" t="s">
        <v>19</v>
      </c>
      <c r="K12" s="12" t="s">
        <v>20</v>
      </c>
      <c r="L12" s="12" t="s">
        <v>21</v>
      </c>
      <c r="M12" s="12" t="s">
        <v>22</v>
      </c>
      <c r="N12" s="12" t="s">
        <v>23</v>
      </c>
      <c r="O12" s="12" t="s">
        <v>24</v>
      </c>
      <c r="P12" s="12" t="s">
        <v>25</v>
      </c>
      <c r="Q12" s="13" t="s">
        <v>26</v>
      </c>
    </row>
    <row r="13" spans="2:17" ht="39.9" customHeight="1">
      <c r="B13" s="492" t="s">
        <v>27</v>
      </c>
      <c r="C13" s="14" t="s">
        <v>28</v>
      </c>
      <c r="D13" s="15">
        <v>145.09958720330235</v>
      </c>
      <c r="E13" s="15">
        <v>89.127352695464168</v>
      </c>
      <c r="F13" s="15">
        <v>146.42540354382459</v>
      </c>
      <c r="G13" s="15">
        <v>388.88888888888886</v>
      </c>
      <c r="H13" s="15">
        <v>250</v>
      </c>
      <c r="I13" s="15">
        <v>87.674578603371174</v>
      </c>
      <c r="J13" s="15">
        <v>72.621177125821092</v>
      </c>
      <c r="K13" s="15">
        <v>84.891057982647268</v>
      </c>
      <c r="L13" s="15">
        <v>82.730650154798766</v>
      </c>
      <c r="M13" s="15">
        <v>85.837160302717578</v>
      </c>
      <c r="N13" s="15">
        <v>87.207230392156859</v>
      </c>
      <c r="O13" s="15">
        <v>77.314814814814824</v>
      </c>
      <c r="P13" s="15">
        <v>230.85818181818181</v>
      </c>
      <c r="Q13" s="16">
        <v>150</v>
      </c>
    </row>
    <row r="14" spans="2:17" ht="39.9" customHeight="1">
      <c r="B14" s="493"/>
      <c r="C14" s="14" t="s">
        <v>29</v>
      </c>
      <c r="D14" s="15">
        <v>118.32515162660958</v>
      </c>
      <c r="E14" s="15">
        <v>79.156778029744572</v>
      </c>
      <c r="F14" s="15">
        <v>142.52273168411884</v>
      </c>
      <c r="G14" s="15">
        <v>332.22328469030612</v>
      </c>
      <c r="H14" s="15">
        <v>221.08855750282424</v>
      </c>
      <c r="I14" s="15">
        <v>72.824211957991167</v>
      </c>
      <c r="J14" s="15">
        <v>60.983100599789836</v>
      </c>
      <c r="K14" s="15">
        <v>73.021603129560788</v>
      </c>
      <c r="L14" s="15">
        <v>74.185054439558769</v>
      </c>
      <c r="M14" s="15">
        <v>69.659398306166608</v>
      </c>
      <c r="N14" s="15">
        <v>76.231942618840932</v>
      </c>
      <c r="O14" s="15">
        <v>62.383593394904636</v>
      </c>
      <c r="P14" s="15">
        <v>215.97377609499034</v>
      </c>
      <c r="Q14" s="16">
        <v>137.13104629288847</v>
      </c>
    </row>
    <row r="15" spans="2:17" ht="39.9" customHeight="1">
      <c r="B15" s="494"/>
      <c r="C15" s="10" t="s">
        <v>30</v>
      </c>
      <c r="D15" s="17">
        <f t="shared" ref="D15:P15" si="0">D14/D13</f>
        <v>0.81547545315081782</v>
      </c>
      <c r="E15" s="17">
        <f t="shared" si="0"/>
        <v>0.88813114757500233</v>
      </c>
      <c r="F15" s="17">
        <f t="shared" si="0"/>
        <v>0.97334703019249191</v>
      </c>
      <c r="G15" s="17">
        <f t="shared" si="0"/>
        <v>0.85428844634650147</v>
      </c>
      <c r="H15" s="17">
        <f t="shared" si="0"/>
        <v>0.88435423001129698</v>
      </c>
      <c r="I15" s="17">
        <f t="shared" si="0"/>
        <v>0.8306194693839225</v>
      </c>
      <c r="J15" s="17">
        <f t="shared" si="0"/>
        <v>0.83974266203551751</v>
      </c>
      <c r="K15" s="17">
        <f t="shared" si="0"/>
        <v>0.86018015165374972</v>
      </c>
      <c r="L15" s="17">
        <f t="shared" si="0"/>
        <v>0.89670580734890659</v>
      </c>
      <c r="M15" s="17">
        <f t="shared" si="0"/>
        <v>0.81152962260753181</v>
      </c>
      <c r="N15" s="17">
        <f t="shared" si="0"/>
        <v>0.87414704349671668</v>
      </c>
      <c r="O15" s="17">
        <f t="shared" si="0"/>
        <v>0.80687761516762868</v>
      </c>
      <c r="P15" s="17">
        <f t="shared" si="0"/>
        <v>0.93552576042154723</v>
      </c>
      <c r="Q15" s="18">
        <f>Q14/Q13</f>
        <v>0.9142069752859231</v>
      </c>
    </row>
    <row r="16" spans="2:17" ht="22.75" customHeight="1">
      <c r="B16" s="495" t="s">
        <v>31</v>
      </c>
      <c r="C16" s="10" t="s">
        <v>32</v>
      </c>
      <c r="D16" s="36">
        <v>0.29166666666666669</v>
      </c>
      <c r="E16" s="36">
        <v>0.16666666666666666</v>
      </c>
      <c r="F16" s="36">
        <v>0.16666666666666666</v>
      </c>
      <c r="G16" s="36">
        <v>0.16666666666666666</v>
      </c>
      <c r="H16" s="36">
        <v>0.16666666666666666</v>
      </c>
      <c r="I16" s="36">
        <v>0.29166666666666669</v>
      </c>
      <c r="J16" s="36">
        <v>0.375</v>
      </c>
      <c r="K16" s="36">
        <v>0.375</v>
      </c>
      <c r="L16" s="36">
        <v>0.5</v>
      </c>
      <c r="M16" s="36">
        <v>0.5</v>
      </c>
      <c r="N16" s="36">
        <v>0.5</v>
      </c>
      <c r="O16" s="36">
        <v>0.70833333333333337</v>
      </c>
      <c r="P16" s="36">
        <v>0.16666666666666666</v>
      </c>
      <c r="Q16" s="37">
        <v>0.17361111111111113</v>
      </c>
    </row>
    <row r="17" spans="2:17" ht="22.75" customHeight="1">
      <c r="B17" s="496"/>
      <c r="C17" s="10" t="s">
        <v>33</v>
      </c>
      <c r="D17" s="36">
        <v>0.59374999999999978</v>
      </c>
      <c r="E17" s="36">
        <v>0.5756944444444444</v>
      </c>
      <c r="F17" s="36">
        <v>0.42083333333333328</v>
      </c>
      <c r="G17" s="36">
        <v>0.53333333333333321</v>
      </c>
      <c r="H17" s="36">
        <v>0.64722222222222225</v>
      </c>
      <c r="I17" s="36">
        <v>0.8</v>
      </c>
      <c r="J17" s="36">
        <v>0.81527777777777777</v>
      </c>
      <c r="K17" s="36">
        <v>0.83194444444444449</v>
      </c>
      <c r="L17" s="36">
        <v>0.91666666666666663</v>
      </c>
      <c r="M17" s="36">
        <v>0.95972222222222225</v>
      </c>
      <c r="N17" s="36">
        <v>0.99791666666666667</v>
      </c>
      <c r="O17" s="36">
        <v>0.8833333333333333</v>
      </c>
      <c r="P17" s="36">
        <v>0.62430555555555556</v>
      </c>
      <c r="Q17" s="37">
        <v>0.48958333333333331</v>
      </c>
    </row>
    <row r="18" spans="2:17" ht="22.75" customHeight="1">
      <c r="B18" s="514" t="s">
        <v>66</v>
      </c>
      <c r="C18" s="515"/>
      <c r="D18" s="58" t="s">
        <v>59</v>
      </c>
      <c r="E18" s="58" t="s">
        <v>59</v>
      </c>
      <c r="F18" s="58" t="s">
        <v>59</v>
      </c>
      <c r="G18" s="58" t="s">
        <v>59</v>
      </c>
      <c r="H18" s="58" t="s">
        <v>59</v>
      </c>
      <c r="I18" s="58" t="s">
        <v>59</v>
      </c>
      <c r="J18" s="58" t="s">
        <v>59</v>
      </c>
      <c r="K18" s="58" t="s">
        <v>59</v>
      </c>
      <c r="L18" s="58" t="s">
        <v>59</v>
      </c>
      <c r="M18" s="58" t="s">
        <v>59</v>
      </c>
      <c r="N18" s="58" t="s">
        <v>59</v>
      </c>
      <c r="O18" s="58" t="s">
        <v>59</v>
      </c>
      <c r="P18" s="58" t="s">
        <v>59</v>
      </c>
      <c r="Q18" s="59"/>
    </row>
    <row r="19" spans="2:17" ht="22.75" customHeight="1">
      <c r="B19" s="516"/>
      <c r="C19" s="517"/>
      <c r="D19" s="58" t="s">
        <v>59</v>
      </c>
      <c r="E19" s="58" t="s">
        <v>59</v>
      </c>
      <c r="F19" s="58" t="s">
        <v>59</v>
      </c>
      <c r="G19" s="58" t="s">
        <v>59</v>
      </c>
      <c r="H19" s="58" t="s">
        <v>59</v>
      </c>
      <c r="I19" s="58" t="s">
        <v>59</v>
      </c>
      <c r="J19" s="58" t="s">
        <v>59</v>
      </c>
      <c r="K19" s="58" t="s">
        <v>59</v>
      </c>
      <c r="L19" s="58" t="s">
        <v>59</v>
      </c>
      <c r="M19" s="58" t="s">
        <v>59</v>
      </c>
      <c r="N19" s="58" t="s">
        <v>59</v>
      </c>
      <c r="O19" s="58">
        <v>1</v>
      </c>
      <c r="P19" s="58" t="s">
        <v>59</v>
      </c>
      <c r="Q19" s="59"/>
    </row>
    <row r="20" spans="2:17" ht="22.75" customHeight="1">
      <c r="B20" s="514" t="s">
        <v>67</v>
      </c>
      <c r="C20" s="515"/>
      <c r="D20" s="58" t="s">
        <v>59</v>
      </c>
      <c r="E20" s="58" t="s">
        <v>59</v>
      </c>
      <c r="F20" s="58" t="s">
        <v>59</v>
      </c>
      <c r="G20" s="58" t="s">
        <v>59</v>
      </c>
      <c r="H20" s="58">
        <v>1</v>
      </c>
      <c r="I20" s="58" t="s">
        <v>59</v>
      </c>
      <c r="J20" s="58" t="s">
        <v>59</v>
      </c>
      <c r="K20" s="58" t="s">
        <v>59</v>
      </c>
      <c r="L20" s="58" t="s">
        <v>59</v>
      </c>
      <c r="M20" s="58" t="s">
        <v>59</v>
      </c>
      <c r="N20" s="58" t="s">
        <v>59</v>
      </c>
      <c r="O20" s="58" t="s">
        <v>59</v>
      </c>
      <c r="P20" s="58" t="s">
        <v>59</v>
      </c>
      <c r="Q20" s="59"/>
    </row>
    <row r="21" spans="2:17" ht="22.75" customHeight="1">
      <c r="B21" s="516"/>
      <c r="C21" s="517"/>
      <c r="D21" s="58">
        <v>1</v>
      </c>
      <c r="E21" s="58" t="s">
        <v>59</v>
      </c>
      <c r="F21" s="58" t="s">
        <v>59</v>
      </c>
      <c r="G21" s="58">
        <v>2</v>
      </c>
      <c r="H21" s="58" t="s">
        <v>59</v>
      </c>
      <c r="I21" s="58" t="s">
        <v>59</v>
      </c>
      <c r="J21" s="58" t="s">
        <v>59</v>
      </c>
      <c r="K21" s="58" t="s">
        <v>59</v>
      </c>
      <c r="L21" s="58" t="s">
        <v>59</v>
      </c>
      <c r="M21" s="58" t="s">
        <v>59</v>
      </c>
      <c r="N21" s="58" t="s">
        <v>59</v>
      </c>
      <c r="O21" s="58" t="s">
        <v>59</v>
      </c>
      <c r="P21" s="58" t="s">
        <v>59</v>
      </c>
      <c r="Q21" s="59"/>
    </row>
    <row r="22" spans="2:17" ht="22.75" customHeight="1">
      <c r="B22" s="497" t="s">
        <v>34</v>
      </c>
      <c r="C22" s="498"/>
      <c r="D22" s="60">
        <v>18.5</v>
      </c>
      <c r="E22" s="60">
        <v>17.428571428571427</v>
      </c>
      <c r="F22" s="60">
        <v>14.25</v>
      </c>
      <c r="G22" s="60">
        <v>5.833333333333333</v>
      </c>
      <c r="H22" s="60">
        <v>6.6</v>
      </c>
      <c r="I22" s="60">
        <v>16.777777777777779</v>
      </c>
      <c r="J22" s="60">
        <v>18.777777777777779</v>
      </c>
      <c r="K22" s="60">
        <v>17.333333333333332</v>
      </c>
      <c r="L22" s="60">
        <v>17.399999999999999</v>
      </c>
      <c r="M22" s="60">
        <v>18</v>
      </c>
      <c r="N22" s="60">
        <v>16.899999999999999</v>
      </c>
      <c r="O22" s="60">
        <v>18.333333333333332</v>
      </c>
      <c r="P22" s="60">
        <v>10.4</v>
      </c>
      <c r="Q22" s="61">
        <v>10.888888888888889</v>
      </c>
    </row>
    <row r="23" spans="2:17" ht="22.75" customHeight="1">
      <c r="B23" s="497" t="s">
        <v>35</v>
      </c>
      <c r="C23" s="498"/>
      <c r="D23" s="32" t="s">
        <v>36</v>
      </c>
      <c r="E23" s="32" t="s">
        <v>36</v>
      </c>
      <c r="F23" s="32" t="s">
        <v>36</v>
      </c>
      <c r="G23" s="32" t="s">
        <v>37</v>
      </c>
      <c r="H23" s="32" t="s">
        <v>38</v>
      </c>
      <c r="I23" s="32" t="s">
        <v>39</v>
      </c>
      <c r="J23" s="32" t="s">
        <v>39</v>
      </c>
      <c r="K23" s="32" t="s">
        <v>39</v>
      </c>
      <c r="L23" s="32" t="s">
        <v>39</v>
      </c>
      <c r="M23" s="32" t="s">
        <v>39</v>
      </c>
      <c r="N23" s="32" t="s">
        <v>39</v>
      </c>
      <c r="O23" s="32" t="s">
        <v>39</v>
      </c>
      <c r="P23" s="32" t="s">
        <v>40</v>
      </c>
      <c r="Q23" s="40" t="s">
        <v>40</v>
      </c>
    </row>
    <row r="24" spans="2:17" ht="22.75" customHeight="1">
      <c r="B24" s="497" t="s">
        <v>41</v>
      </c>
      <c r="C24" s="498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40"/>
    </row>
    <row r="25" spans="2:17" ht="22.75" customHeight="1" thickBot="1">
      <c r="B25" s="499" t="s">
        <v>42</v>
      </c>
      <c r="C25" s="500"/>
      <c r="D25" s="43"/>
      <c r="E25" s="44" t="s">
        <v>43</v>
      </c>
      <c r="F25" s="44"/>
      <c r="G25" s="44" t="s">
        <v>44</v>
      </c>
      <c r="H25" s="44"/>
      <c r="I25" s="44"/>
      <c r="J25" s="44"/>
      <c r="K25" s="44" t="s">
        <v>45</v>
      </c>
      <c r="L25" s="44"/>
      <c r="M25" s="44"/>
      <c r="N25" s="44"/>
      <c r="O25" s="44"/>
      <c r="P25" s="44" t="s">
        <v>46</v>
      </c>
      <c r="Q25" s="45"/>
    </row>
    <row r="26" spans="2:17" ht="16" thickBot="1">
      <c r="B26" s="501"/>
      <c r="C26" s="501"/>
    </row>
    <row r="27" spans="2:17" ht="30" customHeight="1" thickBot="1">
      <c r="B27" s="502" t="s">
        <v>10</v>
      </c>
      <c r="C27" s="503"/>
      <c r="D27" s="504" t="s">
        <v>47</v>
      </c>
      <c r="E27" s="505"/>
      <c r="F27" s="505"/>
      <c r="G27" s="505"/>
      <c r="H27" s="506"/>
      <c r="I27" s="507" t="s">
        <v>48</v>
      </c>
      <c r="J27" s="508"/>
      <c r="K27" s="508"/>
      <c r="L27" s="508"/>
      <c r="M27" s="509"/>
    </row>
    <row r="28" spans="2:17" ht="17.25" customHeight="1">
      <c r="B28" s="510" t="s">
        <v>12</v>
      </c>
      <c r="C28" s="511"/>
      <c r="D28" s="19">
        <v>1</v>
      </c>
      <c r="E28" s="19">
        <v>2</v>
      </c>
      <c r="F28" s="19">
        <v>3</v>
      </c>
      <c r="G28" s="19">
        <v>4</v>
      </c>
      <c r="H28" s="20">
        <v>5</v>
      </c>
      <c r="I28" s="21">
        <v>1</v>
      </c>
      <c r="J28" s="19">
        <v>2</v>
      </c>
      <c r="K28" s="19">
        <v>3</v>
      </c>
      <c r="L28" s="19">
        <v>4</v>
      </c>
      <c r="M28" s="22">
        <v>5</v>
      </c>
    </row>
    <row r="29" spans="2:17" ht="37.5" customHeight="1">
      <c r="B29" s="512"/>
      <c r="C29" s="513"/>
      <c r="D29" s="14" t="s">
        <v>49</v>
      </c>
      <c r="E29" s="14" t="s">
        <v>50</v>
      </c>
      <c r="F29" s="14" t="s">
        <v>51</v>
      </c>
      <c r="G29" s="14" t="s">
        <v>60</v>
      </c>
      <c r="H29" s="23" t="s">
        <v>61</v>
      </c>
      <c r="I29" s="24" t="s">
        <v>62</v>
      </c>
      <c r="J29" s="14" t="s">
        <v>50</v>
      </c>
      <c r="K29" s="14" t="s">
        <v>51</v>
      </c>
      <c r="L29" s="14" t="s">
        <v>60</v>
      </c>
      <c r="M29" s="25" t="s">
        <v>61</v>
      </c>
    </row>
    <row r="30" spans="2:17" ht="39.9" customHeight="1">
      <c r="B30" s="492" t="s">
        <v>27</v>
      </c>
      <c r="C30" s="23" t="s">
        <v>28</v>
      </c>
      <c r="D30" s="34">
        <v>320</v>
      </c>
      <c r="E30" s="34">
        <v>1100</v>
      </c>
      <c r="F30" s="34">
        <v>825</v>
      </c>
      <c r="G30" s="34">
        <v>900</v>
      </c>
      <c r="H30" s="47">
        <v>900</v>
      </c>
      <c r="I30" s="33">
        <v>680</v>
      </c>
      <c r="J30" s="34">
        <v>825</v>
      </c>
      <c r="K30" s="34">
        <v>900</v>
      </c>
      <c r="L30" s="34">
        <v>900</v>
      </c>
      <c r="M30" s="35">
        <v>900</v>
      </c>
    </row>
    <row r="31" spans="2:17" ht="39.9" customHeight="1">
      <c r="B31" s="493"/>
      <c r="C31" s="23" t="s">
        <v>29</v>
      </c>
      <c r="D31" s="15">
        <v>267.96428571428578</v>
      </c>
      <c r="E31" s="15">
        <v>913.61083233771512</v>
      </c>
      <c r="F31" s="15">
        <v>681.68267934895289</v>
      </c>
      <c r="G31" s="15">
        <v>0</v>
      </c>
      <c r="H31" s="48">
        <v>879.69228489916748</v>
      </c>
      <c r="I31" s="49">
        <v>0</v>
      </c>
      <c r="J31" s="15">
        <v>795.70714285713871</v>
      </c>
      <c r="K31" s="15">
        <v>778.06113636363625</v>
      </c>
      <c r="L31" s="15">
        <v>876.78142857619173</v>
      </c>
      <c r="M31" s="16">
        <v>0</v>
      </c>
    </row>
    <row r="32" spans="2:17" ht="39.9" customHeight="1">
      <c r="B32" s="494"/>
      <c r="C32" s="26" t="s">
        <v>30</v>
      </c>
      <c r="D32" s="17">
        <f t="shared" ref="D32:M32" si="1">D31/D30</f>
        <v>0.83738839285714306</v>
      </c>
      <c r="E32" s="17">
        <f t="shared" si="1"/>
        <v>0.83055530212519557</v>
      </c>
      <c r="F32" s="17">
        <f t="shared" si="1"/>
        <v>0.82628203557448832</v>
      </c>
      <c r="G32" s="17">
        <f t="shared" si="1"/>
        <v>0</v>
      </c>
      <c r="H32" s="50">
        <f t="shared" si="1"/>
        <v>0.97743587211018612</v>
      </c>
      <c r="I32" s="51">
        <f t="shared" si="1"/>
        <v>0</v>
      </c>
      <c r="J32" s="17">
        <f t="shared" si="1"/>
        <v>0.96449350649350141</v>
      </c>
      <c r="K32" s="17">
        <f t="shared" si="1"/>
        <v>0.86451237373737366</v>
      </c>
      <c r="L32" s="17">
        <f t="shared" si="1"/>
        <v>0.97420158730687967</v>
      </c>
      <c r="M32" s="18">
        <f t="shared" si="1"/>
        <v>0</v>
      </c>
    </row>
    <row r="33" spans="2:13" ht="25.75" customHeight="1">
      <c r="B33" s="495" t="s">
        <v>31</v>
      </c>
      <c r="C33" s="26" t="s">
        <v>32</v>
      </c>
      <c r="D33" s="36">
        <v>0.18055555555555555</v>
      </c>
      <c r="E33" s="36">
        <v>0.18055555555555555</v>
      </c>
      <c r="F33" s="36">
        <v>0.18055555555555555</v>
      </c>
      <c r="G33" s="36">
        <v>0</v>
      </c>
      <c r="H33" s="42">
        <v>0.18055555555555555</v>
      </c>
      <c r="I33" s="38">
        <v>0</v>
      </c>
      <c r="J33" s="36">
        <v>0.72222222222222221</v>
      </c>
      <c r="K33" s="36">
        <v>0.72222222222222221</v>
      </c>
      <c r="L33" s="36">
        <v>0.72222222222222221</v>
      </c>
      <c r="M33" s="37">
        <v>0</v>
      </c>
    </row>
    <row r="34" spans="2:13" ht="25.75" customHeight="1">
      <c r="B34" s="496"/>
      <c r="C34" s="26" t="s">
        <v>33</v>
      </c>
      <c r="D34" s="36">
        <v>0.22777777777777777</v>
      </c>
      <c r="E34" s="36">
        <v>0.41041666666666665</v>
      </c>
      <c r="F34" s="36">
        <v>0.3756944444444445</v>
      </c>
      <c r="G34" s="36">
        <v>0</v>
      </c>
      <c r="H34" s="42">
        <v>0.42708333333333331</v>
      </c>
      <c r="I34" s="38">
        <v>0.42708333333333331</v>
      </c>
      <c r="J34" s="36">
        <v>0.97569444444444453</v>
      </c>
      <c r="K34" s="36">
        <v>0.96875</v>
      </c>
      <c r="L34" s="36">
        <v>46028.048611111109</v>
      </c>
      <c r="M34" s="37">
        <v>0</v>
      </c>
    </row>
    <row r="35" spans="2:13" ht="25.75" customHeight="1">
      <c r="B35" s="497" t="s">
        <v>34</v>
      </c>
      <c r="C35" s="498"/>
      <c r="D35" s="52">
        <v>5.5</v>
      </c>
      <c r="E35" s="52">
        <v>3</v>
      </c>
      <c r="F35" s="52">
        <v>4</v>
      </c>
      <c r="G35" s="52">
        <v>0</v>
      </c>
      <c r="H35" s="53">
        <v>3.6666666666666665</v>
      </c>
      <c r="I35" s="54">
        <v>0</v>
      </c>
      <c r="J35" s="52">
        <v>3.6</v>
      </c>
      <c r="K35" s="52">
        <v>3.4</v>
      </c>
      <c r="L35" s="52">
        <v>3.6</v>
      </c>
      <c r="M35" s="55">
        <v>0</v>
      </c>
    </row>
    <row r="36" spans="2:13" ht="25.75" customHeight="1">
      <c r="B36" s="497" t="s">
        <v>35</v>
      </c>
      <c r="C36" s="498"/>
      <c r="D36" s="27" t="s">
        <v>49</v>
      </c>
      <c r="E36" s="27" t="s">
        <v>53</v>
      </c>
      <c r="F36" s="27" t="s">
        <v>53</v>
      </c>
      <c r="G36" s="27" t="s">
        <v>52</v>
      </c>
      <c r="H36" s="28" t="s">
        <v>52</v>
      </c>
      <c r="I36" s="29" t="s">
        <v>63</v>
      </c>
      <c r="J36" s="27" t="s">
        <v>53</v>
      </c>
      <c r="K36" s="27" t="s">
        <v>53</v>
      </c>
      <c r="L36" s="27" t="s">
        <v>52</v>
      </c>
      <c r="M36" s="30" t="s">
        <v>52</v>
      </c>
    </row>
    <row r="37" spans="2:13" ht="25.75" customHeight="1">
      <c r="B37" s="497" t="s">
        <v>41</v>
      </c>
      <c r="C37" s="498"/>
      <c r="D37" s="39"/>
      <c r="E37" s="39"/>
      <c r="F37" s="39"/>
      <c r="G37" s="39"/>
      <c r="H37" s="56"/>
      <c r="I37" s="41"/>
      <c r="J37" s="39"/>
      <c r="K37" s="39"/>
      <c r="L37" s="39"/>
      <c r="M37" s="40"/>
    </row>
    <row r="38" spans="2:13" ht="25.75" customHeight="1" thickBot="1">
      <c r="B38" s="499" t="s">
        <v>42</v>
      </c>
      <c r="C38" s="500"/>
      <c r="D38" s="43"/>
      <c r="E38" s="43"/>
      <c r="F38" s="44"/>
      <c r="G38" s="43"/>
      <c r="H38" s="57"/>
      <c r="I38" s="46"/>
      <c r="J38" s="43"/>
      <c r="K38" s="43"/>
      <c r="L38" s="43"/>
      <c r="M38" s="45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2">
    <mergeCell ref="L4:M4"/>
    <mergeCell ref="B1:M2"/>
    <mergeCell ref="B3:C3"/>
    <mergeCell ref="D3:E3"/>
    <mergeCell ref="F3:G3"/>
    <mergeCell ref="H3:I3"/>
    <mergeCell ref="J3:K3"/>
    <mergeCell ref="L3:M3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B26:C26"/>
    <mergeCell ref="B10:C10"/>
    <mergeCell ref="D10:Q10"/>
    <mergeCell ref="B11:C12"/>
    <mergeCell ref="B13:B15"/>
    <mergeCell ref="B16:B17"/>
    <mergeCell ref="B18:C19"/>
    <mergeCell ref="B20:C21"/>
    <mergeCell ref="B22:C22"/>
    <mergeCell ref="B23:C23"/>
    <mergeCell ref="B24:C24"/>
    <mergeCell ref="B25:C25"/>
    <mergeCell ref="D27:H27"/>
    <mergeCell ref="I27:M27"/>
    <mergeCell ref="B28:C29"/>
    <mergeCell ref="B30:B32"/>
    <mergeCell ref="B33:B34"/>
    <mergeCell ref="B35:C35"/>
    <mergeCell ref="B36:C36"/>
    <mergeCell ref="B37:C37"/>
    <mergeCell ref="B38:C38"/>
    <mergeCell ref="B27:C27"/>
  </mergeCells>
  <phoneticPr fontId="1" type="noConversion"/>
  <conditionalFormatting sqref="D32 F32:J32 L32">
    <cfRule type="cellIs" dxfId="3707" priority="6" operator="lessThan">
      <formula>0.8</formula>
    </cfRule>
  </conditionalFormatting>
  <conditionalFormatting sqref="M32">
    <cfRule type="cellIs" dxfId="3706" priority="5" operator="lessThan">
      <formula>0.8</formula>
    </cfRule>
  </conditionalFormatting>
  <conditionalFormatting sqref="K32">
    <cfRule type="cellIs" dxfId="3705" priority="4" operator="lessThan">
      <formula>0.8</formula>
    </cfRule>
  </conditionalFormatting>
  <conditionalFormatting sqref="E32">
    <cfRule type="cellIs" dxfId="3704" priority="3" operator="lessThan">
      <formula>0.8</formula>
    </cfRule>
  </conditionalFormatting>
  <conditionalFormatting sqref="D15:P15">
    <cfRule type="cellIs" dxfId="3703" priority="2" operator="lessThan">
      <formula>0.8</formula>
    </cfRule>
  </conditionalFormatting>
  <conditionalFormatting sqref="Q15">
    <cfRule type="cellIs" dxfId="3702" priority="1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6" zoomScale="85" zoomScaleNormal="85" workbookViewId="0">
      <selection activeCell="A5" sqref="A5:A16"/>
    </sheetView>
  </sheetViews>
  <sheetFormatPr defaultColWidth="7.90625" defaultRowHeight="15.5"/>
  <cols>
    <col min="1" max="1" width="13.6328125" style="362" customWidth="1"/>
    <col min="2" max="2" width="12.81640625" style="362" customWidth="1"/>
    <col min="3" max="3" width="12.81640625" style="486" hidden="1" customWidth="1"/>
    <col min="4" max="5" width="18.36328125" style="362" customWidth="1"/>
    <col min="6" max="6" width="9.81640625" style="473" customWidth="1"/>
    <col min="7" max="7" width="21.08984375" style="362" bestFit="1" customWidth="1"/>
    <col min="8" max="8" width="15.6328125" style="362" customWidth="1"/>
    <col min="9" max="9" width="12.1796875" style="362" bestFit="1" customWidth="1"/>
    <col min="10" max="15" width="9.81640625" style="362" customWidth="1"/>
    <col min="16" max="16" width="9.81640625" style="474" customWidth="1"/>
    <col min="17" max="18" width="9.81640625" style="362" customWidth="1"/>
    <col min="19" max="16384" width="7.90625" style="362"/>
  </cols>
  <sheetData>
    <row r="1" spans="1:18" ht="26.25" customHeight="1">
      <c r="A1" s="354" t="s">
        <v>287</v>
      </c>
      <c r="B1" s="479"/>
      <c r="C1" s="480"/>
      <c r="D1" s="481" t="s">
        <v>82</v>
      </c>
      <c r="E1" s="357">
        <f>SUM(G5:G124)</f>
        <v>77317</v>
      </c>
      <c r="F1" s="358" t="s">
        <v>2</v>
      </c>
      <c r="G1" s="359">
        <f>SUM(H5:H124)</f>
        <v>1455753.1602498274</v>
      </c>
      <c r="H1" s="360" t="s">
        <v>288</v>
      </c>
      <c r="I1" s="361">
        <f>+J16+J64+J24+J38+J51+J81+J100+J91+J57+J124+J111</f>
        <v>33.988888888888887</v>
      </c>
      <c r="J1" s="613" t="s">
        <v>289</v>
      </c>
      <c r="K1" s="614"/>
      <c r="L1" s="615"/>
      <c r="M1" s="613" t="s">
        <v>86</v>
      </c>
      <c r="N1" s="614"/>
      <c r="O1" s="614"/>
      <c r="P1" s="614"/>
      <c r="Q1" s="614"/>
      <c r="R1" s="615"/>
    </row>
    <row r="2" spans="1:18" ht="26.25" customHeight="1" thickBot="1">
      <c r="A2" s="619" t="s">
        <v>327</v>
      </c>
      <c r="B2" s="620"/>
      <c r="C2" s="364"/>
      <c r="D2" s="363" t="s">
        <v>87</v>
      </c>
      <c r="E2" s="365">
        <f>AVERAGE(L16,L24,L38,L51,L100,L111,L91)</f>
        <v>635.84836449868703</v>
      </c>
      <c r="F2" s="366" t="s">
        <v>88</v>
      </c>
      <c r="G2" s="367">
        <f>G1/E1</f>
        <v>18.828370995380414</v>
      </c>
      <c r="H2" s="368" t="s">
        <v>290</v>
      </c>
      <c r="I2" s="369">
        <f>COUNT(I5:I124)</f>
        <v>0</v>
      </c>
      <c r="J2" s="616"/>
      <c r="K2" s="617"/>
      <c r="L2" s="618"/>
      <c r="M2" s="616"/>
      <c r="N2" s="617"/>
      <c r="O2" s="617"/>
      <c r="P2" s="617"/>
      <c r="Q2" s="617"/>
      <c r="R2" s="618"/>
    </row>
    <row r="3" spans="1:18" ht="23.25" customHeight="1">
      <c r="A3" s="621" t="s">
        <v>90</v>
      </c>
      <c r="B3" s="714" t="s">
        <v>291</v>
      </c>
      <c r="C3" s="370"/>
      <c r="D3" s="623" t="s">
        <v>92</v>
      </c>
      <c r="E3" s="623"/>
      <c r="F3" s="624" t="s">
        <v>93</v>
      </c>
      <c r="G3" s="625" t="s">
        <v>292</v>
      </c>
      <c r="H3" s="626" t="s">
        <v>293</v>
      </c>
      <c r="I3" s="627" t="s">
        <v>96</v>
      </c>
      <c r="J3" s="596" t="s">
        <v>100</v>
      </c>
      <c r="K3" s="606" t="s">
        <v>99</v>
      </c>
      <c r="L3" s="608" t="s">
        <v>87</v>
      </c>
      <c r="M3" s="610" t="s">
        <v>101</v>
      </c>
      <c r="N3" s="610"/>
      <c r="O3" s="596" t="s">
        <v>254</v>
      </c>
      <c r="P3" s="611" t="s">
        <v>103</v>
      </c>
      <c r="Q3" s="596" t="s">
        <v>104</v>
      </c>
      <c r="R3" s="596"/>
    </row>
    <row r="4" spans="1:18" ht="15.75" customHeight="1">
      <c r="A4" s="622"/>
      <c r="B4" s="714"/>
      <c r="C4" s="370"/>
      <c r="D4" s="623"/>
      <c r="E4" s="623"/>
      <c r="F4" s="624"/>
      <c r="G4" s="625"/>
      <c r="H4" s="626"/>
      <c r="I4" s="628"/>
      <c r="J4" s="605"/>
      <c r="K4" s="607"/>
      <c r="L4" s="609"/>
      <c r="M4" s="371" t="s">
        <v>105</v>
      </c>
      <c r="N4" s="371" t="s">
        <v>106</v>
      </c>
      <c r="O4" s="605"/>
      <c r="P4" s="612"/>
      <c r="Q4" s="372" t="s">
        <v>107</v>
      </c>
      <c r="R4" s="372" t="s">
        <v>294</v>
      </c>
    </row>
    <row r="5" spans="1:18">
      <c r="A5" s="597" t="s">
        <v>295</v>
      </c>
      <c r="B5" s="373" t="s">
        <v>250</v>
      </c>
      <c r="C5" s="373"/>
      <c r="D5" s="376" t="s">
        <v>296</v>
      </c>
      <c r="E5" s="376"/>
      <c r="F5" s="377">
        <v>29.965493443754308</v>
      </c>
      <c r="G5" s="370">
        <v>2021</v>
      </c>
      <c r="H5" s="378">
        <f>F5*G5</f>
        <v>60560.262249827458</v>
      </c>
      <c r="I5" s="379"/>
      <c r="J5" s="380">
        <v>13</v>
      </c>
      <c r="K5" s="381">
        <f t="shared" ref="K5:K12" si="0">G5/P5*60</f>
        <v>1276.4210526315792</v>
      </c>
      <c r="L5" s="382">
        <f t="shared" ref="L5:L12" si="1">K5/J5</f>
        <v>98.186234817813784</v>
      </c>
      <c r="M5" s="383">
        <v>0.17361111111111113</v>
      </c>
      <c r="N5" s="383">
        <v>0.23958333333333334</v>
      </c>
      <c r="O5" s="372">
        <v>10</v>
      </c>
      <c r="P5" s="384">
        <f t="shared" ref="P5:P80" si="2">(N5-M5)*24*60</f>
        <v>94.999999999999986</v>
      </c>
      <c r="Q5" s="385"/>
      <c r="R5" s="385"/>
    </row>
    <row r="6" spans="1:18">
      <c r="A6" s="597"/>
      <c r="B6" s="373">
        <v>0</v>
      </c>
      <c r="C6" s="373"/>
      <c r="D6" s="376" t="s">
        <v>297</v>
      </c>
      <c r="E6" s="376"/>
      <c r="F6" s="377" t="s">
        <v>253</v>
      </c>
      <c r="G6" s="370">
        <v>1194</v>
      </c>
      <c r="H6" s="378">
        <f t="shared" ref="H6:H113" si="3">F6*G6</f>
        <v>0</v>
      </c>
      <c r="I6" s="379"/>
      <c r="J6" s="380">
        <v>9</v>
      </c>
      <c r="K6" s="381">
        <f t="shared" si="0"/>
        <v>1592.0000000000016</v>
      </c>
      <c r="L6" s="382">
        <f t="shared" si="1"/>
        <v>176.88888888888906</v>
      </c>
      <c r="M6" s="383">
        <v>0.24305555555555555</v>
      </c>
      <c r="N6" s="383">
        <v>0.27430555555555552</v>
      </c>
      <c r="O6" s="372">
        <v>5</v>
      </c>
      <c r="P6" s="384">
        <f t="shared" si="2"/>
        <v>44.999999999999957</v>
      </c>
      <c r="Q6" s="372"/>
      <c r="R6" s="372"/>
    </row>
    <row r="7" spans="1:18">
      <c r="A7" s="597"/>
      <c r="B7" s="373">
        <v>0</v>
      </c>
      <c r="C7" s="373"/>
      <c r="D7" s="376" t="s">
        <v>298</v>
      </c>
      <c r="E7" s="376"/>
      <c r="F7" s="377" t="s">
        <v>253</v>
      </c>
      <c r="G7" s="370">
        <v>1204</v>
      </c>
      <c r="H7" s="378">
        <f t="shared" si="3"/>
        <v>0</v>
      </c>
      <c r="I7" s="379"/>
      <c r="J7" s="380">
        <v>9</v>
      </c>
      <c r="K7" s="381">
        <f t="shared" si="0"/>
        <v>1444.8000000000004</v>
      </c>
      <c r="L7" s="382">
        <f t="shared" si="1"/>
        <v>160.53333333333339</v>
      </c>
      <c r="M7" s="383">
        <v>0.27777777777777779</v>
      </c>
      <c r="N7" s="383">
        <v>0.3125</v>
      </c>
      <c r="O7" s="372">
        <v>5</v>
      </c>
      <c r="P7" s="384">
        <f t="shared" si="2"/>
        <v>49.999999999999986</v>
      </c>
      <c r="Q7" s="385"/>
      <c r="R7" s="385"/>
    </row>
    <row r="8" spans="1:18">
      <c r="A8" s="597"/>
      <c r="B8" s="373" t="s">
        <v>250</v>
      </c>
      <c r="C8" s="373"/>
      <c r="D8" s="376" t="s">
        <v>299</v>
      </c>
      <c r="E8" s="376"/>
      <c r="F8" s="377">
        <v>19.7</v>
      </c>
      <c r="G8" s="370">
        <v>271</v>
      </c>
      <c r="H8" s="378">
        <f t="shared" si="3"/>
        <v>5338.7</v>
      </c>
      <c r="I8" s="379"/>
      <c r="J8" s="380">
        <v>10</v>
      </c>
      <c r="K8" s="381">
        <f t="shared" si="0"/>
        <v>1083.9999999999982</v>
      </c>
      <c r="L8" s="382">
        <f t="shared" si="1"/>
        <v>108.39999999999982</v>
      </c>
      <c r="M8" s="383">
        <v>0.31597222222222221</v>
      </c>
      <c r="N8" s="383">
        <v>0.3263888888888889</v>
      </c>
      <c r="O8" s="372">
        <v>5</v>
      </c>
      <c r="P8" s="384">
        <f t="shared" si="2"/>
        <v>15.000000000000027</v>
      </c>
      <c r="Q8" s="385">
        <v>0.3263888888888889</v>
      </c>
      <c r="R8" s="385">
        <v>0.36805555555555558</v>
      </c>
    </row>
    <row r="9" spans="1:18">
      <c r="A9" s="597"/>
      <c r="B9" s="373" t="s">
        <v>249</v>
      </c>
      <c r="C9" s="373"/>
      <c r="D9" s="376" t="s">
        <v>300</v>
      </c>
      <c r="E9" s="376"/>
      <c r="F9" s="377">
        <v>25.64</v>
      </c>
      <c r="G9" s="386">
        <v>479</v>
      </c>
      <c r="H9" s="378">
        <f t="shared" si="3"/>
        <v>12281.56</v>
      </c>
      <c r="I9" s="379"/>
      <c r="J9" s="380">
        <v>10</v>
      </c>
      <c r="K9" s="381">
        <f t="shared" si="0"/>
        <v>1437.000000000005</v>
      </c>
      <c r="L9" s="382">
        <f t="shared" si="1"/>
        <v>143.7000000000005</v>
      </c>
      <c r="M9" s="383">
        <v>0.36805555555555558</v>
      </c>
      <c r="N9" s="383">
        <v>0.38194444444444442</v>
      </c>
      <c r="O9" s="372">
        <v>5</v>
      </c>
      <c r="P9" s="384">
        <f t="shared" si="2"/>
        <v>19.999999999999929</v>
      </c>
      <c r="Q9" s="385"/>
      <c r="R9" s="385"/>
    </row>
    <row r="10" spans="1:18">
      <c r="A10" s="597"/>
      <c r="B10" s="373" t="s">
        <v>249</v>
      </c>
      <c r="C10" s="373"/>
      <c r="D10" s="376" t="s">
        <v>301</v>
      </c>
      <c r="E10" s="376"/>
      <c r="F10" s="377">
        <v>30.95</v>
      </c>
      <c r="G10" s="386">
        <v>1070</v>
      </c>
      <c r="H10" s="378">
        <f t="shared" si="3"/>
        <v>33116.5</v>
      </c>
      <c r="I10" s="379"/>
      <c r="J10" s="380">
        <v>15</v>
      </c>
      <c r="K10" s="381">
        <f t="shared" si="0"/>
        <v>1167.2727272727279</v>
      </c>
      <c r="L10" s="382">
        <f t="shared" si="1"/>
        <v>77.818181818181856</v>
      </c>
      <c r="M10" s="383">
        <v>0.38541666666666669</v>
      </c>
      <c r="N10" s="383">
        <v>0.4236111111111111</v>
      </c>
      <c r="O10" s="372">
        <v>5</v>
      </c>
      <c r="P10" s="384">
        <f t="shared" si="2"/>
        <v>54.999999999999964</v>
      </c>
      <c r="Q10" s="385"/>
      <c r="R10" s="385"/>
    </row>
    <row r="11" spans="1:18">
      <c r="A11" s="597"/>
      <c r="B11" s="373" t="s">
        <v>249</v>
      </c>
      <c r="C11" s="373"/>
      <c r="D11" s="376" t="s">
        <v>302</v>
      </c>
      <c r="E11" s="376"/>
      <c r="F11" s="377">
        <v>29.52</v>
      </c>
      <c r="G11" s="386">
        <v>1194</v>
      </c>
      <c r="H11" s="378">
        <f t="shared" si="3"/>
        <v>35246.879999999997</v>
      </c>
      <c r="I11" s="379"/>
      <c r="J11" s="380">
        <v>12</v>
      </c>
      <c r="K11" s="381">
        <f t="shared" si="0"/>
        <v>1790.9999999999995</v>
      </c>
      <c r="L11" s="382">
        <f t="shared" si="1"/>
        <v>149.24999999999997</v>
      </c>
      <c r="M11" s="383">
        <v>0.42708333333333331</v>
      </c>
      <c r="N11" s="383">
        <v>0.4548611111111111</v>
      </c>
      <c r="O11" s="372">
        <v>5</v>
      </c>
      <c r="P11" s="384">
        <f t="shared" si="2"/>
        <v>40.000000000000014</v>
      </c>
      <c r="Q11" s="385"/>
      <c r="R11" s="385"/>
    </row>
    <row r="12" spans="1:18">
      <c r="A12" s="598"/>
      <c r="B12" s="373" t="s">
        <v>249</v>
      </c>
      <c r="C12" s="373"/>
      <c r="D12" s="376" t="s">
        <v>255</v>
      </c>
      <c r="E12" s="376"/>
      <c r="F12" s="377">
        <v>29.856999999999999</v>
      </c>
      <c r="G12" s="386">
        <v>1204</v>
      </c>
      <c r="H12" s="378">
        <f t="shared" si="3"/>
        <v>35947.828000000001</v>
      </c>
      <c r="I12" s="379"/>
      <c r="J12" s="380">
        <v>12</v>
      </c>
      <c r="K12" s="381">
        <f t="shared" si="0"/>
        <v>1605.3333333333335</v>
      </c>
      <c r="L12" s="382">
        <f t="shared" si="1"/>
        <v>133.7777777777778</v>
      </c>
      <c r="M12" s="383">
        <v>0.45833333333333331</v>
      </c>
      <c r="N12" s="383">
        <v>0.48958333333333331</v>
      </c>
      <c r="O12" s="372">
        <v>5</v>
      </c>
      <c r="P12" s="384">
        <f t="shared" si="2"/>
        <v>45</v>
      </c>
      <c r="Q12" s="385"/>
      <c r="R12" s="385"/>
    </row>
    <row r="13" spans="1:18">
      <c r="A13" s="598"/>
      <c r="B13" s="373" t="s">
        <v>250</v>
      </c>
      <c r="C13" s="412"/>
      <c r="D13" s="591" t="s">
        <v>256</v>
      </c>
      <c r="E13" s="592"/>
      <c r="F13" s="377">
        <v>28.57</v>
      </c>
      <c r="G13" s="388">
        <v>1782</v>
      </c>
      <c r="H13" s="378">
        <f t="shared" si="3"/>
        <v>50911.74</v>
      </c>
      <c r="I13" s="379"/>
      <c r="J13" s="380">
        <v>8</v>
      </c>
      <c r="K13" s="381">
        <f>G13/P13*60</f>
        <v>1484.9999999999993</v>
      </c>
      <c r="L13" s="382">
        <f>K13/J13</f>
        <v>185.62499999999991</v>
      </c>
      <c r="M13" s="383">
        <v>0.24166666666666667</v>
      </c>
      <c r="N13" s="383">
        <v>0.29166666666666669</v>
      </c>
      <c r="O13" s="372">
        <v>20</v>
      </c>
      <c r="P13" s="384">
        <f t="shared" si="2"/>
        <v>72.000000000000028</v>
      </c>
      <c r="Q13" s="385"/>
      <c r="R13" s="372"/>
    </row>
    <row r="14" spans="1:18">
      <c r="A14" s="598"/>
      <c r="B14" s="373">
        <v>0</v>
      </c>
      <c r="C14" s="373"/>
      <c r="D14" s="376"/>
      <c r="E14" s="376"/>
      <c r="F14" s="377" t="s">
        <v>253</v>
      </c>
      <c r="G14" s="386"/>
      <c r="H14" s="378">
        <f t="shared" si="3"/>
        <v>0</v>
      </c>
      <c r="I14" s="379"/>
      <c r="J14" s="380"/>
      <c r="K14" s="381"/>
      <c r="L14" s="382"/>
      <c r="M14" s="383"/>
      <c r="N14" s="383"/>
      <c r="O14" s="372"/>
      <c r="P14" s="384">
        <f t="shared" si="2"/>
        <v>0</v>
      </c>
      <c r="Q14" s="372"/>
      <c r="R14" s="372"/>
    </row>
    <row r="15" spans="1:18">
      <c r="A15" s="598"/>
      <c r="B15" s="373">
        <v>0</v>
      </c>
      <c r="C15" s="373"/>
      <c r="D15" s="390"/>
      <c r="E15" s="390"/>
      <c r="F15" s="377" t="s">
        <v>253</v>
      </c>
      <c r="G15" s="386"/>
      <c r="H15" s="378">
        <f t="shared" si="3"/>
        <v>0</v>
      </c>
      <c r="I15" s="379"/>
      <c r="J15" s="380"/>
      <c r="K15" s="381"/>
      <c r="L15" s="382"/>
      <c r="M15" s="383"/>
      <c r="N15" s="383"/>
      <c r="O15" s="372"/>
      <c r="P15" s="384">
        <f t="shared" si="2"/>
        <v>0</v>
      </c>
      <c r="Q15" s="372"/>
      <c r="R15" s="372"/>
    </row>
    <row r="16" spans="1:18" ht="15.75" customHeight="1">
      <c r="A16" s="599"/>
      <c r="B16" s="373">
        <v>0</v>
      </c>
      <c r="C16" s="472" t="s">
        <v>257</v>
      </c>
      <c r="D16" s="583" t="s">
        <v>114</v>
      </c>
      <c r="E16" s="583"/>
      <c r="F16" s="392"/>
      <c r="G16" s="393"/>
      <c r="H16" s="394"/>
      <c r="I16" s="395"/>
      <c r="J16" s="396">
        <f>AVERAGE(J5:J15)</f>
        <v>10.888888888888889</v>
      </c>
      <c r="K16" s="396">
        <f>AVERAGE(K5:K15)</f>
        <v>1431.425234804183</v>
      </c>
      <c r="L16" s="397">
        <f>AVERAGE(L5:L15)</f>
        <v>137.13104629288847</v>
      </c>
      <c r="M16" s="383"/>
      <c r="N16" s="383"/>
      <c r="O16" s="381"/>
      <c r="P16" s="381"/>
      <c r="Q16" s="382"/>
      <c r="R16" s="382"/>
    </row>
    <row r="17" spans="1:18" ht="15.75" customHeight="1">
      <c r="A17" s="600" t="s">
        <v>258</v>
      </c>
      <c r="B17" s="373" t="s">
        <v>250</v>
      </c>
      <c r="C17" s="412"/>
      <c r="D17" s="603" t="s">
        <v>259</v>
      </c>
      <c r="E17" s="604"/>
      <c r="F17" s="377">
        <v>14.03</v>
      </c>
      <c r="G17" s="370">
        <v>489</v>
      </c>
      <c r="H17" s="399">
        <f t="shared" ref="H17:H23" si="4">F17*G17</f>
        <v>6860.67</v>
      </c>
      <c r="I17" s="400"/>
      <c r="J17" s="380">
        <v>6</v>
      </c>
      <c r="K17" s="381">
        <f>G17/P17*60</f>
        <v>1466.9999999999995</v>
      </c>
      <c r="L17" s="382">
        <f>K17/J17</f>
        <v>244.49999999999991</v>
      </c>
      <c r="M17" s="383">
        <v>0.18055555555555555</v>
      </c>
      <c r="N17" s="383">
        <v>0.19444444444444445</v>
      </c>
      <c r="O17" s="372">
        <v>20</v>
      </c>
      <c r="P17" s="384">
        <f>(N17-M17)*24*60</f>
        <v>20.000000000000007</v>
      </c>
      <c r="Q17" s="372"/>
      <c r="R17" s="372"/>
    </row>
    <row r="18" spans="1:18" ht="15.75" customHeight="1">
      <c r="A18" s="600"/>
      <c r="B18" s="373" t="s">
        <v>250</v>
      </c>
      <c r="C18" s="412"/>
      <c r="D18" s="591" t="s">
        <v>260</v>
      </c>
      <c r="E18" s="592"/>
      <c r="F18" s="377">
        <v>14.49</v>
      </c>
      <c r="G18" s="388">
        <v>680</v>
      </c>
      <c r="H18" s="378">
        <f t="shared" si="4"/>
        <v>9853.2000000000007</v>
      </c>
      <c r="I18" s="379"/>
      <c r="J18" s="380">
        <v>5</v>
      </c>
      <c r="K18" s="381">
        <f>G18/P18*60</f>
        <v>1457.1428571428582</v>
      </c>
      <c r="L18" s="382">
        <f>K18/J18</f>
        <v>291.42857142857167</v>
      </c>
      <c r="M18" s="383">
        <v>0.20833333333333334</v>
      </c>
      <c r="N18" s="383">
        <v>0.22777777777777777</v>
      </c>
      <c r="O18" s="372">
        <v>20</v>
      </c>
      <c r="P18" s="384">
        <f t="shared" ref="P18:P23" si="5">(N18-M18)*24*60</f>
        <v>27.999999999999979</v>
      </c>
      <c r="Q18" s="385"/>
      <c r="R18" s="385"/>
    </row>
    <row r="19" spans="1:18" ht="15.75" customHeight="1">
      <c r="A19" s="600"/>
      <c r="B19" s="373"/>
      <c r="C19" s="412"/>
      <c r="D19" s="591"/>
      <c r="E19" s="592"/>
      <c r="F19" s="377"/>
      <c r="G19" s="388"/>
      <c r="H19" s="378"/>
      <c r="I19" s="379"/>
      <c r="J19" s="380"/>
      <c r="K19" s="381"/>
      <c r="L19" s="382"/>
      <c r="M19" s="383"/>
      <c r="N19" s="383"/>
      <c r="O19" s="372"/>
      <c r="P19" s="384"/>
      <c r="Q19" s="385"/>
      <c r="R19" s="385"/>
    </row>
    <row r="20" spans="1:18" ht="15.75" customHeight="1">
      <c r="A20" s="601"/>
      <c r="B20" s="373">
        <v>0</v>
      </c>
      <c r="C20" s="412"/>
      <c r="D20" s="403"/>
      <c r="E20" s="404"/>
      <c r="F20" s="377" t="s">
        <v>253</v>
      </c>
      <c r="G20" s="388"/>
      <c r="H20" s="378">
        <f t="shared" si="4"/>
        <v>0</v>
      </c>
      <c r="I20" s="379"/>
      <c r="J20" s="380"/>
      <c r="K20" s="381"/>
      <c r="L20" s="382"/>
      <c r="M20" s="383"/>
      <c r="N20" s="383"/>
      <c r="O20" s="372"/>
      <c r="P20" s="384">
        <f t="shared" si="5"/>
        <v>0</v>
      </c>
      <c r="Q20" s="372"/>
      <c r="R20" s="372"/>
    </row>
    <row r="21" spans="1:18" ht="15.75" customHeight="1">
      <c r="A21" s="601"/>
      <c r="B21" s="373">
        <v>0</v>
      </c>
      <c r="C21" s="412"/>
      <c r="D21" s="403"/>
      <c r="E21" s="404"/>
      <c r="F21" s="377" t="s">
        <v>253</v>
      </c>
      <c r="G21" s="388"/>
      <c r="H21" s="378">
        <f t="shared" si="4"/>
        <v>0</v>
      </c>
      <c r="I21" s="379"/>
      <c r="J21" s="380"/>
      <c r="K21" s="381"/>
      <c r="L21" s="382"/>
      <c r="M21" s="383"/>
      <c r="N21" s="383"/>
      <c r="O21" s="372"/>
      <c r="P21" s="384">
        <f t="shared" si="5"/>
        <v>0</v>
      </c>
      <c r="Q21" s="372"/>
      <c r="R21" s="372"/>
    </row>
    <row r="22" spans="1:18" ht="15.75" customHeight="1">
      <c r="A22" s="601"/>
      <c r="B22" s="373">
        <v>0</v>
      </c>
      <c r="C22" s="412"/>
      <c r="D22" s="403"/>
      <c r="E22" s="404"/>
      <c r="F22" s="377" t="s">
        <v>253</v>
      </c>
      <c r="G22" s="388"/>
      <c r="H22" s="378">
        <f t="shared" si="4"/>
        <v>0</v>
      </c>
      <c r="I22" s="379"/>
      <c r="J22" s="380"/>
      <c r="K22" s="381"/>
      <c r="L22" s="382"/>
      <c r="M22" s="383"/>
      <c r="N22" s="383"/>
      <c r="O22" s="372"/>
      <c r="P22" s="384">
        <f t="shared" si="5"/>
        <v>0</v>
      </c>
      <c r="Q22" s="372"/>
      <c r="R22" s="372"/>
    </row>
    <row r="23" spans="1:18" ht="15.75" customHeight="1">
      <c r="A23" s="601"/>
      <c r="B23" s="373">
        <v>0</v>
      </c>
      <c r="C23" s="412"/>
      <c r="D23" s="403"/>
      <c r="E23" s="404"/>
      <c r="F23" s="377" t="s">
        <v>253</v>
      </c>
      <c r="G23" s="388"/>
      <c r="H23" s="378">
        <f t="shared" si="4"/>
        <v>0</v>
      </c>
      <c r="I23" s="379"/>
      <c r="J23" s="380"/>
      <c r="K23" s="381"/>
      <c r="L23" s="382"/>
      <c r="M23" s="383"/>
      <c r="N23" s="383"/>
      <c r="O23" s="372"/>
      <c r="P23" s="384">
        <f t="shared" si="5"/>
        <v>0</v>
      </c>
      <c r="Q23" s="372"/>
      <c r="R23" s="372"/>
    </row>
    <row r="24" spans="1:18" ht="17.399999999999999" customHeight="1">
      <c r="A24" s="602"/>
      <c r="B24" s="373">
        <v>0</v>
      </c>
      <c r="C24" s="12" t="s">
        <v>261</v>
      </c>
      <c r="D24" s="583" t="s">
        <v>114</v>
      </c>
      <c r="E24" s="583"/>
      <c r="F24" s="392"/>
      <c r="G24" s="405"/>
      <c r="H24" s="394"/>
      <c r="I24" s="395"/>
      <c r="J24" s="396">
        <f>AVERAGE(J17:J23)</f>
        <v>5.5</v>
      </c>
      <c r="K24" s="396">
        <f>AVERAGE(K17:K23)</f>
        <v>1462.0714285714289</v>
      </c>
      <c r="L24" s="397">
        <f>AVERAGE(L17:L23)</f>
        <v>267.96428571428578</v>
      </c>
      <c r="M24" s="383"/>
      <c r="N24" s="383"/>
      <c r="O24" s="372"/>
      <c r="P24" s="372"/>
      <c r="Q24" s="372"/>
      <c r="R24" s="372"/>
    </row>
    <row r="25" spans="1:18">
      <c r="A25" s="585" t="s">
        <v>262</v>
      </c>
      <c r="B25" s="373" t="s">
        <v>250</v>
      </c>
      <c r="C25" s="460"/>
      <c r="D25" s="411" t="s">
        <v>303</v>
      </c>
      <c r="E25" s="408"/>
      <c r="F25" s="377">
        <v>18.18</v>
      </c>
      <c r="G25" s="370">
        <v>819</v>
      </c>
      <c r="H25" s="378">
        <f t="shared" ref="H25:H37" si="6">F25*G25</f>
        <v>14889.42</v>
      </c>
      <c r="I25" s="379"/>
      <c r="J25" s="380">
        <v>3</v>
      </c>
      <c r="K25" s="381">
        <f t="shared" ref="K25:K29" si="7">G25/P25*60</f>
        <v>2730.0000000000036</v>
      </c>
      <c r="L25" s="382">
        <f t="shared" ref="L25:L29" si="8">K25/J25</f>
        <v>910.00000000000125</v>
      </c>
      <c r="M25" s="383">
        <v>0.18055555555555555</v>
      </c>
      <c r="N25" s="383">
        <v>0.19305555555555554</v>
      </c>
      <c r="O25" s="372">
        <v>20</v>
      </c>
      <c r="P25" s="384">
        <f t="shared" ref="P25:P37" si="9">(N25-M25)*24*60</f>
        <v>17.999999999999975</v>
      </c>
      <c r="Q25" s="385"/>
      <c r="R25" s="385"/>
    </row>
    <row r="26" spans="1:18">
      <c r="A26" s="585"/>
      <c r="B26" s="373" t="s">
        <v>250</v>
      </c>
      <c r="C26" s="460"/>
      <c r="D26" s="419" t="s">
        <v>304</v>
      </c>
      <c r="E26" s="411"/>
      <c r="F26" s="377">
        <v>18.18</v>
      </c>
      <c r="G26" s="370">
        <v>1412</v>
      </c>
      <c r="H26" s="378">
        <f t="shared" si="6"/>
        <v>25670.16</v>
      </c>
      <c r="I26" s="379"/>
      <c r="J26" s="380">
        <v>3</v>
      </c>
      <c r="K26" s="381">
        <f t="shared" si="7"/>
        <v>2732.903225806454</v>
      </c>
      <c r="L26" s="382">
        <f t="shared" si="8"/>
        <v>910.9677419354847</v>
      </c>
      <c r="M26" s="383">
        <v>0.20694444444444446</v>
      </c>
      <c r="N26" s="383">
        <v>0.22847222222222222</v>
      </c>
      <c r="O26" s="372">
        <v>20</v>
      </c>
      <c r="P26" s="384">
        <f t="shared" si="9"/>
        <v>30.999999999999972</v>
      </c>
      <c r="Q26" s="385"/>
      <c r="R26" s="385"/>
    </row>
    <row r="27" spans="1:18">
      <c r="A27" s="585"/>
      <c r="B27" s="373" t="s">
        <v>250</v>
      </c>
      <c r="C27" s="460"/>
      <c r="D27" s="419" t="s">
        <v>305</v>
      </c>
      <c r="E27" s="411"/>
      <c r="F27" s="377">
        <v>17.890909090909091</v>
      </c>
      <c r="G27" s="370">
        <v>1617</v>
      </c>
      <c r="H27" s="378">
        <f t="shared" si="6"/>
        <v>28929.599999999999</v>
      </c>
      <c r="I27" s="379"/>
      <c r="J27" s="380">
        <v>3</v>
      </c>
      <c r="K27" s="381">
        <f t="shared" si="7"/>
        <v>2772.0000000000005</v>
      </c>
      <c r="L27" s="382">
        <f t="shared" si="8"/>
        <v>924.00000000000011</v>
      </c>
      <c r="M27" s="383">
        <v>0.24236111111111111</v>
      </c>
      <c r="N27" s="383">
        <v>0.26666666666666666</v>
      </c>
      <c r="O27" s="372">
        <v>20</v>
      </c>
      <c r="P27" s="384">
        <f t="shared" si="9"/>
        <v>34.999999999999993</v>
      </c>
      <c r="Q27" s="385">
        <v>0.26666666666666666</v>
      </c>
      <c r="R27" s="385">
        <v>0.30833333333333335</v>
      </c>
    </row>
    <row r="28" spans="1:18">
      <c r="A28" s="585"/>
      <c r="B28" s="373" t="s">
        <v>250</v>
      </c>
      <c r="C28" s="412"/>
      <c r="D28" s="419" t="s">
        <v>306</v>
      </c>
      <c r="E28" s="413"/>
      <c r="F28" s="377">
        <v>21.45</v>
      </c>
      <c r="G28" s="370">
        <v>1076</v>
      </c>
      <c r="H28" s="378">
        <f t="shared" si="6"/>
        <v>23080.2</v>
      </c>
      <c r="I28" s="379"/>
      <c r="J28" s="380">
        <v>3</v>
      </c>
      <c r="K28" s="381">
        <f t="shared" si="7"/>
        <v>2690.0000000000095</v>
      </c>
      <c r="L28" s="382">
        <f t="shared" si="8"/>
        <v>896.66666666666981</v>
      </c>
      <c r="M28" s="383">
        <v>0.32222222222222224</v>
      </c>
      <c r="N28" s="383">
        <v>0.33888888888888885</v>
      </c>
      <c r="O28" s="372">
        <v>20</v>
      </c>
      <c r="P28" s="384">
        <f t="shared" si="9"/>
        <v>23.999999999999915</v>
      </c>
      <c r="Q28" s="385"/>
      <c r="R28" s="385"/>
    </row>
    <row r="29" spans="1:18">
      <c r="A29" s="585"/>
      <c r="B29" s="373" t="s">
        <v>249</v>
      </c>
      <c r="C29" s="370"/>
      <c r="D29" s="419" t="s">
        <v>263</v>
      </c>
      <c r="E29" s="413"/>
      <c r="F29" s="377">
        <v>18.53</v>
      </c>
      <c r="G29" s="370">
        <v>3752</v>
      </c>
      <c r="H29" s="378">
        <f t="shared" si="6"/>
        <v>69524.56</v>
      </c>
      <c r="I29" s="379"/>
      <c r="J29" s="380">
        <v>3</v>
      </c>
      <c r="K29" s="381">
        <f t="shared" si="7"/>
        <v>2779.2592592592605</v>
      </c>
      <c r="L29" s="382">
        <f t="shared" si="8"/>
        <v>926.4197530864202</v>
      </c>
      <c r="M29" s="383">
        <v>0.35416666666666669</v>
      </c>
      <c r="N29" s="383">
        <v>0.41041666666666665</v>
      </c>
      <c r="O29" s="372">
        <v>20</v>
      </c>
      <c r="P29" s="384">
        <f t="shared" si="9"/>
        <v>80.999999999999957</v>
      </c>
      <c r="Q29" s="385"/>
      <c r="R29" s="385"/>
    </row>
    <row r="30" spans="1:18">
      <c r="A30" s="585"/>
      <c r="B30" s="373"/>
      <c r="C30" s="370"/>
      <c r="D30" s="419"/>
      <c r="E30" s="413"/>
      <c r="F30" s="377"/>
      <c r="G30" s="370"/>
      <c r="H30" s="378">
        <f t="shared" si="6"/>
        <v>0</v>
      </c>
      <c r="I30" s="379"/>
      <c r="J30" s="380"/>
      <c r="K30" s="381"/>
      <c r="L30" s="382"/>
      <c r="M30" s="383"/>
      <c r="N30" s="383"/>
      <c r="O30" s="372"/>
      <c r="P30" s="384">
        <f t="shared" si="9"/>
        <v>0</v>
      </c>
      <c r="Q30" s="385"/>
      <c r="R30" s="385"/>
    </row>
    <row r="31" spans="1:18" ht="15.75" customHeight="1">
      <c r="A31" s="585"/>
      <c r="B31" s="373">
        <v>0</v>
      </c>
      <c r="C31" s="412"/>
      <c r="D31" s="411"/>
      <c r="E31" s="413"/>
      <c r="F31" s="377" t="s">
        <v>253</v>
      </c>
      <c r="G31" s="370"/>
      <c r="H31" s="378">
        <f t="shared" si="6"/>
        <v>0</v>
      </c>
      <c r="I31" s="379"/>
      <c r="J31" s="380"/>
      <c r="K31" s="381"/>
      <c r="L31" s="382"/>
      <c r="M31" s="383"/>
      <c r="N31" s="383"/>
      <c r="O31" s="372"/>
      <c r="P31" s="384">
        <f t="shared" si="9"/>
        <v>0</v>
      </c>
      <c r="Q31" s="385"/>
      <c r="R31" s="385"/>
    </row>
    <row r="32" spans="1:18">
      <c r="A32" s="585"/>
      <c r="B32" s="373">
        <v>0</v>
      </c>
      <c r="C32" s="412"/>
      <c r="D32" s="419"/>
      <c r="E32" s="404"/>
      <c r="F32" s="377" t="s">
        <v>253</v>
      </c>
      <c r="G32" s="370"/>
      <c r="H32" s="378">
        <f t="shared" si="6"/>
        <v>0</v>
      </c>
      <c r="I32" s="379"/>
      <c r="J32" s="380"/>
      <c r="K32" s="381"/>
      <c r="L32" s="382"/>
      <c r="M32" s="383"/>
      <c r="N32" s="383"/>
      <c r="O32" s="372"/>
      <c r="P32" s="384">
        <f t="shared" si="9"/>
        <v>0</v>
      </c>
      <c r="Q32" s="385"/>
      <c r="R32" s="385"/>
    </row>
    <row r="33" spans="1:18">
      <c r="A33" s="585"/>
      <c r="B33" s="373">
        <v>0</v>
      </c>
      <c r="C33" s="370"/>
      <c r="D33" s="419"/>
      <c r="E33" s="413"/>
      <c r="F33" s="377" t="s">
        <v>253</v>
      </c>
      <c r="G33" s="370"/>
      <c r="H33" s="378">
        <f t="shared" si="6"/>
        <v>0</v>
      </c>
      <c r="I33" s="379"/>
      <c r="J33" s="380"/>
      <c r="K33" s="381"/>
      <c r="L33" s="382"/>
      <c r="M33" s="383"/>
      <c r="N33" s="383"/>
      <c r="O33" s="372"/>
      <c r="P33" s="384">
        <f t="shared" si="9"/>
        <v>0</v>
      </c>
      <c r="Q33" s="385"/>
      <c r="R33" s="385"/>
    </row>
    <row r="34" spans="1:18">
      <c r="A34" s="585"/>
      <c r="B34" s="373">
        <v>0</v>
      </c>
      <c r="C34" s="460"/>
      <c r="D34" s="419"/>
      <c r="E34" s="413"/>
      <c r="F34" s="377" t="s">
        <v>253</v>
      </c>
      <c r="G34" s="417"/>
      <c r="H34" s="378">
        <f t="shared" si="6"/>
        <v>0</v>
      </c>
      <c r="I34" s="379"/>
      <c r="J34" s="380"/>
      <c r="K34" s="381"/>
      <c r="L34" s="382"/>
      <c r="M34" s="383"/>
      <c r="N34" s="383"/>
      <c r="O34" s="372"/>
      <c r="P34" s="384">
        <f t="shared" si="9"/>
        <v>0</v>
      </c>
      <c r="Q34" s="385"/>
      <c r="R34" s="385"/>
    </row>
    <row r="35" spans="1:18">
      <c r="A35" s="585"/>
      <c r="B35" s="373">
        <v>0</v>
      </c>
      <c r="C35" s="460"/>
      <c r="D35" s="419"/>
      <c r="E35" s="413"/>
      <c r="F35" s="377" t="s">
        <v>253</v>
      </c>
      <c r="G35" s="417"/>
      <c r="H35" s="378">
        <f t="shared" si="6"/>
        <v>0</v>
      </c>
      <c r="I35" s="379"/>
      <c r="J35" s="380"/>
      <c r="K35" s="381"/>
      <c r="L35" s="382"/>
      <c r="M35" s="383"/>
      <c r="N35" s="383"/>
      <c r="O35" s="372"/>
      <c r="P35" s="384">
        <f t="shared" si="9"/>
        <v>0</v>
      </c>
      <c r="Q35" s="385"/>
      <c r="R35" s="385"/>
    </row>
    <row r="36" spans="1:18">
      <c r="A36" s="585"/>
      <c r="B36" s="373">
        <v>0</v>
      </c>
      <c r="C36" s="460"/>
      <c r="D36" s="419"/>
      <c r="E36" s="419"/>
      <c r="F36" s="377" t="s">
        <v>253</v>
      </c>
      <c r="G36" s="417"/>
      <c r="H36" s="378">
        <f t="shared" si="6"/>
        <v>0</v>
      </c>
      <c r="I36" s="379"/>
      <c r="J36" s="380"/>
      <c r="K36" s="381"/>
      <c r="L36" s="382"/>
      <c r="M36" s="383"/>
      <c r="N36" s="383"/>
      <c r="O36" s="372"/>
      <c r="P36" s="384">
        <f t="shared" si="9"/>
        <v>0</v>
      </c>
      <c r="Q36" s="385"/>
      <c r="R36" s="385"/>
    </row>
    <row r="37" spans="1:18">
      <c r="A37" s="585"/>
      <c r="B37" s="373">
        <v>0</v>
      </c>
      <c r="C37" s="460"/>
      <c r="D37" s="411"/>
      <c r="E37" s="411"/>
      <c r="F37" s="377" t="s">
        <v>253</v>
      </c>
      <c r="G37" s="417"/>
      <c r="H37" s="378">
        <f t="shared" si="6"/>
        <v>0</v>
      </c>
      <c r="I37" s="379"/>
      <c r="J37" s="380"/>
      <c r="K37" s="381"/>
      <c r="L37" s="382"/>
      <c r="M37" s="383"/>
      <c r="N37" s="383"/>
      <c r="O37" s="372"/>
      <c r="P37" s="384">
        <f t="shared" si="9"/>
        <v>0</v>
      </c>
      <c r="Q37" s="385"/>
      <c r="R37" s="385"/>
    </row>
    <row r="38" spans="1:18" ht="17.399999999999999" customHeight="1">
      <c r="A38" s="586"/>
      <c r="B38" s="373">
        <v>0</v>
      </c>
      <c r="C38" s="12" t="s">
        <v>50</v>
      </c>
      <c r="D38" s="578" t="s">
        <v>264</v>
      </c>
      <c r="E38" s="578"/>
      <c r="F38" s="392"/>
      <c r="G38" s="420"/>
      <c r="H38" s="394"/>
      <c r="I38" s="395"/>
      <c r="J38" s="396">
        <f>AVERAGE(J25:J37)</f>
        <v>3</v>
      </c>
      <c r="K38" s="396">
        <f>AVERAGE(K25:K37)</f>
        <v>2740.8324970131457</v>
      </c>
      <c r="L38" s="397">
        <f>AVERAGE(L25:L37)</f>
        <v>913.61083233771512</v>
      </c>
      <c r="M38" s="383"/>
      <c r="N38" s="383"/>
      <c r="O38" s="381"/>
      <c r="P38" s="381"/>
      <c r="Q38" s="382"/>
      <c r="R38" s="382"/>
    </row>
    <row r="39" spans="1:18" ht="16.25" customHeight="1">
      <c r="A39" s="587" t="s">
        <v>265</v>
      </c>
      <c r="B39" s="373" t="s">
        <v>250</v>
      </c>
      <c r="C39" s="412"/>
      <c r="D39" s="403" t="s">
        <v>266</v>
      </c>
      <c r="E39" s="404"/>
      <c r="F39" s="377">
        <v>22.281818181818181</v>
      </c>
      <c r="G39" s="370">
        <v>570</v>
      </c>
      <c r="H39" s="378">
        <f t="shared" ref="H39:H47" si="10">F39*G39</f>
        <v>12700.636363636364</v>
      </c>
      <c r="I39" s="379"/>
      <c r="J39" s="380">
        <v>4</v>
      </c>
      <c r="K39" s="381">
        <f>G39/P39*60</f>
        <v>2630.7692307692323</v>
      </c>
      <c r="L39" s="382">
        <f>K39/J39</f>
        <v>657.69230769230808</v>
      </c>
      <c r="M39" s="383">
        <v>0.18055555555555555</v>
      </c>
      <c r="N39" s="383">
        <v>0.18958333333333333</v>
      </c>
      <c r="O39" s="372">
        <v>20</v>
      </c>
      <c r="P39" s="423">
        <f t="shared" ref="P39:P50" si="11">(N39-M39)*24*60</f>
        <v>12.999999999999993</v>
      </c>
      <c r="Q39" s="385"/>
      <c r="R39" s="385"/>
    </row>
    <row r="40" spans="1:18">
      <c r="A40" s="588"/>
      <c r="B40" s="373" t="s">
        <v>250</v>
      </c>
      <c r="C40" s="412"/>
      <c r="D40" s="403" t="s">
        <v>267</v>
      </c>
      <c r="E40" s="404"/>
      <c r="F40" s="377">
        <v>16.66</v>
      </c>
      <c r="G40" s="370">
        <v>2437</v>
      </c>
      <c r="H40" s="378">
        <f t="shared" si="10"/>
        <v>40600.42</v>
      </c>
      <c r="I40" s="379"/>
      <c r="J40" s="380">
        <v>4</v>
      </c>
      <c r="K40" s="381">
        <f>G40/P40*60</f>
        <v>2758.8679245282992</v>
      </c>
      <c r="L40" s="382">
        <f>K40/J40</f>
        <v>689.71698113207481</v>
      </c>
      <c r="M40" s="383">
        <v>0.20347222222222219</v>
      </c>
      <c r="N40" s="383">
        <v>0.24027777777777778</v>
      </c>
      <c r="O40" s="372">
        <v>20</v>
      </c>
      <c r="P40" s="423">
        <f t="shared" si="11"/>
        <v>53.00000000000005</v>
      </c>
      <c r="Q40" s="385">
        <v>0.24027777777777778</v>
      </c>
      <c r="R40" s="385">
        <v>0.28194444444444444</v>
      </c>
    </row>
    <row r="41" spans="1:18">
      <c r="A41" s="588"/>
      <c r="B41" s="373" t="s">
        <v>250</v>
      </c>
      <c r="C41" s="412"/>
      <c r="D41" s="403" t="s">
        <v>268</v>
      </c>
      <c r="E41" s="404"/>
      <c r="F41" s="377">
        <v>18.18</v>
      </c>
      <c r="G41" s="370">
        <v>2723</v>
      </c>
      <c r="H41" s="378">
        <f t="shared" si="10"/>
        <v>49504.14</v>
      </c>
      <c r="I41" s="379"/>
      <c r="J41" s="380">
        <v>4</v>
      </c>
      <c r="K41" s="381">
        <f t="shared" ref="K41:K42" si="12">G41/P41*60</f>
        <v>2723.0000000000027</v>
      </c>
      <c r="L41" s="382">
        <f t="shared" ref="L41:L42" si="13">K41/J41</f>
        <v>680.75000000000068</v>
      </c>
      <c r="M41" s="383">
        <v>0.29583333333333334</v>
      </c>
      <c r="N41" s="383">
        <v>0.33749999999999997</v>
      </c>
      <c r="O41" s="372">
        <v>20</v>
      </c>
      <c r="P41" s="423">
        <f t="shared" si="11"/>
        <v>59.999999999999943</v>
      </c>
      <c r="Q41" s="385"/>
      <c r="R41" s="385"/>
    </row>
    <row r="42" spans="1:18">
      <c r="A42" s="588"/>
      <c r="B42" s="373" t="s">
        <v>250</v>
      </c>
      <c r="C42" s="412"/>
      <c r="D42" s="403" t="s">
        <v>307</v>
      </c>
      <c r="E42" s="404"/>
      <c r="F42" s="377">
        <v>15.15</v>
      </c>
      <c r="G42" s="370">
        <v>1630</v>
      </c>
      <c r="H42" s="378">
        <f t="shared" si="10"/>
        <v>24694.5</v>
      </c>
      <c r="I42" s="379"/>
      <c r="J42" s="380">
        <v>4</v>
      </c>
      <c r="K42" s="381">
        <f t="shared" si="12"/>
        <v>2794.2857142857115</v>
      </c>
      <c r="L42" s="382">
        <f t="shared" si="13"/>
        <v>698.57142857142787</v>
      </c>
      <c r="M42" s="383">
        <v>0.35138888888888892</v>
      </c>
      <c r="N42" s="383">
        <v>0.3756944444444445</v>
      </c>
      <c r="O42" s="372">
        <v>20</v>
      </c>
      <c r="P42" s="423">
        <f t="shared" si="11"/>
        <v>35.000000000000036</v>
      </c>
      <c r="Q42" s="385"/>
      <c r="R42" s="385"/>
    </row>
    <row r="43" spans="1:18" ht="15.75" customHeight="1">
      <c r="A43" s="588"/>
      <c r="B43" s="373">
        <v>0</v>
      </c>
      <c r="C43" s="412"/>
      <c r="D43" s="482"/>
      <c r="E43" s="404"/>
      <c r="F43" s="377" t="s">
        <v>253</v>
      </c>
      <c r="G43" s="370"/>
      <c r="H43" s="378">
        <f t="shared" si="10"/>
        <v>0</v>
      </c>
      <c r="I43" s="379"/>
      <c r="J43" s="380"/>
      <c r="K43" s="381"/>
      <c r="L43" s="382"/>
      <c r="M43" s="383"/>
      <c r="N43" s="383"/>
      <c r="O43" s="372"/>
      <c r="P43" s="384">
        <f t="shared" si="11"/>
        <v>0</v>
      </c>
      <c r="Q43" s="385"/>
      <c r="R43" s="385"/>
    </row>
    <row r="44" spans="1:18">
      <c r="A44" s="588"/>
      <c r="B44" s="373">
        <v>0</v>
      </c>
      <c r="C44" s="412"/>
      <c r="D44" s="482"/>
      <c r="E44" s="427"/>
      <c r="F44" s="377" t="s">
        <v>253</v>
      </c>
      <c r="G44" s="428"/>
      <c r="H44" s="429">
        <f t="shared" si="10"/>
        <v>0</v>
      </c>
      <c r="I44" s="430"/>
      <c r="J44" s="380"/>
      <c r="K44" s="381"/>
      <c r="L44" s="382"/>
      <c r="M44" s="383"/>
      <c r="N44" s="383"/>
      <c r="O44" s="372"/>
      <c r="P44" s="384">
        <f t="shared" si="11"/>
        <v>0</v>
      </c>
      <c r="Q44" s="385"/>
      <c r="R44" s="385"/>
    </row>
    <row r="45" spans="1:18">
      <c r="A45" s="588"/>
      <c r="B45" s="373">
        <v>0</v>
      </c>
      <c r="C45" s="412"/>
      <c r="D45" s="419"/>
      <c r="E45" s="413"/>
      <c r="F45" s="377" t="s">
        <v>253</v>
      </c>
      <c r="G45" s="370"/>
      <c r="H45" s="378">
        <f t="shared" si="10"/>
        <v>0</v>
      </c>
      <c r="I45" s="379"/>
      <c r="J45" s="380"/>
      <c r="K45" s="381"/>
      <c r="L45" s="382"/>
      <c r="M45" s="383"/>
      <c r="N45" s="383"/>
      <c r="O45" s="372"/>
      <c r="P45" s="384">
        <f t="shared" si="11"/>
        <v>0</v>
      </c>
      <c r="Q45" s="385"/>
      <c r="R45" s="385"/>
    </row>
    <row r="46" spans="1:18">
      <c r="A46" s="588"/>
      <c r="B46" s="373">
        <v>0</v>
      </c>
      <c r="C46" s="412"/>
      <c r="D46" s="482"/>
      <c r="E46" s="427"/>
      <c r="F46" s="377" t="s">
        <v>253</v>
      </c>
      <c r="G46" s="428"/>
      <c r="H46" s="429">
        <f t="shared" si="10"/>
        <v>0</v>
      </c>
      <c r="I46" s="430"/>
      <c r="J46" s="380"/>
      <c r="K46" s="381"/>
      <c r="L46" s="382"/>
      <c r="M46" s="383"/>
      <c r="N46" s="383"/>
      <c r="O46" s="372"/>
      <c r="P46" s="384">
        <f t="shared" si="11"/>
        <v>0</v>
      </c>
      <c r="Q46" s="385"/>
      <c r="R46" s="385"/>
    </row>
    <row r="47" spans="1:18">
      <c r="A47" s="588"/>
      <c r="B47" s="373">
        <v>0</v>
      </c>
      <c r="C47" s="412"/>
      <c r="D47" s="419"/>
      <c r="E47" s="413"/>
      <c r="F47" s="377" t="s">
        <v>253</v>
      </c>
      <c r="G47" s="370"/>
      <c r="H47" s="378">
        <f t="shared" si="10"/>
        <v>0</v>
      </c>
      <c r="I47" s="379"/>
      <c r="J47" s="380"/>
      <c r="K47" s="381"/>
      <c r="L47" s="382"/>
      <c r="M47" s="383"/>
      <c r="N47" s="383"/>
      <c r="O47" s="372"/>
      <c r="P47" s="384">
        <f t="shared" si="11"/>
        <v>0</v>
      </c>
      <c r="Q47" s="385"/>
      <c r="R47" s="385"/>
    </row>
    <row r="48" spans="1:18">
      <c r="A48" s="589"/>
      <c r="B48" s="373">
        <v>0</v>
      </c>
      <c r="C48" s="370"/>
      <c r="D48" s="591"/>
      <c r="E48" s="592"/>
      <c r="F48" s="377" t="s">
        <v>253</v>
      </c>
      <c r="G48" s="370"/>
      <c r="H48" s="378"/>
      <c r="I48" s="379"/>
      <c r="J48" s="380"/>
      <c r="K48" s="381"/>
      <c r="L48" s="382"/>
      <c r="M48" s="383"/>
      <c r="N48" s="383"/>
      <c r="O48" s="372"/>
      <c r="P48" s="384">
        <f t="shared" si="11"/>
        <v>0</v>
      </c>
      <c r="Q48" s="385"/>
      <c r="R48" s="385"/>
    </row>
    <row r="49" spans="1:18">
      <c r="A49" s="589"/>
      <c r="B49" s="373">
        <v>0</v>
      </c>
      <c r="C49" s="370"/>
      <c r="D49" s="483"/>
      <c r="E49" s="434"/>
      <c r="F49" s="377" t="s">
        <v>253</v>
      </c>
      <c r="G49" s="372"/>
      <c r="H49" s="429">
        <f>F49*G49</f>
        <v>0</v>
      </c>
      <c r="I49" s="384"/>
      <c r="J49" s="380"/>
      <c r="K49" s="381"/>
      <c r="L49" s="382"/>
      <c r="M49" s="383"/>
      <c r="N49" s="383"/>
      <c r="O49" s="372"/>
      <c r="P49" s="384">
        <f t="shared" si="11"/>
        <v>0</v>
      </c>
      <c r="Q49" s="385"/>
      <c r="R49" s="385"/>
    </row>
    <row r="50" spans="1:18">
      <c r="A50" s="589"/>
      <c r="B50" s="373">
        <v>0</v>
      </c>
      <c r="C50" s="370"/>
      <c r="D50" s="483"/>
      <c r="E50" s="434"/>
      <c r="F50" s="377" t="s">
        <v>253</v>
      </c>
      <c r="G50" s="372"/>
      <c r="H50" s="429">
        <f>F50*G50</f>
        <v>0</v>
      </c>
      <c r="I50" s="384"/>
      <c r="J50" s="380"/>
      <c r="K50" s="381"/>
      <c r="L50" s="382"/>
      <c r="M50" s="383"/>
      <c r="N50" s="383"/>
      <c r="O50" s="372"/>
      <c r="P50" s="384">
        <f t="shared" si="11"/>
        <v>0</v>
      </c>
      <c r="Q50" s="385"/>
      <c r="R50" s="385"/>
    </row>
    <row r="51" spans="1:18" ht="15.75" customHeight="1">
      <c r="A51" s="590"/>
      <c r="B51" s="373">
        <v>0</v>
      </c>
      <c r="C51" s="12" t="s">
        <v>51</v>
      </c>
      <c r="D51" s="583" t="s">
        <v>114</v>
      </c>
      <c r="E51" s="583"/>
      <c r="F51" s="392"/>
      <c r="G51" s="397"/>
      <c r="H51" s="436"/>
      <c r="I51" s="437"/>
      <c r="J51" s="396">
        <f>AVERAGE(J39:J50)</f>
        <v>4</v>
      </c>
      <c r="K51" s="396">
        <f>AVERAGE(K39:K50)</f>
        <v>2726.7307173958116</v>
      </c>
      <c r="L51" s="397">
        <f>AVERAGE(L39:L50)</f>
        <v>681.68267934895289</v>
      </c>
      <c r="M51" s="438"/>
      <c r="N51" s="383"/>
      <c r="O51" s="381"/>
      <c r="P51" s="381"/>
      <c r="Q51" s="382"/>
      <c r="R51" s="382"/>
    </row>
    <row r="52" spans="1:18" ht="15.65" customHeight="1">
      <c r="A52" s="593" t="s">
        <v>269</v>
      </c>
      <c r="B52" s="373">
        <v>0</v>
      </c>
      <c r="C52" s="412"/>
      <c r="D52" s="411"/>
      <c r="E52" s="439"/>
      <c r="F52" s="377" t="s">
        <v>253</v>
      </c>
      <c r="G52" s="370"/>
      <c r="H52" s="378">
        <f>F52*G52</f>
        <v>0</v>
      </c>
      <c r="I52" s="379"/>
      <c r="J52" s="380">
        <v>0</v>
      </c>
      <c r="K52" s="381">
        <v>0</v>
      </c>
      <c r="L52" s="382">
        <v>0</v>
      </c>
      <c r="M52" s="383"/>
      <c r="N52" s="383"/>
      <c r="O52" s="381"/>
      <c r="P52" s="384">
        <f>(N52-M52)*24*60</f>
        <v>0</v>
      </c>
      <c r="Q52" s="385"/>
      <c r="R52" s="385"/>
    </row>
    <row r="53" spans="1:18" ht="15.65" customHeight="1">
      <c r="A53" s="594"/>
      <c r="B53" s="373">
        <v>0</v>
      </c>
      <c r="C53" s="412"/>
      <c r="D53" s="411"/>
      <c r="E53" s="441"/>
      <c r="F53" s="377" t="s">
        <v>253</v>
      </c>
      <c r="G53" s="386"/>
      <c r="H53" s="378">
        <f t="shared" ref="H53:H62" si="14">F53*G53</f>
        <v>0</v>
      </c>
      <c r="I53" s="379"/>
      <c r="J53" s="380"/>
      <c r="K53" s="381"/>
      <c r="L53" s="382"/>
      <c r="M53" s="383"/>
      <c r="N53" s="383"/>
      <c r="O53" s="381"/>
      <c r="P53" s="384">
        <f t="shared" ref="P53:P63" si="15">(N53-M53)*24*60</f>
        <v>0</v>
      </c>
      <c r="Q53" s="385"/>
      <c r="R53" s="385"/>
    </row>
    <row r="54" spans="1:18" ht="15.65" customHeight="1">
      <c r="A54" s="594"/>
      <c r="B54" s="373">
        <v>0</v>
      </c>
      <c r="C54" s="412"/>
      <c r="D54" s="411"/>
      <c r="E54" s="404"/>
      <c r="F54" s="377" t="s">
        <v>253</v>
      </c>
      <c r="G54" s="386"/>
      <c r="H54" s="378">
        <f t="shared" si="14"/>
        <v>0</v>
      </c>
      <c r="I54" s="379"/>
      <c r="J54" s="380"/>
      <c r="K54" s="381"/>
      <c r="L54" s="382"/>
      <c r="M54" s="383"/>
      <c r="N54" s="383"/>
      <c r="O54" s="381"/>
      <c r="P54" s="384">
        <f t="shared" si="15"/>
        <v>0</v>
      </c>
      <c r="Q54" s="385"/>
      <c r="R54" s="385"/>
    </row>
    <row r="55" spans="1:18" ht="15.65" customHeight="1">
      <c r="A55" s="594"/>
      <c r="B55" s="373">
        <v>0</v>
      </c>
      <c r="C55" s="412"/>
      <c r="D55" s="411"/>
      <c r="E55" s="413"/>
      <c r="F55" s="377" t="s">
        <v>253</v>
      </c>
      <c r="G55" s="386"/>
      <c r="H55" s="378">
        <f t="shared" si="14"/>
        <v>0</v>
      </c>
      <c r="I55" s="379"/>
      <c r="J55" s="380"/>
      <c r="K55" s="381"/>
      <c r="L55" s="382"/>
      <c r="M55" s="383"/>
      <c r="N55" s="383"/>
      <c r="O55" s="381"/>
      <c r="P55" s="384">
        <f t="shared" si="15"/>
        <v>0</v>
      </c>
      <c r="Q55" s="385"/>
      <c r="R55" s="385"/>
    </row>
    <row r="56" spans="1:18" ht="15.65" customHeight="1">
      <c r="A56" s="594"/>
      <c r="B56" s="373">
        <v>0</v>
      </c>
      <c r="C56" s="412"/>
      <c r="D56" s="462"/>
      <c r="E56" s="413"/>
      <c r="F56" s="377" t="s">
        <v>253</v>
      </c>
      <c r="G56" s="386"/>
      <c r="H56" s="378">
        <f t="shared" si="14"/>
        <v>0</v>
      </c>
      <c r="I56" s="379"/>
      <c r="J56" s="380"/>
      <c r="K56" s="381"/>
      <c r="L56" s="382"/>
      <c r="M56" s="383"/>
      <c r="N56" s="383"/>
      <c r="O56" s="381"/>
      <c r="P56" s="384">
        <f t="shared" si="15"/>
        <v>0</v>
      </c>
      <c r="Q56" s="385"/>
      <c r="R56" s="385"/>
    </row>
    <row r="57" spans="1:18" ht="15.75" customHeight="1">
      <c r="A57" s="594"/>
      <c r="B57" s="373">
        <v>0</v>
      </c>
      <c r="C57" s="12" t="s">
        <v>62</v>
      </c>
      <c r="D57" s="484"/>
      <c r="E57" s="413"/>
      <c r="F57" s="377" t="s">
        <v>253</v>
      </c>
      <c r="G57" s="386"/>
      <c r="H57" s="378">
        <f t="shared" si="14"/>
        <v>0</v>
      </c>
      <c r="I57" s="379"/>
      <c r="J57" s="380"/>
      <c r="K57" s="381"/>
      <c r="L57" s="382"/>
      <c r="M57" s="383"/>
      <c r="N57" s="383"/>
      <c r="O57" s="381"/>
      <c r="P57" s="384">
        <f t="shared" si="15"/>
        <v>0</v>
      </c>
      <c r="Q57" s="385"/>
      <c r="R57" s="385"/>
    </row>
    <row r="58" spans="1:18" ht="15.65" customHeight="1">
      <c r="A58" s="594"/>
      <c r="B58" s="373">
        <v>0</v>
      </c>
      <c r="C58" s="422"/>
      <c r="D58" s="411"/>
      <c r="E58" s="413"/>
      <c r="F58" s="377" t="s">
        <v>253</v>
      </c>
      <c r="G58" s="447"/>
      <c r="H58" s="378">
        <f t="shared" si="14"/>
        <v>0</v>
      </c>
      <c r="I58" s="379"/>
      <c r="J58" s="380"/>
      <c r="K58" s="381"/>
      <c r="L58" s="382"/>
      <c r="M58" s="383"/>
      <c r="N58" s="383"/>
      <c r="O58" s="381"/>
      <c r="P58" s="384">
        <f t="shared" si="15"/>
        <v>0</v>
      </c>
      <c r="Q58" s="385"/>
      <c r="R58" s="385"/>
    </row>
    <row r="59" spans="1:18" ht="15.65" customHeight="1">
      <c r="A59" s="594"/>
      <c r="B59" s="373">
        <v>0</v>
      </c>
      <c r="C59" s="412"/>
      <c r="D59" s="462"/>
      <c r="E59" s="413"/>
      <c r="F59" s="377" t="s">
        <v>253</v>
      </c>
      <c r="G59" s="386"/>
      <c r="H59" s="378">
        <f t="shared" si="14"/>
        <v>0</v>
      </c>
      <c r="I59" s="379"/>
      <c r="J59" s="380"/>
      <c r="K59" s="381"/>
      <c r="L59" s="382"/>
      <c r="M59" s="383"/>
      <c r="N59" s="383"/>
      <c r="O59" s="381"/>
      <c r="P59" s="384">
        <f t="shared" si="15"/>
        <v>0</v>
      </c>
      <c r="Q59" s="385"/>
      <c r="R59" s="385"/>
    </row>
    <row r="60" spans="1:18" ht="15.65" customHeight="1">
      <c r="A60" s="594"/>
      <c r="B60" s="373">
        <v>0</v>
      </c>
      <c r="C60" s="412"/>
      <c r="D60" s="484"/>
      <c r="E60" s="448"/>
      <c r="F60" s="377" t="s">
        <v>253</v>
      </c>
      <c r="G60" s="386"/>
      <c r="H60" s="378">
        <f t="shared" si="14"/>
        <v>0</v>
      </c>
      <c r="I60" s="379"/>
      <c r="J60" s="380"/>
      <c r="K60" s="381"/>
      <c r="L60" s="382"/>
      <c r="M60" s="383"/>
      <c r="N60" s="383"/>
      <c r="O60" s="381"/>
      <c r="P60" s="384">
        <f t="shared" si="15"/>
        <v>0</v>
      </c>
      <c r="Q60" s="385"/>
      <c r="R60" s="385"/>
    </row>
    <row r="61" spans="1:18" ht="15.65" customHeight="1">
      <c r="A61" s="594"/>
      <c r="B61" s="373">
        <v>0</v>
      </c>
      <c r="C61" s="412"/>
      <c r="D61" s="411"/>
      <c r="E61" s="413"/>
      <c r="F61" s="377" t="s">
        <v>253</v>
      </c>
      <c r="G61" s="386"/>
      <c r="H61" s="378">
        <f t="shared" si="14"/>
        <v>0</v>
      </c>
      <c r="I61" s="379"/>
      <c r="J61" s="380"/>
      <c r="K61" s="381"/>
      <c r="L61" s="382"/>
      <c r="M61" s="383"/>
      <c r="N61" s="383"/>
      <c r="O61" s="381"/>
      <c r="P61" s="384">
        <f t="shared" si="15"/>
        <v>0</v>
      </c>
      <c r="Q61" s="385"/>
      <c r="R61" s="385"/>
    </row>
    <row r="62" spans="1:18" ht="15.65" customHeight="1">
      <c r="A62" s="594"/>
      <c r="B62" s="373">
        <v>0</v>
      </c>
      <c r="C62" s="412"/>
      <c r="D62" s="462"/>
      <c r="E62" s="449"/>
      <c r="F62" s="377" t="s">
        <v>253</v>
      </c>
      <c r="G62" s="386"/>
      <c r="H62" s="378">
        <f t="shared" si="14"/>
        <v>0</v>
      </c>
      <c r="I62" s="379"/>
      <c r="J62" s="380"/>
      <c r="K62" s="381"/>
      <c r="L62" s="382"/>
      <c r="M62" s="383"/>
      <c r="N62" s="383"/>
      <c r="O62" s="381"/>
      <c r="P62" s="384">
        <f t="shared" si="15"/>
        <v>0</v>
      </c>
      <c r="Q62" s="385"/>
      <c r="R62" s="385"/>
    </row>
    <row r="63" spans="1:18" ht="15.65" customHeight="1">
      <c r="A63" s="594"/>
      <c r="B63" s="373">
        <v>0</v>
      </c>
      <c r="C63" s="422"/>
      <c r="D63" s="485"/>
      <c r="E63" s="448"/>
      <c r="F63" s="377" t="s">
        <v>253</v>
      </c>
      <c r="G63" s="386"/>
      <c r="H63" s="378">
        <f t="shared" si="3"/>
        <v>0</v>
      </c>
      <c r="I63" s="430"/>
      <c r="J63" s="380"/>
      <c r="K63" s="381"/>
      <c r="L63" s="382"/>
      <c r="M63" s="383"/>
      <c r="N63" s="383"/>
      <c r="O63" s="372"/>
      <c r="P63" s="384">
        <f t="shared" si="15"/>
        <v>0</v>
      </c>
      <c r="Q63" s="385"/>
      <c r="R63" s="385"/>
    </row>
    <row r="64" spans="1:18" ht="15.75" customHeight="1">
      <c r="A64" s="595"/>
      <c r="B64" s="373">
        <v>0</v>
      </c>
      <c r="C64" s="12" t="s">
        <v>270</v>
      </c>
      <c r="D64" s="583" t="s">
        <v>114</v>
      </c>
      <c r="E64" s="583"/>
      <c r="F64" s="392"/>
      <c r="G64" s="397"/>
      <c r="H64" s="436"/>
      <c r="I64" s="437"/>
      <c r="J64" s="396">
        <f>AVERAGE(J52:J63)</f>
        <v>0</v>
      </c>
      <c r="K64" s="396">
        <f>AVERAGE(K52:K63)</f>
        <v>0</v>
      </c>
      <c r="L64" s="397">
        <f>AVERAGE(L52:L63)</f>
        <v>0</v>
      </c>
      <c r="M64" s="383"/>
      <c r="N64" s="383"/>
      <c r="O64" s="372"/>
      <c r="P64" s="372"/>
      <c r="Q64" s="372"/>
      <c r="R64" s="372"/>
    </row>
    <row r="65" spans="1:18" ht="15.65" customHeight="1">
      <c r="A65" s="580" t="s">
        <v>271</v>
      </c>
      <c r="B65" s="373" t="s">
        <v>250</v>
      </c>
      <c r="C65" s="412"/>
      <c r="D65" s="411" t="s">
        <v>308</v>
      </c>
      <c r="E65" s="439"/>
      <c r="F65" s="377">
        <v>25.03</v>
      </c>
      <c r="G65" s="370">
        <v>749</v>
      </c>
      <c r="H65" s="378">
        <f>F65*G65</f>
        <v>18747.47</v>
      </c>
      <c r="I65" s="379"/>
      <c r="J65" s="380">
        <v>4</v>
      </c>
      <c r="K65" s="381">
        <f t="shared" ref="K65:K70" si="16">G65/P65*60</f>
        <v>3210.0000000000027</v>
      </c>
      <c r="L65" s="382">
        <f t="shared" ref="L65:L70" si="17">K65/J65</f>
        <v>802.50000000000068</v>
      </c>
      <c r="M65" s="383">
        <v>0.18055555555555555</v>
      </c>
      <c r="N65" s="383">
        <v>0.19027777777777777</v>
      </c>
      <c r="O65" s="381">
        <v>20</v>
      </c>
      <c r="P65" s="384">
        <f>(N65-M65)*24*60</f>
        <v>13.999999999999989</v>
      </c>
      <c r="Q65" s="385"/>
      <c r="R65" s="385"/>
    </row>
    <row r="66" spans="1:18" ht="15.65" customHeight="1">
      <c r="A66" s="581"/>
      <c r="B66" s="373" t="s">
        <v>250</v>
      </c>
      <c r="C66" s="412"/>
      <c r="D66" s="411" t="s">
        <v>309</v>
      </c>
      <c r="E66" s="441"/>
      <c r="F66" s="377">
        <v>24.82</v>
      </c>
      <c r="G66" s="386">
        <v>992</v>
      </c>
      <c r="H66" s="378">
        <f t="shared" ref="H66:H74" si="18">F66*G66</f>
        <v>24621.439999999999</v>
      </c>
      <c r="I66" s="379"/>
      <c r="J66" s="380">
        <v>4</v>
      </c>
      <c r="K66" s="381">
        <f t="shared" si="16"/>
        <v>3132.6315789473729</v>
      </c>
      <c r="L66" s="382">
        <f t="shared" si="17"/>
        <v>783.15789473684322</v>
      </c>
      <c r="M66" s="383">
        <v>0.20416666666666669</v>
      </c>
      <c r="N66" s="383">
        <v>0.21736111111111112</v>
      </c>
      <c r="O66" s="381">
        <v>20</v>
      </c>
      <c r="P66" s="384">
        <f t="shared" ref="P66:P74" si="19">(N66-M66)*24*60</f>
        <v>18.999999999999972</v>
      </c>
      <c r="Q66" s="385"/>
      <c r="R66" s="385"/>
    </row>
    <row r="67" spans="1:18" ht="15.65" customHeight="1">
      <c r="A67" s="581"/>
      <c r="B67" s="373" t="s">
        <v>250</v>
      </c>
      <c r="C67" s="412"/>
      <c r="D67" s="411" t="s">
        <v>310</v>
      </c>
      <c r="E67" s="404"/>
      <c r="F67" s="377">
        <v>25.45</v>
      </c>
      <c r="G67" s="386">
        <v>369</v>
      </c>
      <c r="H67" s="378">
        <f t="shared" si="18"/>
        <v>9391.0499999999993</v>
      </c>
      <c r="I67" s="379"/>
      <c r="J67" s="380">
        <v>4</v>
      </c>
      <c r="K67" s="381">
        <f t="shared" si="16"/>
        <v>3162.8571428571177</v>
      </c>
      <c r="L67" s="382">
        <f t="shared" si="17"/>
        <v>790.71428571427941</v>
      </c>
      <c r="M67" s="383">
        <v>0.23124999999999998</v>
      </c>
      <c r="N67" s="383">
        <v>0.23611111111111113</v>
      </c>
      <c r="O67" s="381">
        <v>20</v>
      </c>
      <c r="P67" s="384">
        <f t="shared" si="19"/>
        <v>7.0000000000000551</v>
      </c>
      <c r="Q67" s="385"/>
      <c r="R67" s="385"/>
    </row>
    <row r="68" spans="1:18" ht="15.65" customHeight="1">
      <c r="A68" s="581"/>
      <c r="B68" s="373" t="s">
        <v>250</v>
      </c>
      <c r="C68" s="412"/>
      <c r="D68" s="411" t="s">
        <v>311</v>
      </c>
      <c r="E68" s="413"/>
      <c r="F68" s="377">
        <v>30</v>
      </c>
      <c r="G68" s="386">
        <v>1632</v>
      </c>
      <c r="H68" s="378">
        <f t="shared" si="18"/>
        <v>48960</v>
      </c>
      <c r="I68" s="379"/>
      <c r="J68" s="380">
        <v>4</v>
      </c>
      <c r="K68" s="381">
        <f t="shared" si="16"/>
        <v>3158.7096774193574</v>
      </c>
      <c r="L68" s="382">
        <f t="shared" si="17"/>
        <v>789.67741935483934</v>
      </c>
      <c r="M68" s="383">
        <v>0.25</v>
      </c>
      <c r="N68" s="383">
        <v>0.27152777777777776</v>
      </c>
      <c r="O68" s="381">
        <v>20</v>
      </c>
      <c r="P68" s="384">
        <f t="shared" si="19"/>
        <v>30.999999999999972</v>
      </c>
      <c r="Q68" s="385"/>
      <c r="R68" s="385"/>
    </row>
    <row r="69" spans="1:18" ht="15.65" customHeight="1">
      <c r="A69" s="581"/>
      <c r="B69" s="373" t="s">
        <v>250</v>
      </c>
      <c r="C69" s="412"/>
      <c r="D69" s="462" t="s">
        <v>272</v>
      </c>
      <c r="E69" s="413"/>
      <c r="F69" s="377">
        <v>14.285714285714283</v>
      </c>
      <c r="G69" s="386">
        <v>3865</v>
      </c>
      <c r="H69" s="378">
        <f t="shared" si="18"/>
        <v>55214.285714285703</v>
      </c>
      <c r="I69" s="379"/>
      <c r="J69" s="380">
        <v>3</v>
      </c>
      <c r="K69" s="381">
        <f t="shared" si="16"/>
        <v>3176.7123287671238</v>
      </c>
      <c r="L69" s="382">
        <f t="shared" si="17"/>
        <v>1058.9041095890414</v>
      </c>
      <c r="M69" s="383">
        <v>0.28541666666666665</v>
      </c>
      <c r="N69" s="383">
        <v>0.33611111111111108</v>
      </c>
      <c r="O69" s="381">
        <v>20</v>
      </c>
      <c r="P69" s="384">
        <f t="shared" si="19"/>
        <v>72.999999999999986</v>
      </c>
      <c r="Q69" s="385">
        <v>0.33680555555555558</v>
      </c>
      <c r="R69" s="385">
        <v>0.37847222222222227</v>
      </c>
    </row>
    <row r="70" spans="1:18" ht="15.75" customHeight="1">
      <c r="A70" s="581"/>
      <c r="B70" s="373" t="s">
        <v>250</v>
      </c>
      <c r="C70" s="12" t="s">
        <v>62</v>
      </c>
      <c r="D70" s="484" t="s">
        <v>312</v>
      </c>
      <c r="E70" s="413"/>
      <c r="F70" s="377">
        <v>14.03</v>
      </c>
      <c r="G70" s="386">
        <v>2633</v>
      </c>
      <c r="H70" s="378">
        <f t="shared" si="18"/>
        <v>36940.99</v>
      </c>
      <c r="I70" s="379"/>
      <c r="J70" s="380">
        <v>3</v>
      </c>
      <c r="K70" s="381">
        <f t="shared" si="16"/>
        <v>3159.6000000000013</v>
      </c>
      <c r="L70" s="382">
        <f t="shared" si="17"/>
        <v>1053.2000000000005</v>
      </c>
      <c r="M70" s="383">
        <v>0.3923611111111111</v>
      </c>
      <c r="N70" s="383">
        <v>0.42708333333333331</v>
      </c>
      <c r="O70" s="381">
        <v>20</v>
      </c>
      <c r="P70" s="384">
        <f t="shared" si="19"/>
        <v>49.999999999999986</v>
      </c>
      <c r="Q70" s="385"/>
      <c r="R70" s="385"/>
    </row>
    <row r="71" spans="1:18" ht="15.65" customHeight="1">
      <c r="A71" s="581"/>
      <c r="B71" s="373">
        <v>0</v>
      </c>
      <c r="C71" s="422"/>
      <c r="D71" s="411"/>
      <c r="E71" s="413"/>
      <c r="F71" s="377" t="s">
        <v>253</v>
      </c>
      <c r="G71" s="447"/>
      <c r="H71" s="378">
        <f t="shared" si="18"/>
        <v>0</v>
      </c>
      <c r="I71" s="379"/>
      <c r="J71" s="380"/>
      <c r="K71" s="381"/>
      <c r="L71" s="382"/>
      <c r="M71" s="383"/>
      <c r="N71" s="383"/>
      <c r="O71" s="381"/>
      <c r="P71" s="384">
        <f t="shared" si="19"/>
        <v>0</v>
      </c>
      <c r="Q71" s="385"/>
      <c r="R71" s="385"/>
    </row>
    <row r="72" spans="1:18" ht="15.65" customHeight="1">
      <c r="A72" s="581"/>
      <c r="B72" s="373">
        <v>0</v>
      </c>
      <c r="C72" s="412"/>
      <c r="D72" s="462"/>
      <c r="E72" s="413"/>
      <c r="F72" s="377" t="s">
        <v>253</v>
      </c>
      <c r="G72" s="386"/>
      <c r="H72" s="378">
        <f t="shared" si="18"/>
        <v>0</v>
      </c>
      <c r="I72" s="379"/>
      <c r="J72" s="380"/>
      <c r="K72" s="381"/>
      <c r="L72" s="382"/>
      <c r="M72" s="383"/>
      <c r="N72" s="383"/>
      <c r="O72" s="381"/>
      <c r="P72" s="384">
        <f t="shared" si="19"/>
        <v>0</v>
      </c>
      <c r="Q72" s="385"/>
      <c r="R72" s="385"/>
    </row>
    <row r="73" spans="1:18" ht="15.65" customHeight="1">
      <c r="A73" s="581"/>
      <c r="B73" s="373">
        <v>0</v>
      </c>
      <c r="C73" s="412"/>
      <c r="D73" s="462"/>
      <c r="E73" s="413"/>
      <c r="F73" s="377" t="s">
        <v>253</v>
      </c>
      <c r="G73" s="386"/>
      <c r="H73" s="378">
        <f t="shared" si="18"/>
        <v>0</v>
      </c>
      <c r="I73" s="379"/>
      <c r="J73" s="380"/>
      <c r="K73" s="381"/>
      <c r="L73" s="382"/>
      <c r="M73" s="383"/>
      <c r="N73" s="383"/>
      <c r="O73" s="381"/>
      <c r="P73" s="384">
        <f t="shared" si="19"/>
        <v>0</v>
      </c>
      <c r="Q73" s="385"/>
      <c r="R73" s="385"/>
    </row>
    <row r="74" spans="1:18" ht="15.65" customHeight="1">
      <c r="A74" s="581"/>
      <c r="B74" s="373">
        <v>0</v>
      </c>
      <c r="C74" s="412"/>
      <c r="D74" s="462"/>
      <c r="E74" s="413"/>
      <c r="F74" s="377" t="s">
        <v>253</v>
      </c>
      <c r="G74" s="386"/>
      <c r="H74" s="378">
        <f t="shared" si="18"/>
        <v>0</v>
      </c>
      <c r="I74" s="379"/>
      <c r="J74" s="380"/>
      <c r="K74" s="381"/>
      <c r="L74" s="382"/>
      <c r="M74" s="383"/>
      <c r="N74" s="383"/>
      <c r="O74" s="381"/>
      <c r="P74" s="384">
        <f t="shared" si="19"/>
        <v>0</v>
      </c>
      <c r="Q74" s="385"/>
      <c r="R74" s="385"/>
    </row>
    <row r="75" spans="1:18" ht="15.75" customHeight="1">
      <c r="A75" s="582"/>
      <c r="B75" s="373">
        <v>0</v>
      </c>
      <c r="C75" s="12" t="s">
        <v>273</v>
      </c>
      <c r="D75" s="583" t="s">
        <v>114</v>
      </c>
      <c r="E75" s="583"/>
      <c r="F75" s="392"/>
      <c r="G75" s="397"/>
      <c r="H75" s="436"/>
      <c r="I75" s="437"/>
      <c r="J75" s="396">
        <f>AVERAGE(J65:J74)</f>
        <v>3.6666666666666665</v>
      </c>
      <c r="K75" s="396">
        <f>AVERAGE(K65:K74)</f>
        <v>3166.7517879984957</v>
      </c>
      <c r="L75" s="397">
        <f>AVERAGE(L65:L74)</f>
        <v>879.69228489916748</v>
      </c>
      <c r="M75" s="383"/>
      <c r="N75" s="383"/>
      <c r="O75" s="372"/>
      <c r="P75" s="372"/>
      <c r="Q75" s="372"/>
      <c r="R75" s="372"/>
    </row>
    <row r="76" spans="1:18" ht="16.25" customHeight="1">
      <c r="A76" s="584" t="s">
        <v>274</v>
      </c>
      <c r="B76" s="373">
        <v>0</v>
      </c>
      <c r="C76" s="472"/>
      <c r="D76" s="566"/>
      <c r="E76" s="567"/>
      <c r="F76" s="377" t="s">
        <v>253</v>
      </c>
      <c r="G76" s="454"/>
      <c r="H76" s="399">
        <f t="shared" si="3"/>
        <v>0</v>
      </c>
      <c r="I76" s="400"/>
      <c r="J76" s="380">
        <v>0</v>
      </c>
      <c r="K76" s="381">
        <v>0</v>
      </c>
      <c r="L76" s="382">
        <v>0</v>
      </c>
      <c r="M76" s="383"/>
      <c r="N76" s="383"/>
      <c r="O76" s="372"/>
      <c r="P76" s="384">
        <f t="shared" si="2"/>
        <v>0</v>
      </c>
      <c r="Q76" s="385"/>
      <c r="R76" s="385"/>
    </row>
    <row r="77" spans="1:18">
      <c r="A77" s="584"/>
      <c r="B77" s="373">
        <v>0</v>
      </c>
      <c r="C77" s="472"/>
      <c r="D77" s="566"/>
      <c r="E77" s="567"/>
      <c r="F77" s="377" t="s">
        <v>253</v>
      </c>
      <c r="G77" s="370"/>
      <c r="H77" s="378">
        <f t="shared" si="3"/>
        <v>0</v>
      </c>
      <c r="I77" s="379"/>
      <c r="J77" s="380"/>
      <c r="K77" s="381"/>
      <c r="L77" s="382"/>
      <c r="M77" s="383"/>
      <c r="N77" s="383"/>
      <c r="O77" s="372"/>
      <c r="P77" s="384">
        <f t="shared" si="2"/>
        <v>0</v>
      </c>
      <c r="Q77" s="372"/>
      <c r="R77" s="372"/>
    </row>
    <row r="78" spans="1:18">
      <c r="A78" s="584"/>
      <c r="B78" s="373">
        <v>0</v>
      </c>
      <c r="C78" s="472"/>
      <c r="D78" s="457"/>
      <c r="E78" s="457"/>
      <c r="F78" s="377" t="s">
        <v>253</v>
      </c>
      <c r="G78" s="417"/>
      <c r="H78" s="378">
        <f t="shared" si="3"/>
        <v>0</v>
      </c>
      <c r="I78" s="379"/>
      <c r="J78" s="380"/>
      <c r="K78" s="381"/>
      <c r="L78" s="382"/>
      <c r="M78" s="383"/>
      <c r="N78" s="383"/>
      <c r="O78" s="372"/>
      <c r="P78" s="384">
        <f t="shared" si="2"/>
        <v>0</v>
      </c>
      <c r="Q78" s="372"/>
      <c r="R78" s="372"/>
    </row>
    <row r="79" spans="1:18">
      <c r="A79" s="584"/>
      <c r="B79" s="373">
        <v>0</v>
      </c>
      <c r="C79" s="472"/>
      <c r="D79" s="457"/>
      <c r="E79" s="457"/>
      <c r="F79" s="377" t="s">
        <v>253</v>
      </c>
      <c r="G79" s="417"/>
      <c r="H79" s="378">
        <f t="shared" si="3"/>
        <v>0</v>
      </c>
      <c r="I79" s="379"/>
      <c r="J79" s="380"/>
      <c r="K79" s="381"/>
      <c r="L79" s="382"/>
      <c r="M79" s="383"/>
      <c r="N79" s="383"/>
      <c r="O79" s="372"/>
      <c r="P79" s="384">
        <f t="shared" si="2"/>
        <v>0</v>
      </c>
      <c r="Q79" s="372"/>
      <c r="R79" s="372"/>
    </row>
    <row r="80" spans="1:18">
      <c r="A80" s="584"/>
      <c r="B80" s="373">
        <v>0</v>
      </c>
      <c r="C80" s="472"/>
      <c r="D80" s="457"/>
      <c r="E80" s="457"/>
      <c r="F80" s="377" t="s">
        <v>253</v>
      </c>
      <c r="G80" s="417"/>
      <c r="H80" s="378">
        <f t="shared" si="3"/>
        <v>0</v>
      </c>
      <c r="I80" s="379"/>
      <c r="J80" s="380"/>
      <c r="K80" s="381"/>
      <c r="L80" s="382"/>
      <c r="M80" s="383"/>
      <c r="N80" s="383"/>
      <c r="O80" s="372"/>
      <c r="P80" s="384">
        <f t="shared" si="2"/>
        <v>0</v>
      </c>
      <c r="Q80" s="372"/>
      <c r="R80" s="372"/>
    </row>
    <row r="81" spans="1:18" ht="15.75" customHeight="1">
      <c r="A81" s="584"/>
      <c r="B81" s="373">
        <v>0</v>
      </c>
      <c r="C81" s="12" t="s">
        <v>62</v>
      </c>
      <c r="D81" s="578" t="s">
        <v>114</v>
      </c>
      <c r="E81" s="578"/>
      <c r="F81" s="392"/>
      <c r="G81" s="458"/>
      <c r="H81" s="394"/>
      <c r="I81" s="395"/>
      <c r="J81" s="396">
        <f>AVERAGE(J76:J80)</f>
        <v>0</v>
      </c>
      <c r="K81" s="396">
        <f>AVERAGE(K76:K80)</f>
        <v>0</v>
      </c>
      <c r="L81" s="397">
        <f>AVERAGE(L76:L80)</f>
        <v>0</v>
      </c>
      <c r="M81" s="383"/>
      <c r="N81" s="383"/>
      <c r="O81" s="372"/>
      <c r="P81" s="372"/>
      <c r="Q81" s="372"/>
      <c r="R81" s="372"/>
    </row>
    <row r="82" spans="1:18" ht="15.65" customHeight="1">
      <c r="A82" s="569" t="s">
        <v>275</v>
      </c>
      <c r="B82" s="373" t="s">
        <v>250</v>
      </c>
      <c r="C82" s="460"/>
      <c r="D82" s="411" t="s">
        <v>313</v>
      </c>
      <c r="E82" s="421"/>
      <c r="F82" s="377">
        <v>18.18</v>
      </c>
      <c r="G82" s="417">
        <v>1063</v>
      </c>
      <c r="H82" s="459">
        <f t="shared" ref="H82:H86" si="20">F82*G82</f>
        <v>19325.34</v>
      </c>
      <c r="I82" s="379"/>
      <c r="J82" s="380">
        <v>3</v>
      </c>
      <c r="K82" s="381">
        <f t="shared" ref="K82:K86" si="21">G82/P82*60</f>
        <v>3188.9999999999859</v>
      </c>
      <c r="L82" s="382">
        <f t="shared" ref="L82:L86" si="22">K82/J82</f>
        <v>1062.9999999999952</v>
      </c>
      <c r="M82" s="383">
        <v>0.72222222222222221</v>
      </c>
      <c r="N82" s="383">
        <v>0.73611111111111116</v>
      </c>
      <c r="O82" s="381">
        <v>20</v>
      </c>
      <c r="P82" s="384">
        <f>(N82-M82)*24*60</f>
        <v>20.000000000000089</v>
      </c>
      <c r="Q82" s="385"/>
      <c r="R82" s="385"/>
    </row>
    <row r="83" spans="1:18">
      <c r="A83" s="570"/>
      <c r="B83" s="373" t="s">
        <v>250</v>
      </c>
      <c r="C83" s="460"/>
      <c r="D83" s="411" t="s">
        <v>314</v>
      </c>
      <c r="E83" s="421"/>
      <c r="F83" s="377">
        <v>18.18</v>
      </c>
      <c r="G83" s="417">
        <v>390</v>
      </c>
      <c r="H83" s="459">
        <f t="shared" si="20"/>
        <v>7090.2</v>
      </c>
      <c r="I83" s="379"/>
      <c r="J83" s="380">
        <v>4</v>
      </c>
      <c r="K83" s="381">
        <f t="shared" si="21"/>
        <v>2339.9999999999709</v>
      </c>
      <c r="L83" s="382">
        <f t="shared" si="22"/>
        <v>584.99999999999272</v>
      </c>
      <c r="M83" s="383">
        <v>0.75</v>
      </c>
      <c r="N83" s="383">
        <v>0.75694444444444453</v>
      </c>
      <c r="O83" s="381">
        <v>20</v>
      </c>
      <c r="P83" s="384">
        <f>(N83-M83)*24*60</f>
        <v>10.000000000000124</v>
      </c>
      <c r="Q83" s="385"/>
      <c r="R83" s="385"/>
    </row>
    <row r="84" spans="1:18">
      <c r="A84" s="570"/>
      <c r="B84" s="373" t="s">
        <v>250</v>
      </c>
      <c r="C84" s="460"/>
      <c r="D84" s="411" t="s">
        <v>276</v>
      </c>
      <c r="E84" s="421"/>
      <c r="F84" s="377">
        <v>16.66</v>
      </c>
      <c r="G84" s="417">
        <v>4982</v>
      </c>
      <c r="H84" s="461">
        <f t="shared" si="20"/>
        <v>83000.12</v>
      </c>
      <c r="I84" s="379"/>
      <c r="J84" s="380">
        <v>4</v>
      </c>
      <c r="K84" s="381">
        <f t="shared" si="21"/>
        <v>2846.857142857144</v>
      </c>
      <c r="L84" s="382">
        <f t="shared" si="22"/>
        <v>711.71428571428601</v>
      </c>
      <c r="M84" s="383">
        <v>0.77083333333333337</v>
      </c>
      <c r="N84" s="383">
        <v>0.84375</v>
      </c>
      <c r="O84" s="381">
        <v>20</v>
      </c>
      <c r="P84" s="423">
        <f t="shared" ref="P84:P85" si="23">(N84-M84)*24*60</f>
        <v>104.99999999999994</v>
      </c>
      <c r="Q84" s="385">
        <v>0.84375</v>
      </c>
      <c r="R84" s="385">
        <v>0.88541666666666663</v>
      </c>
    </row>
    <row r="85" spans="1:18">
      <c r="A85" s="570"/>
      <c r="B85" s="373" t="s">
        <v>250</v>
      </c>
      <c r="C85" s="460"/>
      <c r="D85" s="411" t="s">
        <v>277</v>
      </c>
      <c r="E85" s="421"/>
      <c r="F85" s="377">
        <v>22.281818181818181</v>
      </c>
      <c r="G85" s="417">
        <v>875</v>
      </c>
      <c r="H85" s="461">
        <f t="shared" si="20"/>
        <v>19496.590909090908</v>
      </c>
      <c r="I85" s="379"/>
      <c r="J85" s="380">
        <v>4</v>
      </c>
      <c r="K85" s="381">
        <f t="shared" si="21"/>
        <v>2624.9999999999673</v>
      </c>
      <c r="L85" s="382">
        <f t="shared" si="22"/>
        <v>656.24999999999181</v>
      </c>
      <c r="M85" s="383">
        <v>0.89930555555555547</v>
      </c>
      <c r="N85" s="383">
        <v>0.91319444444444453</v>
      </c>
      <c r="O85" s="381">
        <v>20</v>
      </c>
      <c r="P85" s="423">
        <f t="shared" si="23"/>
        <v>20.000000000000249</v>
      </c>
      <c r="Q85" s="372"/>
      <c r="R85" s="372"/>
    </row>
    <row r="86" spans="1:18">
      <c r="A86" s="570"/>
      <c r="B86" s="373">
        <v>0</v>
      </c>
      <c r="C86" s="460"/>
      <c r="D86" s="411" t="s">
        <v>278</v>
      </c>
      <c r="E86" s="421"/>
      <c r="F86" s="377">
        <v>17.890909090909091</v>
      </c>
      <c r="G86" s="370">
        <v>3369</v>
      </c>
      <c r="H86" s="461">
        <f t="shared" si="20"/>
        <v>60274.472727272725</v>
      </c>
      <c r="I86" s="379"/>
      <c r="J86" s="380">
        <v>3</v>
      </c>
      <c r="K86" s="381">
        <f t="shared" si="21"/>
        <v>2887.7142857142826</v>
      </c>
      <c r="L86" s="382">
        <f t="shared" si="22"/>
        <v>962.57142857142753</v>
      </c>
      <c r="M86" s="383">
        <v>0.92708333333333337</v>
      </c>
      <c r="N86" s="463">
        <v>0.97569444444444453</v>
      </c>
      <c r="O86" s="372">
        <v>20</v>
      </c>
      <c r="P86" s="423">
        <f>(N86-M86)*24*60</f>
        <v>70.000000000000071</v>
      </c>
      <c r="Q86" s="372"/>
      <c r="R86" s="372"/>
    </row>
    <row r="87" spans="1:18">
      <c r="A87" s="570"/>
      <c r="B87" s="373">
        <v>0</v>
      </c>
      <c r="C87" s="460"/>
      <c r="D87" s="411"/>
      <c r="E87" s="421"/>
      <c r="F87" s="377"/>
      <c r="G87" s="370"/>
      <c r="H87" s="461"/>
      <c r="I87" s="379"/>
      <c r="J87" s="380"/>
      <c r="K87" s="381"/>
      <c r="L87" s="382"/>
      <c r="M87" s="383"/>
      <c r="N87" s="463"/>
      <c r="O87" s="372"/>
      <c r="P87" s="423"/>
      <c r="Q87" s="372"/>
      <c r="R87" s="372"/>
    </row>
    <row r="88" spans="1:18">
      <c r="A88" s="570"/>
      <c r="B88" s="373">
        <v>0</v>
      </c>
      <c r="C88" s="460"/>
      <c r="D88" s="411"/>
      <c r="E88" s="421"/>
      <c r="F88" s="377"/>
      <c r="G88" s="370"/>
      <c r="H88" s="461"/>
      <c r="I88" s="379"/>
      <c r="J88" s="380"/>
      <c r="K88" s="381"/>
      <c r="L88" s="382"/>
      <c r="M88" s="383"/>
      <c r="N88" s="463"/>
      <c r="O88" s="372"/>
      <c r="P88" s="423"/>
      <c r="Q88" s="372"/>
      <c r="R88" s="372"/>
    </row>
    <row r="89" spans="1:18">
      <c r="A89" s="570"/>
      <c r="B89" s="373">
        <v>0</v>
      </c>
      <c r="C89" s="460"/>
      <c r="D89" s="411"/>
      <c r="E89" s="421"/>
      <c r="F89" s="377" t="s">
        <v>253</v>
      </c>
      <c r="G89" s="370"/>
      <c r="H89" s="461">
        <f t="shared" ref="H89:H90" si="24">F89*G89</f>
        <v>0</v>
      </c>
      <c r="I89" s="379"/>
      <c r="J89" s="380"/>
      <c r="K89" s="381"/>
      <c r="L89" s="382"/>
      <c r="M89" s="383"/>
      <c r="N89" s="463"/>
      <c r="O89" s="372"/>
      <c r="P89" s="423">
        <f t="shared" ref="P89:P90" si="25">(N89-M89)*24*60</f>
        <v>0</v>
      </c>
      <c r="Q89" s="372"/>
      <c r="R89" s="372"/>
    </row>
    <row r="90" spans="1:18">
      <c r="A90" s="570"/>
      <c r="B90" s="373">
        <v>0</v>
      </c>
      <c r="C90" s="460"/>
      <c r="D90" s="411"/>
      <c r="E90" s="421"/>
      <c r="F90" s="377" t="s">
        <v>253</v>
      </c>
      <c r="G90" s="370"/>
      <c r="H90" s="461">
        <f t="shared" si="24"/>
        <v>0</v>
      </c>
      <c r="I90" s="379"/>
      <c r="J90" s="380"/>
      <c r="K90" s="381"/>
      <c r="L90" s="382"/>
      <c r="M90" s="383"/>
      <c r="N90" s="463"/>
      <c r="O90" s="372"/>
      <c r="P90" s="423">
        <f t="shared" si="25"/>
        <v>0</v>
      </c>
      <c r="Q90" s="372"/>
      <c r="R90" s="372"/>
    </row>
    <row r="91" spans="1:18" ht="17.399999999999999" customHeight="1">
      <c r="A91" s="570"/>
      <c r="B91" s="373">
        <v>0</v>
      </c>
      <c r="C91" s="12" t="s">
        <v>262</v>
      </c>
      <c r="D91" s="571" t="s">
        <v>114</v>
      </c>
      <c r="E91" s="571"/>
      <c r="F91" s="392"/>
      <c r="G91" s="464"/>
      <c r="H91" s="465"/>
      <c r="I91" s="395"/>
      <c r="J91" s="396">
        <f>AVERAGE(J82:J90)</f>
        <v>3.6</v>
      </c>
      <c r="K91" s="396">
        <f>AVERAGE(K82:K90)</f>
        <v>2777.7142857142703</v>
      </c>
      <c r="L91" s="397">
        <f>AVERAGE(L82:L90)</f>
        <v>795.70714285713871</v>
      </c>
      <c r="M91" s="383"/>
      <c r="N91" s="383"/>
      <c r="O91" s="381"/>
      <c r="P91" s="381"/>
      <c r="Q91" s="382"/>
      <c r="R91" s="382"/>
    </row>
    <row r="92" spans="1:18" ht="16.25" customHeight="1">
      <c r="A92" s="572" t="s">
        <v>279</v>
      </c>
      <c r="B92" s="373" t="s">
        <v>250</v>
      </c>
      <c r="C92" s="472"/>
      <c r="D92" s="443" t="s">
        <v>280</v>
      </c>
      <c r="E92" s="421"/>
      <c r="F92" s="377">
        <v>24.54</v>
      </c>
      <c r="G92" s="370">
        <v>2106</v>
      </c>
      <c r="H92" s="378">
        <f t="shared" ref="H92:H97" si="26">F92*G92</f>
        <v>51681.24</v>
      </c>
      <c r="I92" s="379"/>
      <c r="J92" s="380">
        <v>3</v>
      </c>
      <c r="K92" s="381">
        <f t="shared" ref="K92:K96" si="27">G92/P92*60</f>
        <v>2297.4545454545469</v>
      </c>
      <c r="L92" s="382">
        <f t="shared" ref="L92:L96" si="28">K92/J92</f>
        <v>765.81818181818232</v>
      </c>
      <c r="M92" s="383">
        <v>0.72222222222222221</v>
      </c>
      <c r="N92" s="383">
        <v>0.76041666666666663</v>
      </c>
      <c r="O92" s="372">
        <v>20</v>
      </c>
      <c r="P92" s="384">
        <f>(N92-M92)*24*60</f>
        <v>54.999999999999964</v>
      </c>
      <c r="Q92" s="385"/>
      <c r="R92" s="385"/>
    </row>
    <row r="93" spans="1:18">
      <c r="A93" s="573"/>
      <c r="B93" s="373" t="s">
        <v>250</v>
      </c>
      <c r="C93" s="472"/>
      <c r="D93" s="411" t="s">
        <v>316</v>
      </c>
      <c r="E93" s="421"/>
      <c r="F93" s="377">
        <v>22.48</v>
      </c>
      <c r="G93" s="370">
        <v>1841</v>
      </c>
      <c r="H93" s="378">
        <f t="shared" si="26"/>
        <v>41385.68</v>
      </c>
      <c r="I93" s="379"/>
      <c r="J93" s="380">
        <v>4</v>
      </c>
      <c r="K93" s="381">
        <f t="shared" si="27"/>
        <v>2209.1999999999935</v>
      </c>
      <c r="L93" s="382">
        <f t="shared" si="28"/>
        <v>552.29999999999836</v>
      </c>
      <c r="M93" s="383">
        <v>0.77430555555555547</v>
      </c>
      <c r="N93" s="383">
        <v>0.80902777777777779</v>
      </c>
      <c r="O93" s="372">
        <v>20</v>
      </c>
      <c r="P93" s="384">
        <f>(N93-M93)*24*60</f>
        <v>50.000000000000142</v>
      </c>
      <c r="Q93" s="385"/>
      <c r="R93" s="385"/>
    </row>
    <row r="94" spans="1:18">
      <c r="A94" s="573"/>
      <c r="B94" s="373" t="s">
        <v>250</v>
      </c>
      <c r="C94" s="472"/>
      <c r="D94" s="462" t="s">
        <v>317</v>
      </c>
      <c r="E94" s="448"/>
      <c r="F94" s="377">
        <v>16.7</v>
      </c>
      <c r="G94" s="386">
        <v>1390</v>
      </c>
      <c r="H94" s="378">
        <f t="shared" si="26"/>
        <v>23213</v>
      </c>
      <c r="I94" s="379"/>
      <c r="J94" s="380">
        <v>3</v>
      </c>
      <c r="K94" s="381">
        <f t="shared" si="27"/>
        <v>2779.999999999995</v>
      </c>
      <c r="L94" s="382">
        <f t="shared" si="28"/>
        <v>926.66666666666504</v>
      </c>
      <c r="M94" s="383">
        <v>0.82291666666666663</v>
      </c>
      <c r="N94" s="383">
        <v>0.84375</v>
      </c>
      <c r="O94" s="372">
        <v>20</v>
      </c>
      <c r="P94" s="384">
        <f>(N94-M94)*24*60</f>
        <v>30.000000000000053</v>
      </c>
      <c r="Q94" s="385"/>
      <c r="R94" s="385"/>
    </row>
    <row r="95" spans="1:18">
      <c r="A95" s="574"/>
      <c r="B95" s="373" t="s">
        <v>250</v>
      </c>
      <c r="C95" s="472"/>
      <c r="D95" s="462" t="s">
        <v>318</v>
      </c>
      <c r="E95" s="448"/>
      <c r="F95" s="377">
        <v>28.57</v>
      </c>
      <c r="G95" s="386">
        <v>2740</v>
      </c>
      <c r="H95" s="378">
        <f t="shared" si="26"/>
        <v>78281.8</v>
      </c>
      <c r="I95" s="379"/>
      <c r="J95" s="380">
        <v>3</v>
      </c>
      <c r="K95" s="381">
        <f t="shared" si="27"/>
        <v>2740.0000000000023</v>
      </c>
      <c r="L95" s="382">
        <f t="shared" si="28"/>
        <v>913.33333333333405</v>
      </c>
      <c r="M95" s="383">
        <v>0.85763888888888884</v>
      </c>
      <c r="N95" s="383">
        <v>0.89930555555555547</v>
      </c>
      <c r="O95" s="372">
        <v>20</v>
      </c>
      <c r="P95" s="384">
        <f>(N95-M95)*24*60</f>
        <v>59.999999999999943</v>
      </c>
      <c r="Q95" s="385"/>
      <c r="R95" s="385"/>
    </row>
    <row r="96" spans="1:18">
      <c r="A96" s="574"/>
      <c r="B96" s="373" t="s">
        <v>250</v>
      </c>
      <c r="C96" s="472"/>
      <c r="D96" s="411" t="s">
        <v>323</v>
      </c>
      <c r="E96" s="448"/>
      <c r="F96" s="377">
        <v>17.260000000000002</v>
      </c>
      <c r="G96" s="386">
        <v>3905</v>
      </c>
      <c r="H96" s="378">
        <f t="shared" si="26"/>
        <v>67400.3</v>
      </c>
      <c r="I96" s="379"/>
      <c r="J96" s="380">
        <v>4</v>
      </c>
      <c r="K96" s="381">
        <f t="shared" si="27"/>
        <v>2928.7500000000045</v>
      </c>
      <c r="L96" s="382">
        <f t="shared" si="28"/>
        <v>732.18750000000114</v>
      </c>
      <c r="M96" s="383">
        <v>0.91319444444444453</v>
      </c>
      <c r="N96" s="383">
        <v>0.96875</v>
      </c>
      <c r="O96" s="372">
        <v>20</v>
      </c>
      <c r="P96" s="384">
        <f>(N96-M96)*24*60</f>
        <v>79.999999999999872</v>
      </c>
      <c r="Q96" s="385"/>
      <c r="R96" s="385"/>
    </row>
    <row r="97" spans="1:18">
      <c r="A97" s="574"/>
      <c r="B97" s="373">
        <v>0</v>
      </c>
      <c r="C97" s="472"/>
      <c r="D97" s="411"/>
      <c r="E97" s="448"/>
      <c r="F97" s="377" t="s">
        <v>253</v>
      </c>
      <c r="G97" s="386"/>
      <c r="H97" s="378">
        <f t="shared" si="26"/>
        <v>0</v>
      </c>
      <c r="I97" s="379"/>
      <c r="J97" s="380"/>
      <c r="K97" s="381"/>
      <c r="L97" s="382"/>
      <c r="M97" s="383"/>
      <c r="N97" s="383"/>
      <c r="O97" s="372"/>
      <c r="P97" s="384"/>
      <c r="Q97" s="385"/>
      <c r="R97" s="385"/>
    </row>
    <row r="98" spans="1:18">
      <c r="A98" s="574"/>
      <c r="B98" s="373">
        <v>0</v>
      </c>
      <c r="C98" s="472"/>
      <c r="D98" s="411"/>
      <c r="E98" s="448"/>
      <c r="F98" s="377"/>
      <c r="G98" s="386"/>
      <c r="H98" s="378"/>
      <c r="I98" s="379"/>
      <c r="J98" s="380"/>
      <c r="K98" s="381"/>
      <c r="L98" s="382"/>
      <c r="M98" s="383"/>
      <c r="N98" s="383"/>
      <c r="O98" s="372"/>
      <c r="P98" s="384"/>
      <c r="Q98" s="385"/>
      <c r="R98" s="385"/>
    </row>
    <row r="99" spans="1:18">
      <c r="A99" s="574"/>
      <c r="B99" s="373">
        <v>0</v>
      </c>
      <c r="C99" s="472"/>
      <c r="D99" s="411"/>
      <c r="E99" s="448"/>
      <c r="F99" s="377" t="s">
        <v>253</v>
      </c>
      <c r="G99" s="386"/>
      <c r="H99" s="378">
        <f>F99*G99</f>
        <v>0</v>
      </c>
      <c r="I99" s="379"/>
      <c r="J99" s="380"/>
      <c r="K99" s="381"/>
      <c r="L99" s="382"/>
      <c r="M99" s="383"/>
      <c r="N99" s="383"/>
      <c r="O99" s="372"/>
      <c r="P99" s="384"/>
      <c r="Q99" s="385"/>
      <c r="R99" s="385"/>
    </row>
    <row r="100" spans="1:18" ht="15.75" customHeight="1">
      <c r="A100" s="574"/>
      <c r="B100" s="373">
        <v>0</v>
      </c>
      <c r="C100" s="12" t="s">
        <v>281</v>
      </c>
      <c r="D100" s="575" t="s">
        <v>114</v>
      </c>
      <c r="E100" s="576"/>
      <c r="F100" s="392"/>
      <c r="G100" s="393"/>
      <c r="H100" s="467"/>
      <c r="I100" s="395"/>
      <c r="J100" s="396">
        <f>AVERAGE(J92:J99)</f>
        <v>3.4</v>
      </c>
      <c r="K100" s="396">
        <f>AVERAGE(K92:K99)</f>
        <v>2591.0809090909083</v>
      </c>
      <c r="L100" s="397">
        <f>AVERAGE(L92:L99)</f>
        <v>778.06113636363625</v>
      </c>
      <c r="M100" s="383"/>
      <c r="N100" s="383"/>
      <c r="O100" s="381"/>
      <c r="P100" s="381"/>
      <c r="Q100" s="382"/>
      <c r="R100" s="382"/>
    </row>
    <row r="101" spans="1:18" ht="16.25" customHeight="1">
      <c r="A101" s="577" t="s">
        <v>282</v>
      </c>
      <c r="B101" s="373" t="s">
        <v>250</v>
      </c>
      <c r="C101" s="12"/>
      <c r="D101" s="457" t="s">
        <v>319</v>
      </c>
      <c r="E101" s="476"/>
      <c r="F101" s="377">
        <v>18.18</v>
      </c>
      <c r="G101" s="370">
        <v>808</v>
      </c>
      <c r="H101" s="378">
        <f t="shared" ref="H101:H110" si="29">F101*G101</f>
        <v>14689.44</v>
      </c>
      <c r="I101" s="379"/>
      <c r="J101" s="380">
        <v>4</v>
      </c>
      <c r="K101" s="381">
        <f>G101/P101*60</f>
        <v>3232.0000000000114</v>
      </c>
      <c r="L101" s="382">
        <f t="shared" ref="L101:L105" si="30">K101/J101</f>
        <v>808.00000000000284</v>
      </c>
      <c r="M101" s="383">
        <v>0.72222222222222221</v>
      </c>
      <c r="N101" s="383">
        <v>0.73263888888888884</v>
      </c>
      <c r="O101" s="372">
        <v>20</v>
      </c>
      <c r="P101" s="381">
        <f t="shared" ref="P101:P110" si="31">(N101-M101)*24*60</f>
        <v>14.999999999999947</v>
      </c>
      <c r="Q101" s="382"/>
      <c r="R101" s="385"/>
    </row>
    <row r="102" spans="1:18">
      <c r="A102" s="577"/>
      <c r="B102" s="373" t="s">
        <v>250</v>
      </c>
      <c r="C102" s="12"/>
      <c r="D102" s="457" t="s">
        <v>320</v>
      </c>
      <c r="E102" s="476"/>
      <c r="F102" s="377">
        <v>14.03</v>
      </c>
      <c r="G102" s="370">
        <v>5544</v>
      </c>
      <c r="H102" s="378">
        <f t="shared" si="29"/>
        <v>77782.319999999992</v>
      </c>
      <c r="I102" s="379"/>
      <c r="J102" s="380">
        <v>3</v>
      </c>
      <c r="K102" s="381">
        <f t="shared" ref="K102:K105" si="32">G102/P102*60</f>
        <v>3024.0000000000018</v>
      </c>
      <c r="L102" s="382">
        <f t="shared" si="30"/>
        <v>1008.0000000000006</v>
      </c>
      <c r="M102" s="383">
        <v>0.74652777777777779</v>
      </c>
      <c r="N102" s="383">
        <v>0.82291666666666663</v>
      </c>
      <c r="O102" s="372">
        <v>20</v>
      </c>
      <c r="P102" s="381">
        <f t="shared" si="31"/>
        <v>109.99999999999993</v>
      </c>
      <c r="Q102" s="385">
        <v>0.82291666666666663</v>
      </c>
      <c r="R102" s="385">
        <v>0.86458333333333337</v>
      </c>
    </row>
    <row r="103" spans="1:18">
      <c r="A103" s="577"/>
      <c r="B103" s="373" t="s">
        <v>250</v>
      </c>
      <c r="C103" s="12"/>
      <c r="D103" s="448" t="s">
        <v>283</v>
      </c>
      <c r="E103" s="411"/>
      <c r="F103" s="377">
        <v>25.03</v>
      </c>
      <c r="G103" s="370">
        <v>1115</v>
      </c>
      <c r="H103" s="378">
        <f t="shared" si="29"/>
        <v>27908.45</v>
      </c>
      <c r="I103" s="379"/>
      <c r="J103" s="380">
        <v>4</v>
      </c>
      <c r="K103" s="381">
        <f t="shared" si="32"/>
        <v>3344.999999999985</v>
      </c>
      <c r="L103" s="382">
        <f t="shared" si="30"/>
        <v>836.24999999999625</v>
      </c>
      <c r="M103" s="383">
        <v>0.87847222222222221</v>
      </c>
      <c r="N103" s="383">
        <v>0.89236111111111116</v>
      </c>
      <c r="O103" s="372">
        <v>20</v>
      </c>
      <c r="P103" s="381">
        <f t="shared" si="31"/>
        <v>20.000000000000089</v>
      </c>
      <c r="Q103" s="385"/>
      <c r="R103" s="385"/>
    </row>
    <row r="104" spans="1:18">
      <c r="A104" s="577"/>
      <c r="B104" s="373" t="s">
        <v>250</v>
      </c>
      <c r="C104" s="12"/>
      <c r="D104" s="411" t="s">
        <v>284</v>
      </c>
      <c r="E104" s="448"/>
      <c r="F104" s="377">
        <v>24.82</v>
      </c>
      <c r="G104" s="370">
        <v>1654</v>
      </c>
      <c r="H104" s="378">
        <f t="shared" si="29"/>
        <v>41052.28</v>
      </c>
      <c r="I104" s="379"/>
      <c r="J104" s="380">
        <v>4</v>
      </c>
      <c r="K104" s="381">
        <f t="shared" si="32"/>
        <v>2835.428571428582</v>
      </c>
      <c r="L104" s="382">
        <f t="shared" si="30"/>
        <v>708.8571428571455</v>
      </c>
      <c r="M104" s="383">
        <v>0.90625</v>
      </c>
      <c r="N104" s="383">
        <v>0.93055555555555547</v>
      </c>
      <c r="O104" s="372">
        <v>20</v>
      </c>
      <c r="P104" s="381">
        <f>(N104-M104)*24*60</f>
        <v>34.999999999999872</v>
      </c>
      <c r="Q104" s="382"/>
      <c r="R104" s="385"/>
    </row>
    <row r="105" spans="1:18">
      <c r="A105" s="577"/>
      <c r="B105" s="373" t="s">
        <v>250</v>
      </c>
      <c r="C105" s="12"/>
      <c r="D105" s="411" t="s">
        <v>285</v>
      </c>
      <c r="E105" s="462"/>
      <c r="F105" s="377">
        <v>14.285714285714283</v>
      </c>
      <c r="G105" s="370">
        <v>7671</v>
      </c>
      <c r="H105" s="378">
        <f t="shared" si="29"/>
        <v>109585.71428571426</v>
      </c>
      <c r="I105" s="379"/>
      <c r="J105" s="380">
        <v>3</v>
      </c>
      <c r="K105" s="381">
        <f t="shared" si="32"/>
        <v>3068.4000000714414</v>
      </c>
      <c r="L105" s="382">
        <f t="shared" si="30"/>
        <v>1022.8000000238138</v>
      </c>
      <c r="M105" s="383">
        <v>46027.944444444445</v>
      </c>
      <c r="N105" s="463">
        <v>46028.048611111109</v>
      </c>
      <c r="O105" s="372">
        <v>20</v>
      </c>
      <c r="P105" s="381">
        <f>(N105-M105)*24*60</f>
        <v>149.99999999650754</v>
      </c>
      <c r="Q105" s="382"/>
      <c r="R105" s="385"/>
    </row>
    <row r="106" spans="1:18">
      <c r="A106" s="577"/>
      <c r="B106" s="373">
        <v>0</v>
      </c>
      <c r="C106" s="12"/>
      <c r="D106" s="457"/>
      <c r="E106" s="476"/>
      <c r="F106" s="377" t="s">
        <v>253</v>
      </c>
      <c r="G106" s="386"/>
      <c r="H106" s="378">
        <f t="shared" si="29"/>
        <v>0</v>
      </c>
      <c r="I106" s="379"/>
      <c r="J106" s="380"/>
      <c r="K106" s="381"/>
      <c r="L106" s="382"/>
      <c r="M106" s="383"/>
      <c r="N106" s="383"/>
      <c r="O106" s="381"/>
      <c r="P106" s="381">
        <f t="shared" si="31"/>
        <v>0</v>
      </c>
      <c r="Q106" s="382"/>
      <c r="R106" s="385"/>
    </row>
    <row r="107" spans="1:18">
      <c r="A107" s="577"/>
      <c r="B107" s="373">
        <v>0</v>
      </c>
      <c r="C107" s="12"/>
      <c r="D107" s="411"/>
      <c r="E107" s="462"/>
      <c r="F107" s="377" t="s">
        <v>253</v>
      </c>
      <c r="G107" s="370"/>
      <c r="H107" s="378">
        <f t="shared" si="29"/>
        <v>0</v>
      </c>
      <c r="I107" s="379"/>
      <c r="J107" s="380"/>
      <c r="K107" s="381"/>
      <c r="L107" s="382"/>
      <c r="M107" s="383"/>
      <c r="N107" s="383"/>
      <c r="O107" s="381"/>
      <c r="P107" s="381">
        <f t="shared" si="31"/>
        <v>0</v>
      </c>
      <c r="Q107" s="382"/>
      <c r="R107" s="385"/>
    </row>
    <row r="108" spans="1:18">
      <c r="A108" s="577"/>
      <c r="B108" s="373">
        <v>0</v>
      </c>
      <c r="C108" s="12"/>
      <c r="D108" s="411"/>
      <c r="E108" s="462"/>
      <c r="F108" s="377" t="s">
        <v>253</v>
      </c>
      <c r="G108" s="370"/>
      <c r="H108" s="378">
        <f t="shared" si="29"/>
        <v>0</v>
      </c>
      <c r="I108" s="379"/>
      <c r="J108" s="380"/>
      <c r="K108" s="381"/>
      <c r="L108" s="382"/>
      <c r="M108" s="383"/>
      <c r="N108" s="383"/>
      <c r="O108" s="381"/>
      <c r="P108" s="381">
        <f t="shared" si="31"/>
        <v>0</v>
      </c>
      <c r="Q108" s="382"/>
      <c r="R108" s="385"/>
    </row>
    <row r="109" spans="1:18">
      <c r="A109" s="577"/>
      <c r="B109" s="373">
        <v>0</v>
      </c>
      <c r="C109" s="472"/>
      <c r="D109" s="411"/>
      <c r="E109" s="462"/>
      <c r="F109" s="377" t="s">
        <v>253</v>
      </c>
      <c r="G109" s="370"/>
      <c r="H109" s="378">
        <f t="shared" si="29"/>
        <v>0</v>
      </c>
      <c r="I109" s="379"/>
      <c r="J109" s="380"/>
      <c r="K109" s="381"/>
      <c r="L109" s="382"/>
      <c r="M109" s="383"/>
      <c r="N109" s="383"/>
      <c r="O109" s="381"/>
      <c r="P109" s="381">
        <f t="shared" si="31"/>
        <v>0</v>
      </c>
      <c r="Q109" s="382"/>
      <c r="R109" s="385"/>
    </row>
    <row r="110" spans="1:18">
      <c r="A110" s="577"/>
      <c r="B110" s="373">
        <v>0</v>
      </c>
      <c r="C110" s="472"/>
      <c r="D110" s="411"/>
      <c r="E110" s="462"/>
      <c r="F110" s="377" t="s">
        <v>253</v>
      </c>
      <c r="G110" s="370"/>
      <c r="H110" s="378">
        <f t="shared" si="29"/>
        <v>0</v>
      </c>
      <c r="I110" s="379"/>
      <c r="J110" s="380"/>
      <c r="K110" s="381"/>
      <c r="L110" s="382"/>
      <c r="M110" s="383"/>
      <c r="N110" s="383"/>
      <c r="O110" s="381"/>
      <c r="P110" s="381">
        <f t="shared" si="31"/>
        <v>0</v>
      </c>
      <c r="Q110" s="382"/>
      <c r="R110" s="385"/>
    </row>
    <row r="111" spans="1:18" ht="15.75" customHeight="1">
      <c r="A111" s="577"/>
      <c r="B111" s="373">
        <v>0</v>
      </c>
      <c r="C111" s="12" t="s">
        <v>270</v>
      </c>
      <c r="D111" s="578" t="s">
        <v>114</v>
      </c>
      <c r="E111" s="579"/>
      <c r="F111" s="470"/>
      <c r="G111" s="471"/>
      <c r="H111" s="394"/>
      <c r="I111" s="395"/>
      <c r="J111" s="396">
        <f>AVERAGE(J101:J110)</f>
        <v>3.6</v>
      </c>
      <c r="K111" s="396">
        <f>AVERAGE(K101:K110)</f>
        <v>3100.965714300004</v>
      </c>
      <c r="L111" s="397">
        <f>AVERAGE(L101:L110)</f>
        <v>876.78142857619173</v>
      </c>
      <c r="M111" s="383"/>
      <c r="N111" s="383"/>
      <c r="O111" s="381"/>
      <c r="P111" s="381"/>
      <c r="Q111" s="382"/>
      <c r="R111" s="372"/>
    </row>
    <row r="112" spans="1:18" ht="16.25" customHeight="1">
      <c r="A112" s="565" t="s">
        <v>286</v>
      </c>
      <c r="B112" s="373">
        <v>0</v>
      </c>
      <c r="C112" s="12"/>
      <c r="D112" s="478"/>
      <c r="E112" s="478"/>
      <c r="F112" s="377" t="s">
        <v>253</v>
      </c>
      <c r="G112" s="370"/>
      <c r="H112" s="459">
        <f t="shared" si="3"/>
        <v>0</v>
      </c>
      <c r="I112" s="379"/>
      <c r="J112" s="380">
        <v>0</v>
      </c>
      <c r="K112" s="381">
        <v>0</v>
      </c>
      <c r="L112" s="382">
        <v>0</v>
      </c>
      <c r="M112" s="383"/>
      <c r="N112" s="383"/>
      <c r="O112" s="372"/>
      <c r="P112" s="384">
        <f t="shared" ref="P112:P123" si="33">(N112-M112)*24*60</f>
        <v>0</v>
      </c>
      <c r="Q112" s="372"/>
      <c r="R112" s="372"/>
    </row>
    <row r="113" spans="1:18">
      <c r="A113" s="565"/>
      <c r="B113" s="373">
        <v>0</v>
      </c>
      <c r="C113" s="460"/>
      <c r="D113" s="457"/>
      <c r="E113" s="457"/>
      <c r="F113" s="377" t="s">
        <v>253</v>
      </c>
      <c r="G113" s="370"/>
      <c r="H113" s="459">
        <f t="shared" si="3"/>
        <v>0</v>
      </c>
      <c r="I113" s="379"/>
      <c r="J113" s="380"/>
      <c r="K113" s="381"/>
      <c r="L113" s="382"/>
      <c r="M113" s="383"/>
      <c r="N113" s="383"/>
      <c r="O113" s="372"/>
      <c r="P113" s="384">
        <f t="shared" si="33"/>
        <v>0</v>
      </c>
      <c r="Q113" s="385"/>
      <c r="R113" s="385"/>
    </row>
    <row r="114" spans="1:18">
      <c r="A114" s="565"/>
      <c r="B114" s="373">
        <v>0</v>
      </c>
      <c r="C114" s="460"/>
      <c r="D114" s="448"/>
      <c r="E114" s="411"/>
      <c r="F114" s="377" t="s">
        <v>253</v>
      </c>
      <c r="G114" s="370"/>
      <c r="H114" s="459">
        <f>F114*G114</f>
        <v>0</v>
      </c>
      <c r="I114" s="379"/>
      <c r="J114" s="380"/>
      <c r="K114" s="381"/>
      <c r="L114" s="382"/>
      <c r="M114" s="383"/>
      <c r="N114" s="383"/>
      <c r="O114" s="372"/>
      <c r="P114" s="384">
        <f t="shared" si="33"/>
        <v>0</v>
      </c>
      <c r="Q114" s="385"/>
      <c r="R114" s="385"/>
    </row>
    <row r="115" spans="1:18">
      <c r="A115" s="565"/>
      <c r="B115" s="373">
        <v>0</v>
      </c>
      <c r="C115" s="460"/>
      <c r="D115" s="411"/>
      <c r="E115" s="448"/>
      <c r="F115" s="377" t="s">
        <v>253</v>
      </c>
      <c r="G115" s="370"/>
      <c r="H115" s="459">
        <f t="shared" ref="H115:H123" si="34">F115*G115</f>
        <v>0</v>
      </c>
      <c r="I115" s="379"/>
      <c r="J115" s="380"/>
      <c r="K115" s="381"/>
      <c r="L115" s="382"/>
      <c r="M115" s="383"/>
      <c r="N115" s="383"/>
      <c r="O115" s="372"/>
      <c r="P115" s="384">
        <f t="shared" si="33"/>
        <v>0</v>
      </c>
      <c r="Q115" s="385"/>
      <c r="R115" s="385"/>
    </row>
    <row r="116" spans="1:18">
      <c r="A116" s="565"/>
      <c r="B116" s="373">
        <v>0</v>
      </c>
      <c r="C116" s="460"/>
      <c r="D116" s="411"/>
      <c r="E116" s="462"/>
      <c r="F116" s="377" t="s">
        <v>253</v>
      </c>
      <c r="G116" s="370"/>
      <c r="H116" s="459">
        <f t="shared" si="34"/>
        <v>0</v>
      </c>
      <c r="I116" s="379"/>
      <c r="J116" s="380"/>
      <c r="K116" s="381"/>
      <c r="L116" s="382"/>
      <c r="M116" s="383"/>
      <c r="N116" s="463"/>
      <c r="O116" s="372"/>
      <c r="P116" s="384">
        <f t="shared" si="33"/>
        <v>0</v>
      </c>
      <c r="Q116" s="385"/>
      <c r="R116" s="385"/>
    </row>
    <row r="117" spans="1:18">
      <c r="A117" s="565"/>
      <c r="B117" s="373">
        <v>0</v>
      </c>
      <c r="C117" s="460"/>
      <c r="D117" s="462"/>
      <c r="E117" s="441"/>
      <c r="F117" s="377" t="s">
        <v>253</v>
      </c>
      <c r="G117" s="370"/>
      <c r="H117" s="459">
        <f t="shared" si="34"/>
        <v>0</v>
      </c>
      <c r="I117" s="379"/>
      <c r="J117" s="380"/>
      <c r="K117" s="381"/>
      <c r="L117" s="382"/>
      <c r="M117" s="383"/>
      <c r="N117" s="383"/>
      <c r="O117" s="381"/>
      <c r="P117" s="384">
        <f t="shared" si="33"/>
        <v>0</v>
      </c>
      <c r="Q117" s="385"/>
      <c r="R117" s="385"/>
    </row>
    <row r="118" spans="1:18">
      <c r="A118" s="565"/>
      <c r="B118" s="373">
        <v>0</v>
      </c>
      <c r="C118" s="460"/>
      <c r="D118" s="462"/>
      <c r="E118" s="441"/>
      <c r="F118" s="377" t="s">
        <v>253</v>
      </c>
      <c r="G118" s="370"/>
      <c r="H118" s="459">
        <f t="shared" si="34"/>
        <v>0</v>
      </c>
      <c r="I118" s="379"/>
      <c r="J118" s="380"/>
      <c r="K118" s="381"/>
      <c r="L118" s="382"/>
      <c r="M118" s="383"/>
      <c r="N118" s="383"/>
      <c r="O118" s="372"/>
      <c r="P118" s="384">
        <f t="shared" si="33"/>
        <v>0</v>
      </c>
      <c r="Q118" s="385"/>
      <c r="R118" s="385"/>
    </row>
    <row r="119" spans="1:18">
      <c r="A119" s="565"/>
      <c r="B119" s="373">
        <v>0</v>
      </c>
      <c r="C119" s="460"/>
      <c r="D119" s="462"/>
      <c r="E119" s="441"/>
      <c r="F119" s="377" t="s">
        <v>253</v>
      </c>
      <c r="G119" s="370"/>
      <c r="H119" s="459">
        <f t="shared" si="34"/>
        <v>0</v>
      </c>
      <c r="I119" s="379"/>
      <c r="J119" s="380"/>
      <c r="K119" s="381"/>
      <c r="L119" s="382"/>
      <c r="M119" s="383"/>
      <c r="N119" s="383"/>
      <c r="O119" s="372"/>
      <c r="P119" s="384">
        <f t="shared" si="33"/>
        <v>0</v>
      </c>
      <c r="Q119" s="385"/>
      <c r="R119" s="385"/>
    </row>
    <row r="120" spans="1:18">
      <c r="A120" s="565"/>
      <c r="B120" s="373">
        <v>0</v>
      </c>
      <c r="C120" s="460"/>
      <c r="D120" s="462"/>
      <c r="E120" s="441"/>
      <c r="F120" s="377" t="s">
        <v>253</v>
      </c>
      <c r="G120" s="370"/>
      <c r="H120" s="459"/>
      <c r="I120" s="379"/>
      <c r="J120" s="380"/>
      <c r="K120" s="381"/>
      <c r="L120" s="382"/>
      <c r="M120" s="383"/>
      <c r="N120" s="383"/>
      <c r="O120" s="372"/>
      <c r="P120" s="384"/>
      <c r="Q120" s="385"/>
      <c r="R120" s="385"/>
    </row>
    <row r="121" spans="1:18">
      <c r="A121" s="565"/>
      <c r="B121" s="373">
        <v>0</v>
      </c>
      <c r="C121" s="460"/>
      <c r="D121" s="462"/>
      <c r="E121" s="441"/>
      <c r="F121" s="377" t="s">
        <v>253</v>
      </c>
      <c r="G121" s="370"/>
      <c r="H121" s="459"/>
      <c r="I121" s="379"/>
      <c r="J121" s="380"/>
      <c r="K121" s="381"/>
      <c r="L121" s="382"/>
      <c r="M121" s="383"/>
      <c r="N121" s="383"/>
      <c r="O121" s="372"/>
      <c r="P121" s="384"/>
      <c r="Q121" s="385"/>
      <c r="R121" s="385"/>
    </row>
    <row r="122" spans="1:18">
      <c r="A122" s="565"/>
      <c r="B122" s="373">
        <v>0</v>
      </c>
      <c r="C122" s="460"/>
      <c r="D122" s="462"/>
      <c r="E122" s="441"/>
      <c r="F122" s="377" t="s">
        <v>253</v>
      </c>
      <c r="G122" s="370"/>
      <c r="H122" s="459"/>
      <c r="I122" s="379"/>
      <c r="J122" s="380"/>
      <c r="K122" s="381"/>
      <c r="L122" s="382"/>
      <c r="M122" s="383"/>
      <c r="N122" s="383"/>
      <c r="O122" s="372"/>
      <c r="P122" s="384">
        <f t="shared" si="33"/>
        <v>0</v>
      </c>
      <c r="Q122" s="385"/>
      <c r="R122" s="385"/>
    </row>
    <row r="123" spans="1:18">
      <c r="A123" s="565"/>
      <c r="B123" s="373">
        <v>0</v>
      </c>
      <c r="C123" s="460"/>
      <c r="D123" s="462"/>
      <c r="E123" s="441"/>
      <c r="F123" s="377" t="s">
        <v>253</v>
      </c>
      <c r="G123" s="370"/>
      <c r="H123" s="459">
        <f t="shared" si="34"/>
        <v>0</v>
      </c>
      <c r="I123" s="379"/>
      <c r="J123" s="380"/>
      <c r="K123" s="381"/>
      <c r="L123" s="382"/>
      <c r="M123" s="383"/>
      <c r="N123" s="383"/>
      <c r="O123" s="372"/>
      <c r="P123" s="384">
        <f t="shared" si="33"/>
        <v>0</v>
      </c>
      <c r="Q123" s="385"/>
      <c r="R123" s="385"/>
    </row>
    <row r="124" spans="1:18" ht="17.399999999999999" customHeight="1">
      <c r="A124" s="565"/>
      <c r="B124" s="472">
        <v>0</v>
      </c>
      <c r="C124" s="12" t="s">
        <v>273</v>
      </c>
      <c r="D124" s="568" t="s">
        <v>114</v>
      </c>
      <c r="E124" s="568"/>
      <c r="F124" s="392"/>
      <c r="G124" s="464"/>
      <c r="H124" s="465"/>
      <c r="I124" s="395"/>
      <c r="J124" s="396">
        <f>AVERAGE(J112:J123)</f>
        <v>0</v>
      </c>
      <c r="K124" s="396">
        <f>AVERAGE(K112:K123)</f>
        <v>0</v>
      </c>
      <c r="L124" s="397">
        <f>AVERAGE(L112:L123)</f>
        <v>0</v>
      </c>
      <c r="M124" s="383"/>
      <c r="N124" s="383"/>
      <c r="O124" s="381"/>
      <c r="P124" s="381"/>
      <c r="Q124" s="382"/>
      <c r="R124" s="382"/>
    </row>
    <row r="125" spans="1:18">
      <c r="C125" s="460"/>
    </row>
    <row r="126" spans="1:18">
      <c r="C126" s="12"/>
    </row>
  </sheetData>
  <mergeCells count="46"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52:A64"/>
    <mergeCell ref="D64:E64"/>
    <mergeCell ref="Q3:R3"/>
    <mergeCell ref="A5:A16"/>
    <mergeCell ref="D13:E13"/>
    <mergeCell ref="D16:E16"/>
    <mergeCell ref="A17:A24"/>
    <mergeCell ref="D17:E17"/>
    <mergeCell ref="D18:E18"/>
    <mergeCell ref="D19:E19"/>
    <mergeCell ref="D24:E24"/>
    <mergeCell ref="J3:J4"/>
    <mergeCell ref="K3:K4"/>
    <mergeCell ref="L3:L4"/>
    <mergeCell ref="M3:N3"/>
    <mergeCell ref="O3:O4"/>
    <mergeCell ref="A25:A38"/>
    <mergeCell ref="D38:E38"/>
    <mergeCell ref="A39:A51"/>
    <mergeCell ref="D48:E48"/>
    <mergeCell ref="D51:E51"/>
    <mergeCell ref="A65:A75"/>
    <mergeCell ref="D75:E75"/>
    <mergeCell ref="A76:A81"/>
    <mergeCell ref="D76:E76"/>
    <mergeCell ref="D77:E77"/>
    <mergeCell ref="D81:E81"/>
    <mergeCell ref="A112:A124"/>
    <mergeCell ref="D124:E124"/>
    <mergeCell ref="A82:A91"/>
    <mergeCell ref="D91:E91"/>
    <mergeCell ref="A92:A100"/>
    <mergeCell ref="D100:E100"/>
    <mergeCell ref="A101:A111"/>
    <mergeCell ref="D111:E111"/>
  </mergeCells>
  <phoneticPr fontId="1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83" activePane="bottomLeft" state="frozen"/>
      <selection activeCell="AB119" sqref="AB119:AC119"/>
      <selection pane="bottomLeft" activeCell="AB119" sqref="AB119:AC119"/>
    </sheetView>
  </sheetViews>
  <sheetFormatPr defaultColWidth="7.90625" defaultRowHeight="15.5"/>
  <cols>
    <col min="1" max="1" width="14.1796875" style="70" customWidth="1"/>
    <col min="2" max="2" width="12.81640625" style="70" customWidth="1"/>
    <col min="3" max="3" width="12.81640625" style="70" hidden="1" customWidth="1"/>
    <col min="4" max="4" width="14.1796875" style="70" customWidth="1"/>
    <col min="5" max="5" width="16.453125" style="70" customWidth="1"/>
    <col min="6" max="6" width="8.90625" style="70" customWidth="1"/>
    <col min="7" max="7" width="20.1796875" style="70" bestFit="1" customWidth="1"/>
    <col min="8" max="8" width="16.36328125" style="70" customWidth="1"/>
    <col min="9" max="9" width="6.36328125" style="70" customWidth="1"/>
    <col min="10" max="10" width="10.08984375" style="70" customWidth="1"/>
    <col min="11" max="11" width="10.6328125" style="70" customWidth="1"/>
    <col min="12" max="12" width="14.453125" style="70" customWidth="1"/>
    <col min="13" max="13" width="10.08984375" style="70" customWidth="1"/>
    <col min="14" max="14" width="9.1796875" style="70" customWidth="1"/>
    <col min="15" max="15" width="11.90625" style="70" customWidth="1"/>
    <col min="16" max="16" width="6" style="70" customWidth="1"/>
    <col min="17" max="18" width="9.1796875" style="70" customWidth="1"/>
    <col min="19" max="19" width="8.6328125" style="70" customWidth="1"/>
    <col min="20" max="21" width="7.6328125" style="70" bestFit="1" customWidth="1"/>
    <col min="22" max="22" width="10.6328125" style="70" customWidth="1"/>
    <col min="23" max="23" width="8.6328125" style="344" customWidth="1"/>
    <col min="24" max="25" width="7.08984375" style="70" customWidth="1"/>
    <col min="26" max="27" width="9.453125" style="70" customWidth="1"/>
    <col min="28" max="28" width="12.6328125" style="70" customWidth="1"/>
    <col min="29" max="29" width="12.453125" style="70" customWidth="1"/>
    <col min="30" max="31" width="9.453125" style="70" customWidth="1"/>
    <col min="32" max="32" width="13.08984375" style="70" customWidth="1"/>
    <col min="33" max="33" width="10.36328125" style="70" customWidth="1"/>
    <col min="34" max="34" width="9.1796875" style="70" customWidth="1"/>
    <col min="35" max="35" width="7.90625" style="70" customWidth="1"/>
    <col min="36" max="36" width="24.453125" style="70" bestFit="1" customWidth="1"/>
    <col min="37" max="16384" width="7.90625" style="70"/>
  </cols>
  <sheetData>
    <row r="1" spans="1:34" ht="26.25" customHeight="1">
      <c r="A1" s="62" t="s">
        <v>193</v>
      </c>
      <c r="B1" s="62"/>
      <c r="C1" s="62"/>
      <c r="D1" s="63" t="s">
        <v>194</v>
      </c>
      <c r="E1" s="64">
        <f>SUM(G5:G173)</f>
        <v>142897.84999999998</v>
      </c>
      <c r="F1" s="65" t="s">
        <v>2</v>
      </c>
      <c r="G1" s="66">
        <f>SUM(H5:H173)</f>
        <v>5781786.505233516</v>
      </c>
      <c r="H1" s="67" t="s">
        <v>83</v>
      </c>
      <c r="I1" s="68">
        <f>M17+M30+M43+M56+M69+M82+M95+M108+M121+M134+M147+M160+M173</f>
        <v>196.534126984127</v>
      </c>
      <c r="J1" s="700" t="s">
        <v>84</v>
      </c>
      <c r="K1" s="700"/>
      <c r="L1" s="700"/>
      <c r="M1" s="700" t="s">
        <v>85</v>
      </c>
      <c r="N1" s="700"/>
      <c r="O1" s="700"/>
      <c r="P1" s="700" t="s">
        <v>195</v>
      </c>
      <c r="Q1" s="700"/>
      <c r="R1" s="700"/>
      <c r="S1" s="700"/>
      <c r="T1" s="700" t="s">
        <v>196</v>
      </c>
      <c r="U1" s="700"/>
      <c r="V1" s="700"/>
      <c r="W1" s="700"/>
      <c r="X1" s="700"/>
      <c r="Y1" s="700"/>
      <c r="Z1" s="69" t="s">
        <v>197</v>
      </c>
      <c r="AA1" s="69" t="s">
        <v>198</v>
      </c>
      <c r="AB1" s="701" t="s">
        <v>199</v>
      </c>
      <c r="AC1" s="702"/>
      <c r="AD1" s="69" t="s">
        <v>197</v>
      </c>
      <c r="AE1" s="69" t="s">
        <v>200</v>
      </c>
      <c r="AF1" s="700" t="s">
        <v>201</v>
      </c>
      <c r="AG1" s="705"/>
      <c r="AH1" s="705"/>
    </row>
    <row r="2" spans="1:34" ht="26.25" customHeight="1">
      <c r="A2" s="699" t="s">
        <v>243</v>
      </c>
      <c r="B2" s="699"/>
      <c r="C2" s="63"/>
      <c r="D2" s="63" t="s">
        <v>27</v>
      </c>
      <c r="E2" s="71">
        <f>AVERAGE(O17,O30,O43,O56,O69,O82,O95,O108,O121,O134,O147,O160,O173)</f>
        <v>122.96762954426205</v>
      </c>
      <c r="F2" s="72" t="s">
        <v>88</v>
      </c>
      <c r="G2" s="73">
        <f>G1/E1</f>
        <v>40.460976181471707</v>
      </c>
      <c r="H2" s="67" t="s">
        <v>89</v>
      </c>
      <c r="I2" s="67">
        <f>COUNT(I5:I173)</f>
        <v>10</v>
      </c>
      <c r="J2" s="700"/>
      <c r="K2" s="700"/>
      <c r="L2" s="700"/>
      <c r="M2" s="700"/>
      <c r="N2" s="700"/>
      <c r="O2" s="700"/>
      <c r="P2" s="700"/>
      <c r="Q2" s="700"/>
      <c r="R2" s="700"/>
      <c r="S2" s="700"/>
      <c r="T2" s="700"/>
      <c r="U2" s="700"/>
      <c r="V2" s="700"/>
      <c r="W2" s="700"/>
      <c r="X2" s="700"/>
      <c r="Y2" s="700"/>
      <c r="Z2" s="74">
        <f>Z17+Z30+Z43+Z56+Z69+Z82+Z95+Z108+Z121+Z134+Z147+Z160+Z173</f>
        <v>0</v>
      </c>
      <c r="AA2" s="74">
        <f>AA17+AA30+AA43+AA56+AA69+AA82+AA95+AA108+AA121+AA134+AA147+AA160+AA173</f>
        <v>1</v>
      </c>
      <c r="AB2" s="703"/>
      <c r="AC2" s="704"/>
      <c r="AD2" s="75">
        <f>AD17+AD30+AD43+AD56+AD69+AD82+AD95+AD108+AD121+AD134+AD147+AD160+AD173</f>
        <v>1</v>
      </c>
      <c r="AE2" s="75">
        <f>AE17+AE30+AE43+AE56+AE69+AE82+AE95+AE108+AE121+AE134+AE147+AE160+AE173</f>
        <v>3</v>
      </c>
      <c r="AF2" s="705"/>
      <c r="AG2" s="705"/>
      <c r="AH2" s="705"/>
    </row>
    <row r="3" spans="1:34" ht="30.65" customHeight="1">
      <c r="A3" s="644" t="s">
        <v>202</v>
      </c>
      <c r="B3" s="644" t="s">
        <v>91</v>
      </c>
      <c r="C3" s="637"/>
      <c r="D3" s="644" t="s">
        <v>203</v>
      </c>
      <c r="E3" s="644"/>
      <c r="F3" s="637" t="s">
        <v>93</v>
      </c>
      <c r="G3" s="695" t="s">
        <v>94</v>
      </c>
      <c r="H3" s="637" t="s">
        <v>95</v>
      </c>
      <c r="I3" s="697" t="s">
        <v>204</v>
      </c>
      <c r="J3" s="698" t="s">
        <v>97</v>
      </c>
      <c r="K3" s="690" t="s">
        <v>98</v>
      </c>
      <c r="L3" s="677" t="s">
        <v>64</v>
      </c>
      <c r="M3" s="695" t="s">
        <v>97</v>
      </c>
      <c r="N3" s="690" t="s">
        <v>205</v>
      </c>
      <c r="O3" s="677" t="s">
        <v>27</v>
      </c>
      <c r="P3" s="698" t="s">
        <v>206</v>
      </c>
      <c r="Q3" s="677" t="s">
        <v>27</v>
      </c>
      <c r="R3" s="691" t="s">
        <v>207</v>
      </c>
      <c r="S3" s="674" t="s">
        <v>208</v>
      </c>
      <c r="T3" s="695" t="s">
        <v>101</v>
      </c>
      <c r="U3" s="695"/>
      <c r="V3" s="696" t="s">
        <v>102</v>
      </c>
      <c r="W3" s="697" t="s">
        <v>209</v>
      </c>
      <c r="X3" s="695" t="s">
        <v>210</v>
      </c>
      <c r="Y3" s="695"/>
      <c r="Z3" s="712" t="s">
        <v>211</v>
      </c>
      <c r="AA3" s="713"/>
      <c r="AB3" s="686" t="s">
        <v>212</v>
      </c>
      <c r="AC3" s="687"/>
      <c r="AD3" s="688" t="s">
        <v>213</v>
      </c>
      <c r="AE3" s="689"/>
      <c r="AF3" s="690" t="s">
        <v>205</v>
      </c>
      <c r="AG3" s="691" t="s">
        <v>207</v>
      </c>
      <c r="AH3" s="674" t="s">
        <v>208</v>
      </c>
    </row>
    <row r="4" spans="1:34" ht="30.65" customHeight="1">
      <c r="A4" s="637"/>
      <c r="B4" s="644"/>
      <c r="C4" s="654"/>
      <c r="D4" s="644"/>
      <c r="E4" s="644"/>
      <c r="F4" s="654"/>
      <c r="G4" s="695"/>
      <c r="H4" s="654"/>
      <c r="I4" s="697"/>
      <c r="J4" s="698"/>
      <c r="K4" s="690"/>
      <c r="L4" s="677"/>
      <c r="M4" s="695"/>
      <c r="N4" s="690"/>
      <c r="O4" s="677"/>
      <c r="P4" s="698"/>
      <c r="Q4" s="677"/>
      <c r="R4" s="691"/>
      <c r="S4" s="674"/>
      <c r="T4" s="76" t="s">
        <v>105</v>
      </c>
      <c r="U4" s="76" t="s">
        <v>106</v>
      </c>
      <c r="V4" s="695"/>
      <c r="W4" s="697"/>
      <c r="X4" s="65" t="s">
        <v>214</v>
      </c>
      <c r="Y4" s="65" t="s">
        <v>65</v>
      </c>
      <c r="Z4" s="76" t="s">
        <v>215</v>
      </c>
      <c r="AA4" s="76" t="s">
        <v>216</v>
      </c>
      <c r="AB4" s="687"/>
      <c r="AC4" s="687"/>
      <c r="AD4" s="76" t="s">
        <v>217</v>
      </c>
      <c r="AE4" s="77" t="s">
        <v>218</v>
      </c>
      <c r="AF4" s="690"/>
      <c r="AG4" s="691"/>
      <c r="AH4" s="674"/>
    </row>
    <row r="5" spans="1:34" ht="17.399999999999999" customHeight="1">
      <c r="A5" s="692" t="s">
        <v>219</v>
      </c>
      <c r="B5" s="78" t="s">
        <v>246</v>
      </c>
      <c r="C5" s="79"/>
      <c r="D5" s="80" t="s">
        <v>108</v>
      </c>
      <c r="E5" s="81"/>
      <c r="F5" s="82">
        <v>37.94</v>
      </c>
      <c r="G5" s="83">
        <v>1632.6</v>
      </c>
      <c r="H5" s="84">
        <f t="shared" ref="H5:H16" si="0">F5*G5</f>
        <v>61940.84399999999</v>
      </c>
      <c r="I5" s="85"/>
      <c r="J5" s="86">
        <v>20</v>
      </c>
      <c r="K5" s="83">
        <v>2400</v>
      </c>
      <c r="L5" s="87">
        <v>120</v>
      </c>
      <c r="M5" s="88">
        <v>19</v>
      </c>
      <c r="N5" s="83">
        <f t="shared" ref="N5:N12" si="1">G5/W5*60</f>
        <v>1999.1020408163272</v>
      </c>
      <c r="O5" s="87">
        <f t="shared" ref="O5:O12" si="2">N5/M5</f>
        <v>105.21589688506985</v>
      </c>
      <c r="P5" s="89">
        <f t="shared" ref="P5:P12" si="3">M5-J5</f>
        <v>-1</v>
      </c>
      <c r="Q5" s="90">
        <f t="shared" ref="Q5:Q12" si="4">O5-L5</f>
        <v>-14.784103114930147</v>
      </c>
      <c r="R5" s="91">
        <f t="shared" ref="R5:R12" si="5">O5/L5</f>
        <v>0.8767991407089154</v>
      </c>
      <c r="S5" s="659">
        <f>R17</f>
        <v>0.81547545315081782</v>
      </c>
      <c r="T5" s="92">
        <v>0.29166666666666669</v>
      </c>
      <c r="U5" s="92">
        <v>0.32569444444444445</v>
      </c>
      <c r="V5" s="65">
        <v>5</v>
      </c>
      <c r="W5" s="85">
        <f>(U5-T5)*24*60</f>
        <v>48.999999999999986</v>
      </c>
      <c r="X5" s="65"/>
      <c r="Y5" s="65"/>
      <c r="Z5" s="93"/>
      <c r="AA5" s="93"/>
      <c r="AB5" s="644"/>
      <c r="AC5" s="644"/>
      <c r="AD5" s="94"/>
      <c r="AE5" s="94"/>
      <c r="AF5" s="89">
        <f t="shared" ref="AF5:AF70" si="6">N5-K5</f>
        <v>-400.89795918367281</v>
      </c>
      <c r="AG5" s="91">
        <f t="shared" ref="AG5:AG70" si="7">N5/K5</f>
        <v>0.83295918367346966</v>
      </c>
      <c r="AH5" s="659">
        <f>AG17</f>
        <v>0.81679767921678537</v>
      </c>
    </row>
    <row r="6" spans="1:34" ht="18" customHeight="1">
      <c r="A6" s="693"/>
      <c r="B6" s="78" t="s">
        <v>246</v>
      </c>
      <c r="C6" s="79"/>
      <c r="D6" s="80" t="s">
        <v>109</v>
      </c>
      <c r="E6" s="81"/>
      <c r="F6" s="82">
        <v>31.266131815044861</v>
      </c>
      <c r="G6" s="83">
        <v>845.4</v>
      </c>
      <c r="H6" s="84">
        <f t="shared" si="0"/>
        <v>26432.387836438924</v>
      </c>
      <c r="I6" s="85"/>
      <c r="J6" s="86">
        <v>18</v>
      </c>
      <c r="K6" s="83">
        <v>3000</v>
      </c>
      <c r="L6" s="87">
        <v>166.66666666666666</v>
      </c>
      <c r="M6" s="88">
        <v>18</v>
      </c>
      <c r="N6" s="83">
        <f t="shared" si="1"/>
        <v>2415.4285714285706</v>
      </c>
      <c r="O6" s="87">
        <f t="shared" si="2"/>
        <v>134.19047619047615</v>
      </c>
      <c r="P6" s="89">
        <f t="shared" si="3"/>
        <v>0</v>
      </c>
      <c r="Q6" s="90">
        <f t="shared" si="4"/>
        <v>-32.47619047619051</v>
      </c>
      <c r="R6" s="91">
        <f t="shared" si="5"/>
        <v>0.80514285714285694</v>
      </c>
      <c r="S6" s="659"/>
      <c r="T6" s="92">
        <v>0.33055555555555555</v>
      </c>
      <c r="U6" s="92">
        <v>0.34513888888888888</v>
      </c>
      <c r="V6" s="65">
        <v>7</v>
      </c>
      <c r="W6" s="85">
        <f t="shared" ref="W6:W17" si="8">(U6-T6)*24*60</f>
        <v>21.000000000000007</v>
      </c>
      <c r="X6" s="95"/>
      <c r="Y6" s="95"/>
      <c r="Z6" s="96"/>
      <c r="AA6" s="96"/>
      <c r="AB6" s="644"/>
      <c r="AC6" s="644"/>
      <c r="AD6" s="97"/>
      <c r="AE6" s="97"/>
      <c r="AF6" s="89">
        <f t="shared" si="6"/>
        <v>-584.57142857142935</v>
      </c>
      <c r="AG6" s="91">
        <f t="shared" si="7"/>
        <v>0.80514285714285694</v>
      </c>
      <c r="AH6" s="659"/>
    </row>
    <row r="7" spans="1:34" ht="18" customHeight="1">
      <c r="A7" s="693"/>
      <c r="B7" s="78" t="s">
        <v>246</v>
      </c>
      <c r="C7" s="79"/>
      <c r="D7" s="80" t="s">
        <v>110</v>
      </c>
      <c r="E7" s="81"/>
      <c r="F7" s="82">
        <v>38.630952380952372</v>
      </c>
      <c r="G7" s="83">
        <v>1310.3999999999999</v>
      </c>
      <c r="H7" s="84">
        <f t="shared" si="0"/>
        <v>50621.999999999985</v>
      </c>
      <c r="I7" s="85"/>
      <c r="J7" s="86">
        <v>18</v>
      </c>
      <c r="K7" s="83">
        <v>3000</v>
      </c>
      <c r="L7" s="87">
        <v>166.66666666666666</v>
      </c>
      <c r="M7" s="88">
        <v>19</v>
      </c>
      <c r="N7" s="83">
        <f t="shared" si="1"/>
        <v>2457.0000000000023</v>
      </c>
      <c r="O7" s="87">
        <f t="shared" si="2"/>
        <v>129.31578947368433</v>
      </c>
      <c r="P7" s="89">
        <f t="shared" si="3"/>
        <v>1</v>
      </c>
      <c r="Q7" s="90">
        <f t="shared" si="4"/>
        <v>-37.350877192982324</v>
      </c>
      <c r="R7" s="91">
        <f t="shared" si="5"/>
        <v>0.77589473684210608</v>
      </c>
      <c r="S7" s="659"/>
      <c r="T7" s="92">
        <v>0.3611111111111111</v>
      </c>
      <c r="U7" s="92">
        <v>0.3833333333333333</v>
      </c>
      <c r="V7" s="65">
        <v>23</v>
      </c>
      <c r="W7" s="85">
        <f t="shared" si="8"/>
        <v>31.999999999999964</v>
      </c>
      <c r="X7" s="95">
        <v>0.34861111111111115</v>
      </c>
      <c r="Y7" s="95">
        <v>0.35833333333333334</v>
      </c>
      <c r="Z7" s="96"/>
      <c r="AA7" s="96"/>
      <c r="AB7" s="644"/>
      <c r="AC7" s="644"/>
      <c r="AD7" s="97"/>
      <c r="AE7" s="97"/>
      <c r="AF7" s="89">
        <f t="shared" si="6"/>
        <v>-542.99999999999773</v>
      </c>
      <c r="AG7" s="91">
        <f t="shared" si="7"/>
        <v>0.81900000000000073</v>
      </c>
      <c r="AH7" s="659"/>
    </row>
    <row r="8" spans="1:34" ht="18" customHeight="1">
      <c r="A8" s="693"/>
      <c r="B8" s="78" t="s">
        <v>246</v>
      </c>
      <c r="C8" s="79"/>
      <c r="D8" s="80" t="s">
        <v>111</v>
      </c>
      <c r="E8" s="81"/>
      <c r="F8" s="82">
        <v>38</v>
      </c>
      <c r="G8" s="83">
        <v>3382</v>
      </c>
      <c r="H8" s="84">
        <f t="shared" si="0"/>
        <v>128516</v>
      </c>
      <c r="I8" s="85"/>
      <c r="J8" s="86">
        <v>19</v>
      </c>
      <c r="K8" s="83">
        <v>3000</v>
      </c>
      <c r="L8" s="87">
        <v>157.89473684210526</v>
      </c>
      <c r="M8" s="88">
        <v>18</v>
      </c>
      <c r="N8" s="83">
        <f t="shared" si="1"/>
        <v>2444.8192771084327</v>
      </c>
      <c r="O8" s="87">
        <f t="shared" si="2"/>
        <v>135.82329317269071</v>
      </c>
      <c r="P8" s="89">
        <f t="shared" si="3"/>
        <v>-1</v>
      </c>
      <c r="Q8" s="90">
        <f t="shared" si="4"/>
        <v>-22.071443669414549</v>
      </c>
      <c r="R8" s="91">
        <f t="shared" si="5"/>
        <v>0.86021419009370781</v>
      </c>
      <c r="S8" s="659"/>
      <c r="T8" s="92">
        <v>0.3881944444444444</v>
      </c>
      <c r="U8" s="92">
        <v>0.4458333333333333</v>
      </c>
      <c r="V8" s="65">
        <v>7</v>
      </c>
      <c r="W8" s="85">
        <f t="shared" si="8"/>
        <v>83.000000000000028</v>
      </c>
      <c r="X8" s="95"/>
      <c r="Y8" s="95"/>
      <c r="Z8" s="96"/>
      <c r="AA8" s="96"/>
      <c r="AB8" s="644"/>
      <c r="AC8" s="644"/>
      <c r="AD8" s="97"/>
      <c r="AE8" s="97">
        <v>1</v>
      </c>
      <c r="AF8" s="89">
        <f t="shared" si="6"/>
        <v>-555.18072289156726</v>
      </c>
      <c r="AG8" s="91">
        <f t="shared" si="7"/>
        <v>0.81493975903614424</v>
      </c>
      <c r="AH8" s="659"/>
    </row>
    <row r="9" spans="1:34" ht="20" customHeight="1">
      <c r="A9" s="693"/>
      <c r="B9" s="78" t="s">
        <v>246</v>
      </c>
      <c r="C9" s="98"/>
      <c r="D9" s="80" t="s">
        <v>110</v>
      </c>
      <c r="E9" s="99"/>
      <c r="F9" s="82">
        <v>38.630952380952372</v>
      </c>
      <c r="G9" s="100">
        <v>873.6</v>
      </c>
      <c r="H9" s="84">
        <f t="shared" si="0"/>
        <v>33747.999999999993</v>
      </c>
      <c r="I9" s="97">
        <v>2</v>
      </c>
      <c r="J9" s="86">
        <v>18</v>
      </c>
      <c r="K9" s="83">
        <v>3000</v>
      </c>
      <c r="L9" s="87">
        <v>166.66666666666666</v>
      </c>
      <c r="M9" s="88">
        <v>19</v>
      </c>
      <c r="N9" s="83">
        <f t="shared" si="1"/>
        <v>2496.0000000000091</v>
      </c>
      <c r="O9" s="87">
        <f t="shared" si="2"/>
        <v>131.36842105263204</v>
      </c>
      <c r="P9" s="89">
        <f t="shared" si="3"/>
        <v>1</v>
      </c>
      <c r="Q9" s="90">
        <f t="shared" si="4"/>
        <v>-35.298245614034613</v>
      </c>
      <c r="R9" s="91">
        <f t="shared" si="5"/>
        <v>0.78821052631579236</v>
      </c>
      <c r="S9" s="659"/>
      <c r="T9" s="92">
        <v>0.48611111111111105</v>
      </c>
      <c r="U9" s="92">
        <v>0.50069444444444433</v>
      </c>
      <c r="V9" s="65">
        <v>5</v>
      </c>
      <c r="W9" s="85">
        <f t="shared" si="8"/>
        <v>20.999999999999925</v>
      </c>
      <c r="X9" s="95"/>
      <c r="Y9" s="95"/>
      <c r="Z9" s="96"/>
      <c r="AA9" s="96"/>
      <c r="AB9" s="644"/>
      <c r="AC9" s="644"/>
      <c r="AD9" s="97"/>
      <c r="AE9" s="97"/>
      <c r="AF9" s="89">
        <f t="shared" si="6"/>
        <v>-503.99999999999091</v>
      </c>
      <c r="AG9" s="91">
        <f t="shared" si="7"/>
        <v>0.83200000000000307</v>
      </c>
      <c r="AH9" s="659"/>
    </row>
    <row r="10" spans="1:34" ht="18" customHeight="1">
      <c r="A10" s="694"/>
      <c r="B10" s="78" t="s">
        <v>246</v>
      </c>
      <c r="C10" s="79"/>
      <c r="D10" s="80" t="s">
        <v>109</v>
      </c>
      <c r="E10" s="81"/>
      <c r="F10" s="82">
        <v>31.266131815044861</v>
      </c>
      <c r="G10" s="83">
        <v>563.6</v>
      </c>
      <c r="H10" s="84">
        <f t="shared" si="0"/>
        <v>17621.591890959284</v>
      </c>
      <c r="I10" s="85">
        <v>2</v>
      </c>
      <c r="J10" s="86">
        <v>18</v>
      </c>
      <c r="K10" s="83">
        <v>3000</v>
      </c>
      <c r="L10" s="87">
        <v>166.66666666666666</v>
      </c>
      <c r="M10" s="88">
        <v>18</v>
      </c>
      <c r="N10" s="83">
        <f t="shared" si="1"/>
        <v>2415.4285714285802</v>
      </c>
      <c r="O10" s="87">
        <f t="shared" si="2"/>
        <v>134.19047619047669</v>
      </c>
      <c r="P10" s="89">
        <f t="shared" si="3"/>
        <v>0</v>
      </c>
      <c r="Q10" s="90">
        <f t="shared" si="4"/>
        <v>-32.47619047618997</v>
      </c>
      <c r="R10" s="91">
        <f t="shared" si="5"/>
        <v>0.80514285714286016</v>
      </c>
      <c r="S10" s="662"/>
      <c r="T10" s="92">
        <v>0.50624999999999987</v>
      </c>
      <c r="U10" s="92">
        <v>0.51597222222222205</v>
      </c>
      <c r="V10" s="65">
        <v>8</v>
      </c>
      <c r="W10" s="85">
        <f t="shared" si="8"/>
        <v>13.99999999999995</v>
      </c>
      <c r="X10" s="95"/>
      <c r="Y10" s="95"/>
      <c r="Z10" s="96"/>
      <c r="AA10" s="96"/>
      <c r="AB10" s="644"/>
      <c r="AC10" s="644"/>
      <c r="AD10" s="97"/>
      <c r="AE10" s="97"/>
      <c r="AF10" s="89">
        <f t="shared" si="6"/>
        <v>-584.5714285714198</v>
      </c>
      <c r="AG10" s="91">
        <f t="shared" si="7"/>
        <v>0.80514285714286005</v>
      </c>
      <c r="AH10" s="662"/>
    </row>
    <row r="11" spans="1:34" ht="18" customHeight="1">
      <c r="A11" s="694"/>
      <c r="B11" s="78" t="s">
        <v>246</v>
      </c>
      <c r="C11" s="79"/>
      <c r="D11" s="80" t="s">
        <v>108</v>
      </c>
      <c r="E11" s="81"/>
      <c r="F11" s="82">
        <v>37.94</v>
      </c>
      <c r="G11" s="83">
        <v>1088.4000000000001</v>
      </c>
      <c r="H11" s="84">
        <f t="shared" si="0"/>
        <v>41293.896000000001</v>
      </c>
      <c r="I11" s="85">
        <v>2</v>
      </c>
      <c r="J11" s="86">
        <v>20</v>
      </c>
      <c r="K11" s="83">
        <v>2400</v>
      </c>
      <c r="L11" s="87">
        <v>120</v>
      </c>
      <c r="M11" s="88">
        <v>19</v>
      </c>
      <c r="N11" s="83">
        <f t="shared" si="1"/>
        <v>1978.9090909090885</v>
      </c>
      <c r="O11" s="87">
        <f t="shared" si="2"/>
        <v>104.15311004784677</v>
      </c>
      <c r="P11" s="89">
        <f t="shared" si="3"/>
        <v>-1</v>
      </c>
      <c r="Q11" s="90">
        <f t="shared" si="4"/>
        <v>-15.846889952153234</v>
      </c>
      <c r="R11" s="91">
        <f t="shared" si="5"/>
        <v>0.86794258373205635</v>
      </c>
      <c r="S11" s="662"/>
      <c r="T11" s="92">
        <v>0.52083333333333315</v>
      </c>
      <c r="U11" s="92">
        <v>0.54374999999999984</v>
      </c>
      <c r="V11" s="65">
        <v>7</v>
      </c>
      <c r="W11" s="85">
        <f t="shared" si="8"/>
        <v>33.000000000000043</v>
      </c>
      <c r="X11" s="95"/>
      <c r="Y11" s="95"/>
      <c r="Z11" s="96"/>
      <c r="AA11" s="96"/>
      <c r="AB11" s="644"/>
      <c r="AC11" s="644"/>
      <c r="AD11" s="97"/>
      <c r="AE11" s="97"/>
      <c r="AF11" s="89">
        <f t="shared" si="6"/>
        <v>-421.09090909091151</v>
      </c>
      <c r="AG11" s="91">
        <f t="shared" si="7"/>
        <v>0.82454545454545358</v>
      </c>
      <c r="AH11" s="662"/>
    </row>
    <row r="12" spans="1:34" ht="18" customHeight="1">
      <c r="A12" s="694"/>
      <c r="B12" s="78" t="s">
        <v>248</v>
      </c>
      <c r="C12" s="79"/>
      <c r="D12" s="80" t="s">
        <v>113</v>
      </c>
      <c r="E12" s="81"/>
      <c r="F12" s="82">
        <v>38.39</v>
      </c>
      <c r="G12" s="83">
        <v>1389</v>
      </c>
      <c r="H12" s="84">
        <f t="shared" si="0"/>
        <v>53323.71</v>
      </c>
      <c r="I12" s="85">
        <v>2</v>
      </c>
      <c r="J12" s="86">
        <v>17</v>
      </c>
      <c r="K12" s="83">
        <v>1636</v>
      </c>
      <c r="L12" s="87">
        <v>96.235294117647058</v>
      </c>
      <c r="M12" s="88">
        <v>18</v>
      </c>
      <c r="N12" s="83">
        <f t="shared" si="1"/>
        <v>1302.1875000000016</v>
      </c>
      <c r="O12" s="87">
        <f t="shared" si="2"/>
        <v>72.343750000000085</v>
      </c>
      <c r="P12" s="89">
        <f t="shared" si="3"/>
        <v>1</v>
      </c>
      <c r="Q12" s="90">
        <f t="shared" si="4"/>
        <v>-23.891544117646973</v>
      </c>
      <c r="R12" s="91">
        <f t="shared" si="5"/>
        <v>0.7517382334963334</v>
      </c>
      <c r="S12" s="662"/>
      <c r="T12" s="92">
        <v>0.54930555555555538</v>
      </c>
      <c r="U12" s="92">
        <v>0.59374999999999978</v>
      </c>
      <c r="V12" s="65">
        <v>8</v>
      </c>
      <c r="W12" s="85">
        <f t="shared" si="8"/>
        <v>63.999999999999929</v>
      </c>
      <c r="X12" s="95"/>
      <c r="Y12" s="95"/>
      <c r="Z12" s="96"/>
      <c r="AA12" s="96"/>
      <c r="AB12" s="644"/>
      <c r="AC12" s="644"/>
      <c r="AD12" s="97"/>
      <c r="AE12" s="97"/>
      <c r="AF12" s="89"/>
      <c r="AG12" s="91"/>
      <c r="AH12" s="662"/>
    </row>
    <row r="13" spans="1:34" ht="18" customHeight="1">
      <c r="A13" s="694"/>
      <c r="B13" s="78">
        <v>0</v>
      </c>
      <c r="C13" s="101"/>
      <c r="D13" s="102"/>
      <c r="E13" s="103"/>
      <c r="F13" s="82" t="s">
        <v>253</v>
      </c>
      <c r="G13" s="104"/>
      <c r="H13" s="84">
        <f t="shared" si="0"/>
        <v>0</v>
      </c>
      <c r="I13" s="105"/>
      <c r="J13" s="86"/>
      <c r="K13" s="83"/>
      <c r="L13" s="87"/>
      <c r="M13" s="106"/>
      <c r="N13" s="83"/>
      <c r="O13" s="87"/>
      <c r="P13" s="89"/>
      <c r="Q13" s="90"/>
      <c r="R13" s="91"/>
      <c r="S13" s="662"/>
      <c r="T13" s="107"/>
      <c r="U13" s="107"/>
      <c r="V13" s="105"/>
      <c r="W13" s="85">
        <f t="shared" si="8"/>
        <v>0</v>
      </c>
      <c r="X13" s="108"/>
      <c r="Y13" s="108"/>
      <c r="Z13" s="96"/>
      <c r="AA13" s="96"/>
      <c r="AB13" s="641"/>
      <c r="AC13" s="642"/>
      <c r="AD13" s="97"/>
      <c r="AE13" s="97"/>
      <c r="AF13" s="118"/>
      <c r="AG13" s="125"/>
      <c r="AH13" s="662"/>
    </row>
    <row r="14" spans="1:34" ht="18" customHeight="1">
      <c r="A14" s="694"/>
      <c r="B14" s="78">
        <v>0</v>
      </c>
      <c r="C14" s="109"/>
      <c r="D14" s="80"/>
      <c r="E14" s="81"/>
      <c r="F14" s="82" t="s">
        <v>253</v>
      </c>
      <c r="G14" s="104"/>
      <c r="H14" s="84">
        <f t="shared" si="0"/>
        <v>0</v>
      </c>
      <c r="I14" s="105"/>
      <c r="J14" s="86"/>
      <c r="K14" s="83"/>
      <c r="L14" s="87"/>
      <c r="M14" s="106"/>
      <c r="N14" s="83"/>
      <c r="O14" s="87"/>
      <c r="P14" s="89"/>
      <c r="Q14" s="90"/>
      <c r="R14" s="91"/>
      <c r="S14" s="662"/>
      <c r="T14" s="107"/>
      <c r="U14" s="107"/>
      <c r="V14" s="105"/>
      <c r="W14" s="85">
        <f t="shared" si="8"/>
        <v>0</v>
      </c>
      <c r="X14" s="108"/>
      <c r="Y14" s="108"/>
      <c r="Z14" s="96"/>
      <c r="AA14" s="96"/>
      <c r="AB14" s="641"/>
      <c r="AC14" s="642"/>
      <c r="AD14" s="97"/>
      <c r="AE14" s="97"/>
      <c r="AF14" s="118"/>
      <c r="AG14" s="125"/>
      <c r="AH14" s="662"/>
    </row>
    <row r="15" spans="1:34" ht="18" customHeight="1">
      <c r="A15" s="694"/>
      <c r="B15" s="110">
        <v>0</v>
      </c>
      <c r="C15" s="101"/>
      <c r="D15" s="102"/>
      <c r="E15" s="103"/>
      <c r="F15" s="82" t="s">
        <v>253</v>
      </c>
      <c r="G15" s="104"/>
      <c r="H15" s="84">
        <f t="shared" si="0"/>
        <v>0</v>
      </c>
      <c r="I15" s="105"/>
      <c r="J15" s="86"/>
      <c r="K15" s="83"/>
      <c r="L15" s="87"/>
      <c r="M15" s="106"/>
      <c r="N15" s="111"/>
      <c r="O15" s="87"/>
      <c r="P15" s="89"/>
      <c r="Q15" s="90"/>
      <c r="R15" s="91"/>
      <c r="S15" s="662"/>
      <c r="T15" s="107"/>
      <c r="U15" s="107"/>
      <c r="V15" s="105"/>
      <c r="W15" s="85">
        <f t="shared" si="8"/>
        <v>0</v>
      </c>
      <c r="X15" s="108"/>
      <c r="Y15" s="108"/>
      <c r="Z15" s="96"/>
      <c r="AA15" s="96"/>
      <c r="AB15" s="641"/>
      <c r="AC15" s="642"/>
      <c r="AD15" s="97"/>
      <c r="AE15" s="97"/>
      <c r="AF15" s="118"/>
      <c r="AG15" s="125"/>
      <c r="AH15" s="662"/>
    </row>
    <row r="16" spans="1:34" ht="18" customHeight="1">
      <c r="A16" s="694"/>
      <c r="B16" s="110">
        <v>0</v>
      </c>
      <c r="C16" s="101"/>
      <c r="D16" s="102"/>
      <c r="E16" s="103"/>
      <c r="F16" s="82" t="s">
        <v>253</v>
      </c>
      <c r="G16" s="104"/>
      <c r="H16" s="84">
        <f t="shared" si="0"/>
        <v>0</v>
      </c>
      <c r="I16" s="105"/>
      <c r="J16" s="86"/>
      <c r="K16" s="83"/>
      <c r="L16" s="87"/>
      <c r="M16" s="106"/>
      <c r="N16" s="111"/>
      <c r="O16" s="87"/>
      <c r="P16" s="89"/>
      <c r="Q16" s="90"/>
      <c r="R16" s="91"/>
      <c r="S16" s="662"/>
      <c r="T16" s="107"/>
      <c r="U16" s="107"/>
      <c r="V16" s="105"/>
      <c r="W16" s="85">
        <f t="shared" si="8"/>
        <v>0</v>
      </c>
      <c r="X16" s="108"/>
      <c r="Y16" s="108"/>
      <c r="Z16" s="96"/>
      <c r="AA16" s="96"/>
      <c r="AB16" s="641"/>
      <c r="AC16" s="642"/>
      <c r="AD16" s="97"/>
      <c r="AE16" s="97"/>
      <c r="AF16" s="118"/>
      <c r="AG16" s="125"/>
      <c r="AH16" s="662"/>
    </row>
    <row r="17" spans="1:34" ht="18" customHeight="1">
      <c r="A17" s="694"/>
      <c r="B17" s="112">
        <v>0</v>
      </c>
      <c r="C17" s="112" t="s">
        <v>13</v>
      </c>
      <c r="D17" s="635" t="s">
        <v>220</v>
      </c>
      <c r="E17" s="635"/>
      <c r="F17" s="113"/>
      <c r="G17" s="114"/>
      <c r="H17" s="115"/>
      <c r="I17" s="116"/>
      <c r="J17" s="114">
        <v>18.5</v>
      </c>
      <c r="K17" s="114">
        <v>2679.5</v>
      </c>
      <c r="L17" s="117">
        <v>145.09958720330235</v>
      </c>
      <c r="M17" s="114">
        <f t="shared" ref="M17:O17" si="9">AVERAGE(M5:M16)</f>
        <v>18.5</v>
      </c>
      <c r="N17" s="114">
        <f t="shared" si="9"/>
        <v>2188.6093814613764</v>
      </c>
      <c r="O17" s="117">
        <f t="shared" si="9"/>
        <v>118.32515162660958</v>
      </c>
      <c r="P17" s="118">
        <f t="shared" ref="P17:P24" si="10">M17-J17</f>
        <v>0</v>
      </c>
      <c r="Q17" s="119">
        <f t="shared" ref="Q17:Q24" si="11">O17-L17</f>
        <v>-26.774435576692767</v>
      </c>
      <c r="R17" s="120">
        <f>O17/L17</f>
        <v>0.81547545315081782</v>
      </c>
      <c r="S17" s="662"/>
      <c r="T17" s="107"/>
      <c r="U17" s="107"/>
      <c r="V17" s="105"/>
      <c r="W17" s="121">
        <f t="shared" si="8"/>
        <v>0</v>
      </c>
      <c r="X17" s="122"/>
      <c r="Y17" s="122"/>
      <c r="Z17" s="123">
        <f>SUM(Z5:Z16)</f>
        <v>0</v>
      </c>
      <c r="AA17" s="123">
        <f>SUM(AA5:AA16)</f>
        <v>0</v>
      </c>
      <c r="AB17" s="637"/>
      <c r="AC17" s="637"/>
      <c r="AD17" s="124">
        <f>SUM(AD5:AD16)</f>
        <v>0</v>
      </c>
      <c r="AE17" s="124">
        <f>SUM(AE5:AE16)</f>
        <v>1</v>
      </c>
      <c r="AF17" s="118">
        <f t="shared" si="6"/>
        <v>-490.89061853862358</v>
      </c>
      <c r="AG17" s="125">
        <f t="shared" si="7"/>
        <v>0.81679767921678537</v>
      </c>
      <c r="AH17" s="662"/>
    </row>
    <row r="18" spans="1:34" ht="18" customHeight="1">
      <c r="A18" s="631" t="s">
        <v>221</v>
      </c>
      <c r="B18" s="346" t="s">
        <v>246</v>
      </c>
      <c r="C18" s="127"/>
      <c r="D18" s="168" t="s">
        <v>115</v>
      </c>
      <c r="E18" s="169"/>
      <c r="F18" s="347">
        <v>36.86</v>
      </c>
      <c r="G18" s="100">
        <v>1313</v>
      </c>
      <c r="H18" s="129">
        <f t="shared" ref="H18:H29" si="12">F18*G18</f>
        <v>48397.18</v>
      </c>
      <c r="I18" s="97"/>
      <c r="J18" s="348">
        <v>20</v>
      </c>
      <c r="K18" s="100">
        <v>2250</v>
      </c>
      <c r="L18" s="131">
        <v>112.5</v>
      </c>
      <c r="M18" s="130">
        <v>20</v>
      </c>
      <c r="N18" s="100">
        <f t="shared" ref="N18:N24" si="13">G18/W18*60</f>
        <v>1969.5000000000009</v>
      </c>
      <c r="O18" s="131">
        <f t="shared" ref="O18:O24" si="14">N18/M18</f>
        <v>98.475000000000051</v>
      </c>
      <c r="P18" s="96">
        <f t="shared" si="10"/>
        <v>0</v>
      </c>
      <c r="Q18" s="132">
        <f t="shared" si="11"/>
        <v>-14.024999999999949</v>
      </c>
      <c r="R18" s="133">
        <f t="shared" ref="R18:R24" si="15">O18/L18</f>
        <v>0.87533333333333374</v>
      </c>
      <c r="S18" s="632">
        <f>R30</f>
        <v>0.88813114757500233</v>
      </c>
      <c r="T18" s="134">
        <v>0.16666666666666666</v>
      </c>
      <c r="U18" s="134">
        <v>0.19444444444444442</v>
      </c>
      <c r="V18" s="97">
        <v>5</v>
      </c>
      <c r="W18" s="135">
        <f>(U18-T18)*24*60</f>
        <v>39.999999999999979</v>
      </c>
      <c r="X18" s="131"/>
      <c r="Y18" s="131"/>
      <c r="Z18" s="96"/>
      <c r="AA18" s="96"/>
      <c r="AB18" s="664"/>
      <c r="AC18" s="707"/>
      <c r="AD18" s="97"/>
      <c r="AE18" s="97"/>
      <c r="AF18" s="349">
        <f t="shared" si="6"/>
        <v>-280.49999999999909</v>
      </c>
      <c r="AG18" s="350">
        <f t="shared" si="7"/>
        <v>0.87533333333333374</v>
      </c>
      <c r="AH18" s="708">
        <f>AG30</f>
        <v>0.8522799732253844</v>
      </c>
    </row>
    <row r="19" spans="1:34" ht="18" customHeight="1">
      <c r="A19" s="631"/>
      <c r="B19" s="351" t="s">
        <v>248</v>
      </c>
      <c r="C19" s="219"/>
      <c r="D19" s="168" t="s">
        <v>116</v>
      </c>
      <c r="E19" s="169"/>
      <c r="F19" s="82">
        <v>56.43</v>
      </c>
      <c r="G19" s="100">
        <v>2328.3000000000002</v>
      </c>
      <c r="H19" s="129">
        <f t="shared" si="12"/>
        <v>131385.96900000001</v>
      </c>
      <c r="I19" s="97"/>
      <c r="J19" s="352">
        <v>18</v>
      </c>
      <c r="K19" s="83">
        <v>1500</v>
      </c>
      <c r="L19" s="87">
        <v>83.333333333333329</v>
      </c>
      <c r="M19" s="130">
        <v>18</v>
      </c>
      <c r="N19" s="151">
        <f t="shared" si="13"/>
        <v>1305.5887850467293</v>
      </c>
      <c r="O19" s="154">
        <f t="shared" si="14"/>
        <v>72.532710280373848</v>
      </c>
      <c r="P19" s="96">
        <f t="shared" si="10"/>
        <v>0</v>
      </c>
      <c r="Q19" s="132">
        <f t="shared" si="11"/>
        <v>-10.80062305295948</v>
      </c>
      <c r="R19" s="133">
        <f t="shared" si="15"/>
        <v>0.87039252336448625</v>
      </c>
      <c r="S19" s="632"/>
      <c r="T19" s="134">
        <v>0.19930555555555554</v>
      </c>
      <c r="U19" s="134">
        <v>0.27361111111111108</v>
      </c>
      <c r="V19" s="97">
        <v>7</v>
      </c>
      <c r="W19" s="135">
        <f>(U19-T19)*24*60</f>
        <v>106.99999999999999</v>
      </c>
      <c r="X19" s="136"/>
      <c r="Y19" s="136"/>
      <c r="Z19" s="96"/>
      <c r="AA19" s="96"/>
      <c r="AB19" s="642"/>
      <c r="AC19" s="644"/>
      <c r="AD19" s="97"/>
      <c r="AE19" s="97"/>
      <c r="AF19" s="89">
        <f t="shared" si="6"/>
        <v>-194.4112149532707</v>
      </c>
      <c r="AG19" s="91">
        <f t="shared" si="7"/>
        <v>0.87039252336448625</v>
      </c>
      <c r="AH19" s="709"/>
    </row>
    <row r="20" spans="1:34" ht="18" customHeight="1">
      <c r="A20" s="631"/>
      <c r="B20" s="351" t="s">
        <v>248</v>
      </c>
      <c r="C20" s="98"/>
      <c r="D20" s="80" t="s">
        <v>113</v>
      </c>
      <c r="E20" s="169"/>
      <c r="F20" s="82">
        <v>38.39</v>
      </c>
      <c r="G20" s="100">
        <v>3241</v>
      </c>
      <c r="H20" s="129">
        <f t="shared" si="12"/>
        <v>124421.99</v>
      </c>
      <c r="I20" s="97"/>
      <c r="J20" s="352">
        <v>17</v>
      </c>
      <c r="K20" s="83">
        <v>1636</v>
      </c>
      <c r="L20" s="87">
        <v>96.235294117647058</v>
      </c>
      <c r="M20" s="130">
        <v>18</v>
      </c>
      <c r="N20" s="151">
        <f t="shared" si="13"/>
        <v>1350.416666666667</v>
      </c>
      <c r="O20" s="154">
        <f t="shared" si="14"/>
        <v>75.023148148148167</v>
      </c>
      <c r="P20" s="96">
        <f t="shared" si="10"/>
        <v>1</v>
      </c>
      <c r="Q20" s="132">
        <f t="shared" si="11"/>
        <v>-21.212145969498891</v>
      </c>
      <c r="R20" s="133">
        <f t="shared" si="15"/>
        <v>0.77958039029249315</v>
      </c>
      <c r="S20" s="632"/>
      <c r="T20" s="134">
        <v>0.29027777777777775</v>
      </c>
      <c r="U20" s="134">
        <v>0.39027777777777772</v>
      </c>
      <c r="V20" s="97">
        <v>24</v>
      </c>
      <c r="W20" s="135">
        <f t="shared" ref="W20:W29" si="16">(U20-T20)*24*60</f>
        <v>143.99999999999997</v>
      </c>
      <c r="X20" s="136">
        <v>0.27708333333333335</v>
      </c>
      <c r="Y20" s="136">
        <v>0.28750000000000003</v>
      </c>
      <c r="Z20" s="96"/>
      <c r="AA20" s="96"/>
      <c r="AB20" s="642"/>
      <c r="AC20" s="644"/>
      <c r="AD20" s="97"/>
      <c r="AE20" s="97"/>
      <c r="AF20" s="89">
        <f t="shared" si="6"/>
        <v>-285.58333333333303</v>
      </c>
      <c r="AG20" s="91">
        <f t="shared" si="7"/>
        <v>0.82543806030969868</v>
      </c>
      <c r="AH20" s="709"/>
    </row>
    <row r="21" spans="1:34" ht="18" customHeight="1">
      <c r="A21" s="631"/>
      <c r="B21" s="351" t="s">
        <v>247</v>
      </c>
      <c r="C21" s="176"/>
      <c r="D21" s="165" t="s">
        <v>117</v>
      </c>
      <c r="E21" s="81"/>
      <c r="F21" s="82">
        <v>43.14</v>
      </c>
      <c r="G21" s="83">
        <v>626</v>
      </c>
      <c r="H21" s="129">
        <f t="shared" si="12"/>
        <v>27005.64</v>
      </c>
      <c r="I21" s="65"/>
      <c r="J21" s="352">
        <v>17</v>
      </c>
      <c r="K21" s="83">
        <v>1440</v>
      </c>
      <c r="L21" s="87">
        <v>84.705882352941174</v>
      </c>
      <c r="M21" s="88">
        <v>16</v>
      </c>
      <c r="N21" s="151">
        <f t="shared" si="13"/>
        <v>1252.0000000000011</v>
      </c>
      <c r="O21" s="154">
        <f t="shared" si="14"/>
        <v>78.250000000000071</v>
      </c>
      <c r="P21" s="96">
        <f t="shared" si="10"/>
        <v>-1</v>
      </c>
      <c r="Q21" s="132">
        <f t="shared" si="11"/>
        <v>-6.4558823529411029</v>
      </c>
      <c r="R21" s="133">
        <f t="shared" si="15"/>
        <v>0.92378472222222308</v>
      </c>
      <c r="S21" s="632"/>
      <c r="T21" s="134">
        <v>0.4055555555555555</v>
      </c>
      <c r="U21" s="134">
        <v>0.42638888888888882</v>
      </c>
      <c r="V21" s="97">
        <v>22</v>
      </c>
      <c r="W21" s="135">
        <f t="shared" si="16"/>
        <v>29.999999999999972</v>
      </c>
      <c r="X21" s="136">
        <v>0.39374999999999999</v>
      </c>
      <c r="Y21" s="136">
        <v>0.40277777777777773</v>
      </c>
      <c r="Z21" s="96"/>
      <c r="AA21" s="96"/>
      <c r="AB21" s="642" t="s">
        <v>191</v>
      </c>
      <c r="AC21" s="644"/>
      <c r="AD21" s="97"/>
      <c r="AE21" s="97"/>
      <c r="AF21" s="89">
        <f t="shared" si="6"/>
        <v>-187.99999999999886</v>
      </c>
      <c r="AG21" s="91">
        <f t="shared" si="7"/>
        <v>0.86944444444444524</v>
      </c>
      <c r="AH21" s="710"/>
    </row>
    <row r="22" spans="1:34" ht="18" customHeight="1">
      <c r="A22" s="631"/>
      <c r="B22" s="351" t="s">
        <v>248</v>
      </c>
      <c r="C22" s="176"/>
      <c r="D22" s="80" t="s">
        <v>118</v>
      </c>
      <c r="E22" s="81"/>
      <c r="F22" s="82">
        <v>44.3</v>
      </c>
      <c r="G22" s="83">
        <v>1983</v>
      </c>
      <c r="H22" s="129">
        <f t="shared" si="12"/>
        <v>87846.9</v>
      </c>
      <c r="I22" s="65"/>
      <c r="J22" s="352">
        <v>18</v>
      </c>
      <c r="K22" s="83">
        <v>1636</v>
      </c>
      <c r="L22" s="87">
        <v>90.888888888888886</v>
      </c>
      <c r="M22" s="130">
        <v>16</v>
      </c>
      <c r="N22" s="151">
        <f t="shared" si="13"/>
        <v>1433.493975903614</v>
      </c>
      <c r="O22" s="154">
        <f t="shared" si="14"/>
        <v>89.593373493975875</v>
      </c>
      <c r="P22" s="96">
        <f t="shared" si="10"/>
        <v>-2</v>
      </c>
      <c r="Q22" s="132">
        <f t="shared" si="11"/>
        <v>-1.2955153949130107</v>
      </c>
      <c r="R22" s="133">
        <f t="shared" si="15"/>
        <v>0.98574616313665386</v>
      </c>
      <c r="S22" s="632"/>
      <c r="T22" s="134">
        <v>0.43124999999999991</v>
      </c>
      <c r="U22" s="134">
        <v>0.48888888888888882</v>
      </c>
      <c r="V22" s="97">
        <v>7</v>
      </c>
      <c r="W22" s="135">
        <f t="shared" si="16"/>
        <v>83.000000000000028</v>
      </c>
      <c r="X22" s="136"/>
      <c r="Y22" s="136"/>
      <c r="Z22" s="96"/>
      <c r="AA22" s="96"/>
      <c r="AB22" s="642"/>
      <c r="AC22" s="644"/>
      <c r="AD22" s="97"/>
      <c r="AE22" s="97"/>
      <c r="AF22" s="89">
        <f t="shared" si="6"/>
        <v>-202.506024096386</v>
      </c>
      <c r="AG22" s="91">
        <f t="shared" si="7"/>
        <v>0.87621881167702564</v>
      </c>
      <c r="AH22" s="710"/>
    </row>
    <row r="23" spans="1:34" ht="18" customHeight="1">
      <c r="A23" s="631"/>
      <c r="B23" s="351" t="s">
        <v>248</v>
      </c>
      <c r="C23" s="176"/>
      <c r="D23" s="80" t="s">
        <v>123</v>
      </c>
      <c r="E23" s="81"/>
      <c r="F23" s="82">
        <v>49.9</v>
      </c>
      <c r="G23" s="83">
        <v>613</v>
      </c>
      <c r="H23" s="129">
        <f t="shared" si="12"/>
        <v>30588.7</v>
      </c>
      <c r="I23" s="65"/>
      <c r="J23" s="352">
        <v>18</v>
      </c>
      <c r="K23" s="83">
        <v>1500</v>
      </c>
      <c r="L23" s="87">
        <v>83.333333333333329</v>
      </c>
      <c r="M23" s="130">
        <v>16</v>
      </c>
      <c r="N23" s="151">
        <f t="shared" si="13"/>
        <v>1313.5714285714257</v>
      </c>
      <c r="O23" s="154">
        <f t="shared" si="14"/>
        <v>82.098214285714107</v>
      </c>
      <c r="P23" s="96">
        <f t="shared" si="10"/>
        <v>-2</v>
      </c>
      <c r="Q23" s="132">
        <f t="shared" si="11"/>
        <v>-1.2351190476192215</v>
      </c>
      <c r="R23" s="133">
        <f t="shared" si="15"/>
        <v>0.98517857142856935</v>
      </c>
      <c r="S23" s="632"/>
      <c r="T23" s="134">
        <v>0.52916666666666656</v>
      </c>
      <c r="U23" s="134">
        <v>0.54861111111111105</v>
      </c>
      <c r="V23" s="97">
        <v>5</v>
      </c>
      <c r="W23" s="135">
        <f t="shared" si="16"/>
        <v>28.00000000000006</v>
      </c>
      <c r="X23" s="136"/>
      <c r="Y23" s="136"/>
      <c r="Z23" s="96"/>
      <c r="AA23" s="96"/>
      <c r="AB23" s="642"/>
      <c r="AC23" s="644"/>
      <c r="AD23" s="97"/>
      <c r="AE23" s="97"/>
      <c r="AF23" s="89"/>
      <c r="AG23" s="91"/>
      <c r="AH23" s="710"/>
    </row>
    <row r="24" spans="1:34" ht="18" customHeight="1">
      <c r="A24" s="631"/>
      <c r="B24" s="351" t="s">
        <v>248</v>
      </c>
      <c r="C24" s="127"/>
      <c r="D24" s="168" t="s">
        <v>124</v>
      </c>
      <c r="E24" s="169"/>
      <c r="F24" s="82">
        <v>57.3</v>
      </c>
      <c r="G24" s="100">
        <v>558</v>
      </c>
      <c r="H24" s="129">
        <f t="shared" si="12"/>
        <v>31973.399999999998</v>
      </c>
      <c r="I24" s="135"/>
      <c r="J24" s="352">
        <v>19</v>
      </c>
      <c r="K24" s="83">
        <v>1385</v>
      </c>
      <c r="L24" s="87">
        <v>72.89473684210526</v>
      </c>
      <c r="M24" s="130">
        <v>18</v>
      </c>
      <c r="N24" s="151">
        <f t="shared" si="13"/>
        <v>1046.2499999999984</v>
      </c>
      <c r="O24" s="154">
        <f t="shared" si="14"/>
        <v>58.124999999999915</v>
      </c>
      <c r="P24" s="96">
        <f t="shared" si="10"/>
        <v>-1</v>
      </c>
      <c r="Q24" s="132">
        <f t="shared" si="11"/>
        <v>-14.769736842105345</v>
      </c>
      <c r="R24" s="133">
        <f t="shared" si="15"/>
        <v>0.7973826714801433</v>
      </c>
      <c r="S24" s="632"/>
      <c r="T24" s="134">
        <v>0.55347222222222214</v>
      </c>
      <c r="U24" s="134">
        <v>0.5756944444444444</v>
      </c>
      <c r="V24" s="97">
        <v>7</v>
      </c>
      <c r="W24" s="135">
        <f t="shared" si="16"/>
        <v>32.000000000000043</v>
      </c>
      <c r="X24" s="97"/>
      <c r="Y24" s="97"/>
      <c r="Z24" s="96"/>
      <c r="AA24" s="96"/>
      <c r="AB24" s="642"/>
      <c r="AC24" s="644"/>
      <c r="AD24" s="97"/>
      <c r="AE24" s="97"/>
      <c r="AF24" s="89">
        <f t="shared" si="6"/>
        <v>-338.75000000000159</v>
      </c>
      <c r="AG24" s="91"/>
      <c r="AH24" s="710"/>
    </row>
    <row r="25" spans="1:34" ht="18" customHeight="1">
      <c r="A25" s="631"/>
      <c r="B25" s="351">
        <v>0</v>
      </c>
      <c r="C25" s="127"/>
      <c r="D25" s="168"/>
      <c r="E25" s="169"/>
      <c r="F25" s="82" t="s">
        <v>253</v>
      </c>
      <c r="G25" s="100"/>
      <c r="H25" s="129"/>
      <c r="I25" s="135"/>
      <c r="J25" s="130"/>
      <c r="K25" s="100"/>
      <c r="L25" s="131"/>
      <c r="M25" s="130"/>
      <c r="N25" s="100"/>
      <c r="O25" s="131"/>
      <c r="P25" s="96"/>
      <c r="Q25" s="132"/>
      <c r="R25" s="133"/>
      <c r="S25" s="632"/>
      <c r="T25" s="134"/>
      <c r="U25" s="134"/>
      <c r="V25" s="97"/>
      <c r="W25" s="135">
        <f t="shared" si="16"/>
        <v>0</v>
      </c>
      <c r="X25" s="97"/>
      <c r="Y25" s="97"/>
      <c r="Z25" s="96"/>
      <c r="AA25" s="96"/>
      <c r="AB25" s="642"/>
      <c r="AC25" s="644"/>
      <c r="AD25" s="97"/>
      <c r="AE25" s="97"/>
      <c r="AF25" s="89">
        <f t="shared" si="6"/>
        <v>0</v>
      </c>
      <c r="AG25" s="91"/>
      <c r="AH25" s="710"/>
    </row>
    <row r="26" spans="1:34" ht="18" customHeight="1">
      <c r="A26" s="631"/>
      <c r="B26" s="351">
        <v>0</v>
      </c>
      <c r="C26" s="127"/>
      <c r="D26" s="168"/>
      <c r="E26" s="169"/>
      <c r="F26" s="82" t="s">
        <v>253</v>
      </c>
      <c r="G26" s="100"/>
      <c r="H26" s="84"/>
      <c r="I26" s="135"/>
      <c r="J26" s="130"/>
      <c r="K26" s="100"/>
      <c r="L26" s="131"/>
      <c r="M26" s="130"/>
      <c r="N26" s="100"/>
      <c r="O26" s="131"/>
      <c r="P26" s="96"/>
      <c r="Q26" s="132"/>
      <c r="R26" s="133"/>
      <c r="S26" s="632"/>
      <c r="T26" s="134"/>
      <c r="U26" s="134"/>
      <c r="V26" s="97"/>
      <c r="W26" s="135">
        <f t="shared" si="16"/>
        <v>0</v>
      </c>
      <c r="X26" s="97"/>
      <c r="Y26" s="97"/>
      <c r="Z26" s="96"/>
      <c r="AA26" s="96"/>
      <c r="AB26" s="642"/>
      <c r="AC26" s="644"/>
      <c r="AD26" s="97"/>
      <c r="AE26" s="97"/>
      <c r="AF26" s="89">
        <f t="shared" si="6"/>
        <v>0</v>
      </c>
      <c r="AG26" s="91"/>
      <c r="AH26" s="710"/>
    </row>
    <row r="27" spans="1:34" ht="18" customHeight="1">
      <c r="A27" s="631"/>
      <c r="B27" s="346">
        <v>0</v>
      </c>
      <c r="C27" s="127"/>
      <c r="D27" s="168"/>
      <c r="E27" s="169"/>
      <c r="F27" s="128" t="s">
        <v>253</v>
      </c>
      <c r="G27" s="100"/>
      <c r="H27" s="129">
        <f t="shared" si="12"/>
        <v>0</v>
      </c>
      <c r="I27" s="135"/>
      <c r="J27" s="130"/>
      <c r="K27" s="100"/>
      <c r="L27" s="131"/>
      <c r="M27" s="130"/>
      <c r="N27" s="100"/>
      <c r="O27" s="131"/>
      <c r="P27" s="96"/>
      <c r="Q27" s="132"/>
      <c r="R27" s="133"/>
      <c r="S27" s="632"/>
      <c r="T27" s="134"/>
      <c r="U27" s="134"/>
      <c r="V27" s="97"/>
      <c r="W27" s="135">
        <f t="shared" si="16"/>
        <v>0</v>
      </c>
      <c r="X27" s="97"/>
      <c r="Y27" s="97"/>
      <c r="Z27" s="96"/>
      <c r="AA27" s="96"/>
      <c r="AB27" s="642"/>
      <c r="AC27" s="644"/>
      <c r="AD27" s="97"/>
      <c r="AE27" s="97"/>
      <c r="AF27" s="89">
        <f t="shared" si="6"/>
        <v>0</v>
      </c>
      <c r="AG27" s="91"/>
      <c r="AH27" s="710"/>
    </row>
    <row r="28" spans="1:34" ht="18" customHeight="1">
      <c r="A28" s="631"/>
      <c r="B28" s="346">
        <v>0</v>
      </c>
      <c r="C28" s="127"/>
      <c r="D28" s="168"/>
      <c r="E28" s="169"/>
      <c r="F28" s="128" t="s">
        <v>253</v>
      </c>
      <c r="G28" s="100"/>
      <c r="H28" s="129">
        <f t="shared" si="12"/>
        <v>0</v>
      </c>
      <c r="I28" s="135"/>
      <c r="J28" s="130"/>
      <c r="K28" s="100"/>
      <c r="L28" s="131"/>
      <c r="M28" s="130"/>
      <c r="N28" s="100"/>
      <c r="O28" s="131"/>
      <c r="P28" s="96"/>
      <c r="Q28" s="132"/>
      <c r="R28" s="133"/>
      <c r="S28" s="632"/>
      <c r="T28" s="134"/>
      <c r="U28" s="134"/>
      <c r="V28" s="97"/>
      <c r="W28" s="135">
        <f t="shared" si="16"/>
        <v>0</v>
      </c>
      <c r="X28" s="97"/>
      <c r="Y28" s="97"/>
      <c r="Z28" s="96"/>
      <c r="AA28" s="96"/>
      <c r="AB28" s="642"/>
      <c r="AC28" s="644"/>
      <c r="AD28" s="97"/>
      <c r="AE28" s="97"/>
      <c r="AF28" s="89">
        <f t="shared" si="6"/>
        <v>0</v>
      </c>
      <c r="AG28" s="91"/>
      <c r="AH28" s="710"/>
    </row>
    <row r="29" spans="1:34" ht="18" customHeight="1">
      <c r="A29" s="631"/>
      <c r="B29" s="346">
        <v>0</v>
      </c>
      <c r="C29" s="127"/>
      <c r="D29" s="168"/>
      <c r="E29" s="169"/>
      <c r="F29" s="128" t="s">
        <v>253</v>
      </c>
      <c r="G29" s="100"/>
      <c r="H29" s="129">
        <f t="shared" si="12"/>
        <v>0</v>
      </c>
      <c r="I29" s="135"/>
      <c r="J29" s="130"/>
      <c r="K29" s="100"/>
      <c r="L29" s="131"/>
      <c r="M29" s="130"/>
      <c r="N29" s="100"/>
      <c r="O29" s="131"/>
      <c r="P29" s="96"/>
      <c r="Q29" s="132"/>
      <c r="R29" s="133"/>
      <c r="S29" s="632"/>
      <c r="T29" s="134"/>
      <c r="U29" s="134"/>
      <c r="V29" s="97"/>
      <c r="W29" s="135">
        <f t="shared" si="16"/>
        <v>0</v>
      </c>
      <c r="X29" s="97"/>
      <c r="Y29" s="97"/>
      <c r="Z29" s="96"/>
      <c r="AA29" s="96"/>
      <c r="AB29" s="642"/>
      <c r="AC29" s="644"/>
      <c r="AD29" s="97"/>
      <c r="AE29" s="97"/>
      <c r="AF29" s="89">
        <f t="shared" si="6"/>
        <v>0</v>
      </c>
      <c r="AG29" s="91"/>
      <c r="AH29" s="710"/>
    </row>
    <row r="30" spans="1:34" ht="18" customHeight="1">
      <c r="A30" s="631"/>
      <c r="B30" s="353">
        <v>0</v>
      </c>
      <c r="C30" s="138" t="s">
        <v>222</v>
      </c>
      <c r="D30" s="685" t="s">
        <v>220</v>
      </c>
      <c r="E30" s="685"/>
      <c r="F30" s="139"/>
      <c r="G30" s="140"/>
      <c r="H30" s="141"/>
      <c r="I30" s="142"/>
      <c r="J30" s="140">
        <v>18.142857142857142</v>
      </c>
      <c r="K30" s="140">
        <v>1621</v>
      </c>
      <c r="L30" s="143">
        <v>89.127352695464168</v>
      </c>
      <c r="M30" s="140">
        <f t="shared" ref="M30:O30" si="17">AVERAGE(M18:M29)</f>
        <v>17.428571428571427</v>
      </c>
      <c r="N30" s="140">
        <f t="shared" si="17"/>
        <v>1381.5458365983482</v>
      </c>
      <c r="O30" s="143">
        <f t="shared" si="17"/>
        <v>79.156778029744572</v>
      </c>
      <c r="P30" s="96">
        <f t="shared" ref="P30:P34" si="18">M30-J30</f>
        <v>-0.7142857142857153</v>
      </c>
      <c r="Q30" s="132">
        <f t="shared" ref="Q30:Q34" si="19">O30-L30</f>
        <v>-9.9705746657195959</v>
      </c>
      <c r="R30" s="144">
        <f t="shared" ref="R30:R34" si="20">O30/L30</f>
        <v>0.88813114757500233</v>
      </c>
      <c r="S30" s="632"/>
      <c r="T30" s="134"/>
      <c r="U30" s="134"/>
      <c r="V30" s="100"/>
      <c r="W30" s="100"/>
      <c r="X30" s="131"/>
      <c r="Y30" s="131"/>
      <c r="Z30" s="145">
        <f>SUM(Z18:Z29)</f>
        <v>0</v>
      </c>
      <c r="AA30" s="145">
        <f>SUM(AA18:AA29)</f>
        <v>0</v>
      </c>
      <c r="AB30" s="706"/>
      <c r="AC30" s="657"/>
      <c r="AD30" s="146">
        <f>SUM(AD18:AD29)</f>
        <v>0</v>
      </c>
      <c r="AE30" s="146">
        <f>SUM(AE18:AE29)</f>
        <v>0</v>
      </c>
      <c r="AF30" s="238">
        <f t="shared" si="6"/>
        <v>-239.45416340165184</v>
      </c>
      <c r="AG30" s="240">
        <f t="shared" ref="AG30" si="21">N30/K30</f>
        <v>0.8522799732253844</v>
      </c>
      <c r="AH30" s="711"/>
    </row>
    <row r="31" spans="1:34" ht="18" customHeight="1">
      <c r="A31" s="682" t="s">
        <v>223</v>
      </c>
      <c r="B31" s="147" t="s">
        <v>249</v>
      </c>
      <c r="C31" s="109"/>
      <c r="D31" s="148" t="s">
        <v>119</v>
      </c>
      <c r="E31" s="149"/>
      <c r="F31" s="150">
        <v>34.229999999999997</v>
      </c>
      <c r="G31" s="151">
        <v>2047</v>
      </c>
      <c r="H31" s="152">
        <f t="shared" ref="H31:H40" si="22">F31*G31</f>
        <v>70068.81</v>
      </c>
      <c r="I31" s="94"/>
      <c r="J31" s="153">
        <v>14</v>
      </c>
      <c r="K31" s="151">
        <v>2118</v>
      </c>
      <c r="L31" s="154">
        <v>151.28571428571428</v>
      </c>
      <c r="M31" s="155">
        <v>14</v>
      </c>
      <c r="N31" s="156">
        <f t="shared" ref="N31:N34" si="23">G31/W31*60</f>
        <v>2047.0000000000005</v>
      </c>
      <c r="O31" s="157">
        <f t="shared" ref="O31:O34" si="24">N31/M31</f>
        <v>146.21428571428575</v>
      </c>
      <c r="P31" s="158">
        <f t="shared" si="18"/>
        <v>0</v>
      </c>
      <c r="Q31" s="159">
        <f t="shared" si="19"/>
        <v>-5.0714285714285268</v>
      </c>
      <c r="R31" s="160">
        <f t="shared" si="20"/>
        <v>0.9664778092540135</v>
      </c>
      <c r="S31" s="684">
        <f>R43</f>
        <v>0.97334703019249191</v>
      </c>
      <c r="T31" s="161">
        <v>0.16666666666666666</v>
      </c>
      <c r="U31" s="161">
        <v>0.20833333333333331</v>
      </c>
      <c r="V31" s="94">
        <v>5</v>
      </c>
      <c r="W31" s="162">
        <f t="shared" ref="W31:W42" si="25">(U31-T31)*24*60</f>
        <v>59.999999999999986</v>
      </c>
      <c r="X31" s="94"/>
      <c r="Y31" s="94"/>
      <c r="Z31" s="93"/>
      <c r="AA31" s="93"/>
      <c r="AB31" s="645"/>
      <c r="AC31" s="654"/>
      <c r="AD31" s="94"/>
      <c r="AE31" s="94"/>
      <c r="AF31" s="158">
        <f t="shared" si="6"/>
        <v>-70.999999999999545</v>
      </c>
      <c r="AG31" s="163">
        <f t="shared" si="7"/>
        <v>0.96647780925401339</v>
      </c>
      <c r="AH31" s="661">
        <f>AG43</f>
        <v>0.96685931644751089</v>
      </c>
    </row>
    <row r="32" spans="1:34" ht="18" customHeight="1">
      <c r="A32" s="683"/>
      <c r="B32" s="126" t="s">
        <v>250</v>
      </c>
      <c r="C32" s="164"/>
      <c r="D32" s="165" t="s">
        <v>120</v>
      </c>
      <c r="E32" s="81"/>
      <c r="F32" s="82">
        <v>35.33</v>
      </c>
      <c r="G32" s="83">
        <v>2387</v>
      </c>
      <c r="H32" s="129">
        <f t="shared" si="22"/>
        <v>84332.709999999992</v>
      </c>
      <c r="I32" s="85"/>
      <c r="J32" s="86">
        <v>13</v>
      </c>
      <c r="K32" s="83">
        <v>2118</v>
      </c>
      <c r="L32" s="87">
        <v>162.92307692307693</v>
      </c>
      <c r="M32" s="88">
        <v>13</v>
      </c>
      <c r="N32" s="83">
        <f t="shared" si="23"/>
        <v>2106.1764705882365</v>
      </c>
      <c r="O32" s="87">
        <f t="shared" si="24"/>
        <v>162.01357466063357</v>
      </c>
      <c r="P32" s="89">
        <f t="shared" si="18"/>
        <v>0</v>
      </c>
      <c r="Q32" s="90">
        <f t="shared" si="19"/>
        <v>-0.90950226244336818</v>
      </c>
      <c r="R32" s="91">
        <f t="shared" si="20"/>
        <v>0.99441759706715593</v>
      </c>
      <c r="S32" s="632"/>
      <c r="T32" s="134">
        <v>0.21319444444444444</v>
      </c>
      <c r="U32" s="134">
        <v>0.26041666666666663</v>
      </c>
      <c r="V32" s="97">
        <v>7</v>
      </c>
      <c r="W32" s="135">
        <f t="shared" si="25"/>
        <v>67.999999999999957</v>
      </c>
      <c r="X32" s="166"/>
      <c r="Y32" s="166"/>
      <c r="Z32" s="167"/>
      <c r="AA32" s="167"/>
      <c r="AB32" s="642"/>
      <c r="AC32" s="644"/>
      <c r="AD32" s="97"/>
      <c r="AE32" s="97"/>
      <c r="AF32" s="89">
        <f t="shared" si="6"/>
        <v>-11.823529411763502</v>
      </c>
      <c r="AG32" s="91">
        <f t="shared" si="7"/>
        <v>0.99441759706715604</v>
      </c>
      <c r="AH32" s="659"/>
    </row>
    <row r="33" spans="1:34" ht="18" customHeight="1">
      <c r="A33" s="683"/>
      <c r="B33" s="126" t="s">
        <v>250</v>
      </c>
      <c r="C33" s="97"/>
      <c r="D33" s="168" t="s">
        <v>121</v>
      </c>
      <c r="E33" s="169"/>
      <c r="F33" s="82">
        <v>36.409999999999997</v>
      </c>
      <c r="G33" s="100">
        <v>3236</v>
      </c>
      <c r="H33" s="129">
        <f t="shared" si="22"/>
        <v>117822.76</v>
      </c>
      <c r="I33" s="97"/>
      <c r="J33" s="86">
        <v>11</v>
      </c>
      <c r="K33" s="83">
        <v>2118</v>
      </c>
      <c r="L33" s="87">
        <v>192.54545454545453</v>
      </c>
      <c r="M33" s="137">
        <v>11</v>
      </c>
      <c r="N33" s="83">
        <f t="shared" si="23"/>
        <v>2110.4347826086955</v>
      </c>
      <c r="O33" s="87">
        <f t="shared" si="24"/>
        <v>191.85770750988141</v>
      </c>
      <c r="P33" s="89">
        <f t="shared" si="18"/>
        <v>0</v>
      </c>
      <c r="Q33" s="90">
        <f t="shared" si="19"/>
        <v>-0.68774703557312478</v>
      </c>
      <c r="R33" s="91">
        <f t="shared" si="20"/>
        <v>0.99642813154329346</v>
      </c>
      <c r="S33" s="632"/>
      <c r="T33" s="134">
        <v>0.27569444444444441</v>
      </c>
      <c r="U33" s="134">
        <v>0.33958333333333329</v>
      </c>
      <c r="V33" s="97">
        <v>22</v>
      </c>
      <c r="W33" s="135">
        <f t="shared" si="25"/>
        <v>92</v>
      </c>
      <c r="X33" s="166">
        <v>0.26527777777777778</v>
      </c>
      <c r="Y33" s="166">
        <v>0.27499999999999997</v>
      </c>
      <c r="Z33" s="167"/>
      <c r="AA33" s="167"/>
      <c r="AB33" s="642"/>
      <c r="AC33" s="644"/>
      <c r="AD33" s="97"/>
      <c r="AE33" s="97"/>
      <c r="AF33" s="89">
        <f t="shared" si="6"/>
        <v>-7.5652173913044862</v>
      </c>
      <c r="AG33" s="170">
        <f t="shared" si="7"/>
        <v>0.99642813154329346</v>
      </c>
      <c r="AH33" s="659"/>
    </row>
    <row r="34" spans="1:34" ht="18" customHeight="1">
      <c r="A34" s="683"/>
      <c r="B34" s="126" t="s">
        <v>247</v>
      </c>
      <c r="C34" s="171"/>
      <c r="D34" s="168" t="s">
        <v>122</v>
      </c>
      <c r="E34" s="169"/>
      <c r="F34" s="82">
        <v>29.113149847094796</v>
      </c>
      <c r="G34" s="100">
        <v>2438.52</v>
      </c>
      <c r="H34" s="129">
        <f t="shared" si="22"/>
        <v>70992.9981651376</v>
      </c>
      <c r="I34" s="97">
        <v>2</v>
      </c>
      <c r="J34" s="86">
        <v>19</v>
      </c>
      <c r="K34" s="83">
        <v>1500</v>
      </c>
      <c r="L34" s="87">
        <v>78.94736842105263</v>
      </c>
      <c r="M34" s="137">
        <v>19</v>
      </c>
      <c r="N34" s="83">
        <f t="shared" si="23"/>
        <v>1330.1018181818181</v>
      </c>
      <c r="O34" s="87">
        <f t="shared" si="24"/>
        <v>70.005358851674643</v>
      </c>
      <c r="P34" s="89">
        <f t="shared" si="18"/>
        <v>0</v>
      </c>
      <c r="Q34" s="90">
        <f t="shared" si="19"/>
        <v>-8.9420095693779871</v>
      </c>
      <c r="R34" s="91">
        <f t="shared" si="20"/>
        <v>0.88673454545454544</v>
      </c>
      <c r="S34" s="632"/>
      <c r="T34" s="134">
        <v>0.34444444444444439</v>
      </c>
      <c r="U34" s="134">
        <v>0.42083333333333328</v>
      </c>
      <c r="V34" s="97">
        <v>7</v>
      </c>
      <c r="W34" s="135">
        <f t="shared" si="25"/>
        <v>110.00000000000001</v>
      </c>
      <c r="X34" s="166"/>
      <c r="Y34" s="166"/>
      <c r="Z34" s="167"/>
      <c r="AA34" s="167"/>
      <c r="AB34" s="642"/>
      <c r="AC34" s="644"/>
      <c r="AD34" s="97"/>
      <c r="AE34" s="97"/>
      <c r="AF34" s="89">
        <f t="shared" si="6"/>
        <v>-169.89818181818191</v>
      </c>
      <c r="AG34" s="170">
        <f t="shared" si="7"/>
        <v>0.88673454545454544</v>
      </c>
      <c r="AH34" s="659"/>
    </row>
    <row r="35" spans="1:34" ht="18" customHeight="1">
      <c r="A35" s="683"/>
      <c r="B35" s="126">
        <v>0</v>
      </c>
      <c r="C35" s="79"/>
      <c r="D35" s="80"/>
      <c r="E35" s="81"/>
      <c r="F35" s="82" t="s">
        <v>253</v>
      </c>
      <c r="G35" s="172"/>
      <c r="H35" s="129">
        <f t="shared" si="22"/>
        <v>0</v>
      </c>
      <c r="I35" s="65"/>
      <c r="J35" s="86"/>
      <c r="K35" s="83"/>
      <c r="L35" s="87"/>
      <c r="M35" s="137"/>
      <c r="N35" s="83"/>
      <c r="O35" s="87"/>
      <c r="P35" s="89"/>
      <c r="Q35" s="90"/>
      <c r="R35" s="91"/>
      <c r="S35" s="632"/>
      <c r="T35" s="134"/>
      <c r="U35" s="134"/>
      <c r="V35" s="97"/>
      <c r="W35" s="135"/>
      <c r="X35" s="166"/>
      <c r="Y35" s="166"/>
      <c r="Z35" s="167"/>
      <c r="AA35" s="167"/>
      <c r="AB35" s="642"/>
      <c r="AC35" s="644"/>
      <c r="AD35" s="97"/>
      <c r="AE35" s="97"/>
      <c r="AF35" s="89">
        <f t="shared" si="6"/>
        <v>0</v>
      </c>
      <c r="AG35" s="170" t="e">
        <f t="shared" si="7"/>
        <v>#DIV/0!</v>
      </c>
      <c r="AH35" s="662"/>
    </row>
    <row r="36" spans="1:34" ht="18" customHeight="1">
      <c r="A36" s="683"/>
      <c r="B36" s="126">
        <v>0</v>
      </c>
      <c r="C36" s="173"/>
      <c r="D36" s="80"/>
      <c r="E36" s="169"/>
      <c r="F36" s="82" t="s">
        <v>253</v>
      </c>
      <c r="G36" s="100"/>
      <c r="H36" s="129">
        <f t="shared" si="22"/>
        <v>0</v>
      </c>
      <c r="I36" s="97"/>
      <c r="J36" s="86"/>
      <c r="K36" s="83"/>
      <c r="L36" s="87"/>
      <c r="M36" s="137"/>
      <c r="N36" s="83"/>
      <c r="O36" s="87"/>
      <c r="P36" s="89"/>
      <c r="Q36" s="90"/>
      <c r="R36" s="91"/>
      <c r="S36" s="632"/>
      <c r="T36" s="134"/>
      <c r="U36" s="134"/>
      <c r="V36" s="97"/>
      <c r="W36" s="135"/>
      <c r="X36" s="166"/>
      <c r="Y36" s="166"/>
      <c r="Z36" s="167"/>
      <c r="AA36" s="167"/>
      <c r="AB36" s="642"/>
      <c r="AC36" s="644"/>
      <c r="AD36" s="97"/>
      <c r="AE36" s="97"/>
      <c r="AF36" s="89">
        <f t="shared" si="6"/>
        <v>0</v>
      </c>
      <c r="AG36" s="170" t="e">
        <f t="shared" si="7"/>
        <v>#DIV/0!</v>
      </c>
      <c r="AH36" s="662"/>
    </row>
    <row r="37" spans="1:34" ht="18" customHeight="1">
      <c r="A37" s="683"/>
      <c r="B37" s="126">
        <v>0</v>
      </c>
      <c r="C37" s="173"/>
      <c r="D37" s="168"/>
      <c r="E37" s="169"/>
      <c r="F37" s="82" t="s">
        <v>253</v>
      </c>
      <c r="G37" s="100"/>
      <c r="H37" s="129">
        <f t="shared" si="22"/>
        <v>0</v>
      </c>
      <c r="I37" s="97"/>
      <c r="J37" s="86"/>
      <c r="K37" s="83"/>
      <c r="L37" s="87"/>
      <c r="M37" s="137"/>
      <c r="N37" s="83"/>
      <c r="O37" s="87"/>
      <c r="P37" s="89"/>
      <c r="Q37" s="90"/>
      <c r="R37" s="91"/>
      <c r="S37" s="632"/>
      <c r="T37" s="134"/>
      <c r="U37" s="134"/>
      <c r="V37" s="97"/>
      <c r="W37" s="135"/>
      <c r="X37" s="166"/>
      <c r="Y37" s="166"/>
      <c r="Z37" s="167"/>
      <c r="AA37" s="167"/>
      <c r="AB37" s="642"/>
      <c r="AC37" s="644"/>
      <c r="AD37" s="97"/>
      <c r="AE37" s="97"/>
      <c r="AF37" s="89">
        <f t="shared" si="6"/>
        <v>0</v>
      </c>
      <c r="AG37" s="170" t="e">
        <f t="shared" si="7"/>
        <v>#DIV/0!</v>
      </c>
      <c r="AH37" s="662"/>
    </row>
    <row r="38" spans="1:34" ht="18" customHeight="1">
      <c r="A38" s="683"/>
      <c r="B38" s="126">
        <v>0</v>
      </c>
      <c r="C38" s="173"/>
      <c r="D38" s="168"/>
      <c r="E38" s="169"/>
      <c r="F38" s="82" t="s">
        <v>253</v>
      </c>
      <c r="G38" s="100"/>
      <c r="H38" s="129">
        <f t="shared" si="22"/>
        <v>0</v>
      </c>
      <c r="I38" s="97"/>
      <c r="J38" s="86"/>
      <c r="K38" s="83"/>
      <c r="L38" s="87"/>
      <c r="M38" s="137"/>
      <c r="N38" s="83"/>
      <c r="O38" s="87"/>
      <c r="P38" s="89"/>
      <c r="Q38" s="90"/>
      <c r="R38" s="91"/>
      <c r="S38" s="632"/>
      <c r="T38" s="134"/>
      <c r="U38" s="134"/>
      <c r="V38" s="97"/>
      <c r="W38" s="135"/>
      <c r="X38" s="166"/>
      <c r="Y38" s="166"/>
      <c r="Z38" s="167"/>
      <c r="AA38" s="167"/>
      <c r="AB38" s="642"/>
      <c r="AC38" s="644"/>
      <c r="AD38" s="97"/>
      <c r="AE38" s="97"/>
      <c r="AF38" s="89">
        <f t="shared" si="6"/>
        <v>0</v>
      </c>
      <c r="AG38" s="170" t="e">
        <f t="shared" si="7"/>
        <v>#DIV/0!</v>
      </c>
      <c r="AH38" s="662"/>
    </row>
    <row r="39" spans="1:34" ht="18" customHeight="1">
      <c r="A39" s="683"/>
      <c r="B39" s="126">
        <v>0</v>
      </c>
      <c r="C39" s="171"/>
      <c r="D39" s="80"/>
      <c r="E39" s="81"/>
      <c r="F39" s="82" t="s">
        <v>253</v>
      </c>
      <c r="G39" s="100"/>
      <c r="H39" s="129">
        <f t="shared" si="22"/>
        <v>0</v>
      </c>
      <c r="I39" s="97"/>
      <c r="J39" s="86"/>
      <c r="K39" s="83"/>
      <c r="L39" s="87"/>
      <c r="M39" s="137"/>
      <c r="N39" s="83"/>
      <c r="O39" s="87"/>
      <c r="P39" s="89"/>
      <c r="Q39" s="90"/>
      <c r="R39" s="91"/>
      <c r="S39" s="632"/>
      <c r="T39" s="134"/>
      <c r="U39" s="134"/>
      <c r="V39" s="97"/>
      <c r="W39" s="135"/>
      <c r="X39" s="166"/>
      <c r="Y39" s="166"/>
      <c r="Z39" s="167"/>
      <c r="AA39" s="167"/>
      <c r="AB39" s="642"/>
      <c r="AC39" s="644"/>
      <c r="AD39" s="97"/>
      <c r="AE39" s="97"/>
      <c r="AF39" s="89"/>
      <c r="AG39" s="174"/>
      <c r="AH39" s="662"/>
    </row>
    <row r="40" spans="1:34" ht="18" customHeight="1">
      <c r="A40" s="683"/>
      <c r="B40" s="175">
        <v>0</v>
      </c>
      <c r="C40" s="176"/>
      <c r="D40" s="80"/>
      <c r="E40" s="81"/>
      <c r="F40" s="82" t="s">
        <v>253</v>
      </c>
      <c r="G40" s="83"/>
      <c r="H40" s="129">
        <f t="shared" si="22"/>
        <v>0</v>
      </c>
      <c r="I40" s="65"/>
      <c r="J40" s="177"/>
      <c r="K40" s="178"/>
      <c r="L40" s="179"/>
      <c r="M40" s="88"/>
      <c r="N40" s="83"/>
      <c r="O40" s="87"/>
      <c r="P40" s="89"/>
      <c r="Q40" s="90"/>
      <c r="R40" s="91"/>
      <c r="S40" s="632"/>
      <c r="T40" s="134"/>
      <c r="U40" s="134"/>
      <c r="V40" s="97"/>
      <c r="W40" s="135">
        <f t="shared" si="25"/>
        <v>0</v>
      </c>
      <c r="X40" s="166"/>
      <c r="Y40" s="166"/>
      <c r="Z40" s="167"/>
      <c r="AA40" s="167"/>
      <c r="AB40" s="642"/>
      <c r="AC40" s="644"/>
      <c r="AD40" s="97"/>
      <c r="AE40" s="97"/>
      <c r="AF40" s="89"/>
      <c r="AG40" s="174"/>
      <c r="AH40" s="662"/>
    </row>
    <row r="41" spans="1:34" ht="18" customHeight="1">
      <c r="A41" s="683"/>
      <c r="B41" s="97">
        <v>0</v>
      </c>
      <c r="C41" s="98"/>
      <c r="D41" s="168"/>
      <c r="E41" s="169"/>
      <c r="F41" s="82" t="s">
        <v>253</v>
      </c>
      <c r="G41" s="100"/>
      <c r="H41" s="129"/>
      <c r="I41" s="97"/>
      <c r="J41" s="130"/>
      <c r="K41" s="100"/>
      <c r="L41" s="131"/>
      <c r="M41" s="137"/>
      <c r="N41" s="100"/>
      <c r="O41" s="131"/>
      <c r="P41" s="96"/>
      <c r="Q41" s="132"/>
      <c r="R41" s="133"/>
      <c r="S41" s="632"/>
      <c r="T41" s="134"/>
      <c r="U41" s="134"/>
      <c r="V41" s="97"/>
      <c r="W41" s="135">
        <f t="shared" si="25"/>
        <v>0</v>
      </c>
      <c r="X41" s="166"/>
      <c r="Y41" s="166"/>
      <c r="Z41" s="167"/>
      <c r="AA41" s="167"/>
      <c r="AB41" s="642"/>
      <c r="AC41" s="644"/>
      <c r="AD41" s="97"/>
      <c r="AE41" s="97"/>
      <c r="AF41" s="89"/>
      <c r="AG41" s="174"/>
      <c r="AH41" s="662"/>
    </row>
    <row r="42" spans="1:34" ht="18" customHeight="1">
      <c r="A42" s="683"/>
      <c r="B42" s="97">
        <v>0</v>
      </c>
      <c r="C42" s="98"/>
      <c r="D42" s="168"/>
      <c r="E42" s="169"/>
      <c r="F42" s="180" t="s">
        <v>253</v>
      </c>
      <c r="G42" s="100"/>
      <c r="H42" s="129">
        <f>F42*G42</f>
        <v>0</v>
      </c>
      <c r="I42" s="97"/>
      <c r="J42" s="130"/>
      <c r="K42" s="100"/>
      <c r="L42" s="131"/>
      <c r="M42" s="137"/>
      <c r="N42" s="100"/>
      <c r="O42" s="131"/>
      <c r="P42" s="96"/>
      <c r="Q42" s="132"/>
      <c r="R42" s="133"/>
      <c r="S42" s="632"/>
      <c r="T42" s="134"/>
      <c r="U42" s="134"/>
      <c r="V42" s="97"/>
      <c r="W42" s="135">
        <f t="shared" si="25"/>
        <v>0</v>
      </c>
      <c r="X42" s="166"/>
      <c r="Y42" s="166"/>
      <c r="Z42" s="167"/>
      <c r="AA42" s="167"/>
      <c r="AB42" s="642"/>
      <c r="AC42" s="644"/>
      <c r="AD42" s="97"/>
      <c r="AE42" s="97"/>
      <c r="AF42" s="89"/>
      <c r="AG42" s="174"/>
      <c r="AH42" s="662"/>
    </row>
    <row r="43" spans="1:34" ht="18" customHeight="1">
      <c r="A43" s="683"/>
      <c r="B43" s="126">
        <v>0</v>
      </c>
      <c r="C43" s="138" t="s">
        <v>15</v>
      </c>
      <c r="D43" s="630" t="s">
        <v>220</v>
      </c>
      <c r="E43" s="630"/>
      <c r="F43" s="139"/>
      <c r="G43" s="140"/>
      <c r="H43" s="141"/>
      <c r="I43" s="142"/>
      <c r="J43" s="140">
        <v>14.25</v>
      </c>
      <c r="K43" s="140">
        <v>1963.5</v>
      </c>
      <c r="L43" s="143">
        <v>146.42540354382459</v>
      </c>
      <c r="M43" s="140">
        <f t="shared" ref="M43:O43" si="26">AVERAGE(M31:M42)</f>
        <v>14.25</v>
      </c>
      <c r="N43" s="140">
        <f t="shared" si="26"/>
        <v>1898.4282678446875</v>
      </c>
      <c r="O43" s="143">
        <f t="shared" si="26"/>
        <v>142.52273168411884</v>
      </c>
      <c r="P43" s="96">
        <f>M43-J43</f>
        <v>0</v>
      </c>
      <c r="Q43" s="132">
        <f>N43-K43</f>
        <v>-65.071732155312475</v>
      </c>
      <c r="R43" s="144">
        <f t="shared" ref="R43:R49" si="27">O43/L43</f>
        <v>0.97334703019249191</v>
      </c>
      <c r="S43" s="632"/>
      <c r="T43" s="134"/>
      <c r="U43" s="134"/>
      <c r="V43" s="97"/>
      <c r="W43" s="97"/>
      <c r="X43" s="166"/>
      <c r="Y43" s="166"/>
      <c r="Z43" s="181">
        <f>SUM(Z31:Z42)</f>
        <v>0</v>
      </c>
      <c r="AA43" s="181">
        <f>SUM(AA31:AA42)</f>
        <v>0</v>
      </c>
      <c r="AB43" s="642"/>
      <c r="AC43" s="644"/>
      <c r="AD43" s="146">
        <f>SUM(AD31:AD42)</f>
        <v>0</v>
      </c>
      <c r="AE43" s="146">
        <f>SUM(AE31:AE42)</f>
        <v>0</v>
      </c>
      <c r="AF43" s="89">
        <f t="shared" ref="AF43:AF52" si="28">N43-K43</f>
        <v>-65.071732155312475</v>
      </c>
      <c r="AG43" s="125">
        <f t="shared" si="7"/>
        <v>0.96685931644751089</v>
      </c>
      <c r="AH43" s="662"/>
    </row>
    <row r="44" spans="1:34" s="196" customFormat="1" ht="18" customHeight="1">
      <c r="A44" s="678" t="s">
        <v>224</v>
      </c>
      <c r="B44" s="176" t="s">
        <v>250</v>
      </c>
      <c r="C44" s="182"/>
      <c r="D44" s="80" t="s">
        <v>125</v>
      </c>
      <c r="E44" s="81"/>
      <c r="F44" s="183">
        <v>24.73</v>
      </c>
      <c r="G44" s="184">
        <v>2682</v>
      </c>
      <c r="H44" s="84">
        <f>F44*G44</f>
        <v>66325.86</v>
      </c>
      <c r="I44" s="185"/>
      <c r="J44" s="186">
        <v>4</v>
      </c>
      <c r="K44" s="187">
        <v>2000</v>
      </c>
      <c r="L44" s="188">
        <v>500</v>
      </c>
      <c r="M44" s="106">
        <v>5</v>
      </c>
      <c r="N44" s="187">
        <f>G44/W44*60</f>
        <v>2117.3684210526312</v>
      </c>
      <c r="O44" s="188">
        <f>N44/M44</f>
        <v>423.47368421052624</v>
      </c>
      <c r="P44" s="93">
        <f>M44-J44</f>
        <v>1</v>
      </c>
      <c r="Q44" s="189">
        <f>O44-L44</f>
        <v>-76.526315789473756</v>
      </c>
      <c r="R44" s="190">
        <f t="shared" si="27"/>
        <v>0.84694736842105245</v>
      </c>
      <c r="S44" s="659">
        <f>R56</f>
        <v>0.85428844634650147</v>
      </c>
      <c r="T44" s="191">
        <v>0.16666666666666666</v>
      </c>
      <c r="U44" s="191">
        <v>0.21944444444444444</v>
      </c>
      <c r="V44" s="192">
        <v>5</v>
      </c>
      <c r="W44" s="193">
        <f t="shared" ref="W44:W56" si="29">(U44-T44)*24*60</f>
        <v>76.000000000000014</v>
      </c>
      <c r="X44" s="166"/>
      <c r="Y44" s="166"/>
      <c r="Z44" s="167"/>
      <c r="AA44" s="167"/>
      <c r="AB44" s="644"/>
      <c r="AC44" s="644"/>
      <c r="AD44" s="97"/>
      <c r="AE44" s="97"/>
      <c r="AF44" s="194">
        <f t="shared" si="28"/>
        <v>117.36842105263122</v>
      </c>
      <c r="AG44" s="195">
        <f t="shared" si="7"/>
        <v>1.0586842105263157</v>
      </c>
      <c r="AH44" s="681">
        <f>AG56</f>
        <v>1.0159954545760468</v>
      </c>
    </row>
    <row r="45" spans="1:34" s="196" customFormat="1" ht="18" customHeight="1">
      <c r="A45" s="679"/>
      <c r="B45" s="176" t="s">
        <v>250</v>
      </c>
      <c r="C45" s="182"/>
      <c r="D45" s="80" t="s">
        <v>126</v>
      </c>
      <c r="E45" s="81"/>
      <c r="F45" s="183">
        <v>24.73</v>
      </c>
      <c r="G45" s="184">
        <v>2359</v>
      </c>
      <c r="H45" s="84">
        <f>F45*G45</f>
        <v>58338.07</v>
      </c>
      <c r="I45" s="197"/>
      <c r="J45" s="186">
        <v>4</v>
      </c>
      <c r="K45" s="187">
        <v>2000</v>
      </c>
      <c r="L45" s="188">
        <v>500</v>
      </c>
      <c r="M45" s="106">
        <v>5</v>
      </c>
      <c r="N45" s="187">
        <f>G45/W45*60</f>
        <v>2211.5624999999995</v>
      </c>
      <c r="O45" s="188">
        <f>N45/M45</f>
        <v>442.31249999999989</v>
      </c>
      <c r="P45" s="93">
        <f>M45-J45</f>
        <v>1</v>
      </c>
      <c r="Q45" s="189">
        <f>O45-L45</f>
        <v>-57.687500000000114</v>
      </c>
      <c r="R45" s="190">
        <f t="shared" si="27"/>
        <v>0.88462499999999977</v>
      </c>
      <c r="S45" s="659"/>
      <c r="T45" s="191">
        <v>0.22291666666666665</v>
      </c>
      <c r="U45" s="191">
        <v>0.2673611111111111</v>
      </c>
      <c r="V45" s="192">
        <v>5</v>
      </c>
      <c r="W45" s="193">
        <f t="shared" si="29"/>
        <v>64.000000000000014</v>
      </c>
      <c r="X45" s="166"/>
      <c r="Y45" s="166"/>
      <c r="Z45" s="167"/>
      <c r="AA45" s="167"/>
      <c r="AB45" s="644"/>
      <c r="AC45" s="644"/>
      <c r="AD45" s="97"/>
      <c r="AE45" s="97"/>
      <c r="AF45" s="194">
        <f t="shared" si="28"/>
        <v>211.56249999999955</v>
      </c>
      <c r="AG45" s="195">
        <f t="shared" si="7"/>
        <v>1.1057812499999997</v>
      </c>
      <c r="AH45" s="681"/>
    </row>
    <row r="46" spans="1:34" s="196" customFormat="1" ht="18" customHeight="1">
      <c r="A46" s="679"/>
      <c r="B46" s="176" t="s">
        <v>250</v>
      </c>
      <c r="C46" s="182"/>
      <c r="D46" s="80" t="s">
        <v>127</v>
      </c>
      <c r="E46" s="81"/>
      <c r="F46" s="183">
        <v>22.83</v>
      </c>
      <c r="G46" s="184">
        <v>994</v>
      </c>
      <c r="H46" s="84">
        <f t="shared" ref="H46:H50" si="30">F46*G46</f>
        <v>22693.019999999997</v>
      </c>
      <c r="I46" s="197"/>
      <c r="J46" s="186">
        <v>6</v>
      </c>
      <c r="K46" s="187">
        <v>2000</v>
      </c>
      <c r="L46" s="188">
        <v>333.33333333333331</v>
      </c>
      <c r="M46" s="106">
        <v>7</v>
      </c>
      <c r="N46" s="187">
        <f>G46/W46*60</f>
        <v>1863.7499999999975</v>
      </c>
      <c r="O46" s="188">
        <f>N46/M46</f>
        <v>266.24999999999966</v>
      </c>
      <c r="P46" s="93">
        <f>M46-J46</f>
        <v>1</v>
      </c>
      <c r="Q46" s="189">
        <f>O46-L46</f>
        <v>-67.083333333333655</v>
      </c>
      <c r="R46" s="190">
        <f t="shared" si="27"/>
        <v>0.79874999999999907</v>
      </c>
      <c r="S46" s="659"/>
      <c r="T46" s="191">
        <v>0.27083333333333331</v>
      </c>
      <c r="U46" s="191">
        <v>0.29305555555555557</v>
      </c>
      <c r="V46" s="192">
        <v>5</v>
      </c>
      <c r="W46" s="193">
        <f t="shared" si="29"/>
        <v>32.000000000000043</v>
      </c>
      <c r="X46" s="166"/>
      <c r="Y46" s="166"/>
      <c r="Z46" s="167"/>
      <c r="AA46" s="167"/>
      <c r="AB46" s="644"/>
      <c r="AC46" s="644"/>
      <c r="AD46" s="97"/>
      <c r="AE46" s="97">
        <v>2</v>
      </c>
      <c r="AF46" s="194">
        <f t="shared" si="28"/>
        <v>-136.2500000000025</v>
      </c>
      <c r="AG46" s="195">
        <f t="shared" si="7"/>
        <v>0.93187499999999879</v>
      </c>
      <c r="AH46" s="681"/>
    </row>
    <row r="47" spans="1:34" s="196" customFormat="1" ht="18" customHeight="1">
      <c r="A47" s="679"/>
      <c r="B47" s="176" t="s">
        <v>250</v>
      </c>
      <c r="C47" s="182"/>
      <c r="D47" s="198" t="s">
        <v>130</v>
      </c>
      <c r="E47" s="199"/>
      <c r="F47" s="183">
        <v>21.74</v>
      </c>
      <c r="G47" s="187">
        <v>567</v>
      </c>
      <c r="H47" s="84">
        <f t="shared" si="30"/>
        <v>12326.58</v>
      </c>
      <c r="I47" s="197"/>
      <c r="J47" s="186">
        <v>4</v>
      </c>
      <c r="K47" s="187">
        <v>2000</v>
      </c>
      <c r="L47" s="188">
        <v>500</v>
      </c>
      <c r="M47" s="200">
        <v>5</v>
      </c>
      <c r="N47" s="187">
        <f t="shared" ref="N47:N49" si="31">G47/W47*60</f>
        <v>2001.1764705882326</v>
      </c>
      <c r="O47" s="188">
        <f t="shared" ref="O47:O49" si="32">N47/M47</f>
        <v>400.2352941176465</v>
      </c>
      <c r="P47" s="93">
        <f t="shared" ref="P47:P49" si="33">M47-J47</f>
        <v>1</v>
      </c>
      <c r="Q47" s="189">
        <f t="shared" ref="Q47:Q49" si="34">O47-L47</f>
        <v>-99.764705882353496</v>
      </c>
      <c r="R47" s="190">
        <f t="shared" si="27"/>
        <v>0.80047058823529305</v>
      </c>
      <c r="S47" s="659"/>
      <c r="T47" s="191">
        <v>0.29652777777777778</v>
      </c>
      <c r="U47" s="191">
        <v>0.30833333333333335</v>
      </c>
      <c r="V47" s="187">
        <v>5</v>
      </c>
      <c r="W47" s="193">
        <f t="shared" si="29"/>
        <v>17.000000000000021</v>
      </c>
      <c r="X47" s="166"/>
      <c r="Y47" s="166"/>
      <c r="Z47" s="167"/>
      <c r="AA47" s="167"/>
      <c r="AB47" s="644"/>
      <c r="AC47" s="644"/>
      <c r="AD47" s="97"/>
      <c r="AE47" s="97"/>
      <c r="AF47" s="194">
        <f t="shared" si="28"/>
        <v>1.1764705882326325</v>
      </c>
      <c r="AG47" s="195">
        <f t="shared" si="7"/>
        <v>1.0005882352941162</v>
      </c>
      <c r="AH47" s="681"/>
    </row>
    <row r="48" spans="1:34" s="196" customFormat="1" ht="18" customHeight="1">
      <c r="A48" s="679"/>
      <c r="B48" s="176" t="s">
        <v>247</v>
      </c>
      <c r="C48" s="182"/>
      <c r="D48" s="201" t="s">
        <v>128</v>
      </c>
      <c r="E48" s="199"/>
      <c r="F48" s="183">
        <v>11.6</v>
      </c>
      <c r="G48" s="187">
        <v>2315</v>
      </c>
      <c r="H48" s="84">
        <f t="shared" si="30"/>
        <v>26854</v>
      </c>
      <c r="I48" s="197"/>
      <c r="J48" s="186">
        <v>6</v>
      </c>
      <c r="K48" s="187">
        <v>1500</v>
      </c>
      <c r="L48" s="188">
        <v>250</v>
      </c>
      <c r="M48" s="200">
        <v>7</v>
      </c>
      <c r="N48" s="187">
        <f t="shared" si="31"/>
        <v>1509.7826086956522</v>
      </c>
      <c r="O48" s="188">
        <f t="shared" si="32"/>
        <v>215.68322981366461</v>
      </c>
      <c r="P48" s="93">
        <f t="shared" si="33"/>
        <v>1</v>
      </c>
      <c r="Q48" s="189">
        <f t="shared" si="34"/>
        <v>-34.31677018633539</v>
      </c>
      <c r="R48" s="190">
        <f t="shared" si="27"/>
        <v>0.86273291925465845</v>
      </c>
      <c r="S48" s="659"/>
      <c r="T48" s="202">
        <v>0.32361111111111107</v>
      </c>
      <c r="U48" s="202">
        <v>0.38749999999999996</v>
      </c>
      <c r="V48" s="184">
        <v>25</v>
      </c>
      <c r="W48" s="193">
        <f t="shared" si="29"/>
        <v>92</v>
      </c>
      <c r="X48" s="166">
        <v>0.30972222222222223</v>
      </c>
      <c r="Y48" s="166">
        <v>0.32083333333333336</v>
      </c>
      <c r="Z48" s="167"/>
      <c r="AA48" s="167"/>
      <c r="AB48" s="644"/>
      <c r="AC48" s="644"/>
      <c r="AD48" s="97"/>
      <c r="AE48" s="97"/>
      <c r="AF48" s="194">
        <f t="shared" si="28"/>
        <v>9.7826086956522431</v>
      </c>
      <c r="AG48" s="195">
        <f t="shared" si="7"/>
        <v>1.0065217391304349</v>
      </c>
      <c r="AH48" s="681"/>
    </row>
    <row r="49" spans="1:34" s="196" customFormat="1" ht="18" customHeight="1">
      <c r="A49" s="679"/>
      <c r="B49" s="176" t="s">
        <v>251</v>
      </c>
      <c r="C49" s="182"/>
      <c r="D49" s="201" t="s">
        <v>129</v>
      </c>
      <c r="E49" s="199"/>
      <c r="F49" s="183">
        <v>10.09</v>
      </c>
      <c r="G49" s="184">
        <v>4907.7</v>
      </c>
      <c r="H49" s="84">
        <f t="shared" si="30"/>
        <v>49518.692999999999</v>
      </c>
      <c r="I49" s="197"/>
      <c r="J49" s="186">
        <v>6</v>
      </c>
      <c r="K49" s="187">
        <v>1500</v>
      </c>
      <c r="L49" s="188">
        <v>250</v>
      </c>
      <c r="M49" s="200">
        <v>6</v>
      </c>
      <c r="N49" s="187">
        <f t="shared" si="31"/>
        <v>1472.3100000000004</v>
      </c>
      <c r="O49" s="188">
        <f t="shared" si="32"/>
        <v>245.38500000000008</v>
      </c>
      <c r="P49" s="93">
        <f t="shared" si="33"/>
        <v>0</v>
      </c>
      <c r="Q49" s="189">
        <f t="shared" si="34"/>
        <v>-4.6149999999999238</v>
      </c>
      <c r="R49" s="190">
        <f t="shared" si="27"/>
        <v>0.9815400000000003</v>
      </c>
      <c r="S49" s="659"/>
      <c r="T49" s="202">
        <v>0.39444444444444438</v>
      </c>
      <c r="U49" s="202">
        <v>0.53333333333333321</v>
      </c>
      <c r="V49" s="184">
        <v>10</v>
      </c>
      <c r="W49" s="193">
        <f t="shared" si="29"/>
        <v>199.99999999999994</v>
      </c>
      <c r="X49" s="203"/>
      <c r="Y49" s="203"/>
      <c r="Z49" s="204"/>
      <c r="AA49" s="167"/>
      <c r="AB49" s="644"/>
      <c r="AC49" s="644"/>
      <c r="AD49" s="97"/>
      <c r="AE49" s="97"/>
      <c r="AF49" s="194">
        <f t="shared" si="28"/>
        <v>-27.6899999999996</v>
      </c>
      <c r="AG49" s="195">
        <f t="shared" si="7"/>
        <v>0.9815400000000003</v>
      </c>
      <c r="AH49" s="681"/>
    </row>
    <row r="50" spans="1:34" s="196" customFormat="1" ht="18" customHeight="1">
      <c r="A50" s="679"/>
      <c r="B50" s="176">
        <v>0</v>
      </c>
      <c r="C50" s="182"/>
      <c r="D50" s="201"/>
      <c r="E50" s="199"/>
      <c r="F50" s="183" t="s">
        <v>253</v>
      </c>
      <c r="G50" s="184"/>
      <c r="H50" s="84">
        <f t="shared" si="30"/>
        <v>0</v>
      </c>
      <c r="I50" s="197"/>
      <c r="J50" s="186"/>
      <c r="K50" s="187"/>
      <c r="L50" s="188"/>
      <c r="M50" s="200"/>
      <c r="N50" s="187"/>
      <c r="O50" s="188"/>
      <c r="P50" s="93"/>
      <c r="Q50" s="189"/>
      <c r="R50" s="190"/>
      <c r="S50" s="659"/>
      <c r="T50" s="202"/>
      <c r="U50" s="202"/>
      <c r="V50" s="184"/>
      <c r="W50" s="193"/>
      <c r="X50" s="203"/>
      <c r="Y50" s="203"/>
      <c r="Z50" s="204"/>
      <c r="AA50" s="204"/>
      <c r="AB50" s="644"/>
      <c r="AC50" s="644"/>
      <c r="AD50" s="97"/>
      <c r="AE50" s="97"/>
      <c r="AF50" s="194">
        <f t="shared" si="28"/>
        <v>0</v>
      </c>
      <c r="AG50" s="195" t="e">
        <f t="shared" si="7"/>
        <v>#DIV/0!</v>
      </c>
      <c r="AH50" s="681"/>
    </row>
    <row r="51" spans="1:34" s="196" customFormat="1" ht="18" customHeight="1">
      <c r="A51" s="679"/>
      <c r="B51" s="176"/>
      <c r="C51" s="182"/>
      <c r="D51" s="201"/>
      <c r="E51" s="199"/>
      <c r="F51" s="183"/>
      <c r="G51" s="184"/>
      <c r="H51" s="84"/>
      <c r="I51" s="197"/>
      <c r="J51" s="186"/>
      <c r="K51" s="187"/>
      <c r="L51" s="188"/>
      <c r="M51" s="200"/>
      <c r="N51" s="187"/>
      <c r="O51" s="188"/>
      <c r="P51" s="93"/>
      <c r="Q51" s="189"/>
      <c r="R51" s="190"/>
      <c r="S51" s="659"/>
      <c r="T51" s="202"/>
      <c r="U51" s="202"/>
      <c r="V51" s="184"/>
      <c r="W51" s="193">
        <f t="shared" si="29"/>
        <v>0</v>
      </c>
      <c r="X51" s="203"/>
      <c r="Y51" s="203"/>
      <c r="Z51" s="204"/>
      <c r="AA51" s="204"/>
      <c r="AB51" s="644"/>
      <c r="AC51" s="644"/>
      <c r="AD51" s="97"/>
      <c r="AE51" s="97"/>
      <c r="AF51" s="194">
        <f t="shared" si="28"/>
        <v>0</v>
      </c>
      <c r="AG51" s="195" t="e">
        <f t="shared" si="7"/>
        <v>#DIV/0!</v>
      </c>
      <c r="AH51" s="681"/>
    </row>
    <row r="52" spans="1:34" s="196" customFormat="1" ht="18" customHeight="1">
      <c r="A52" s="679"/>
      <c r="B52" s="176">
        <v>0</v>
      </c>
      <c r="C52" s="182"/>
      <c r="D52" s="201"/>
      <c r="E52" s="199"/>
      <c r="F52" s="183" t="s">
        <v>253</v>
      </c>
      <c r="G52" s="184"/>
      <c r="H52" s="205">
        <f>F52*G52</f>
        <v>0</v>
      </c>
      <c r="I52" s="197"/>
      <c r="J52" s="200"/>
      <c r="K52" s="184"/>
      <c r="L52" s="206"/>
      <c r="M52" s="200"/>
      <c r="N52" s="184"/>
      <c r="O52" s="206"/>
      <c r="P52" s="96"/>
      <c r="Q52" s="132"/>
      <c r="R52" s="133"/>
      <c r="S52" s="659"/>
      <c r="T52" s="202"/>
      <c r="U52" s="202"/>
      <c r="V52" s="184"/>
      <c r="W52" s="193">
        <f t="shared" si="29"/>
        <v>0</v>
      </c>
      <c r="X52" s="203"/>
      <c r="Y52" s="203"/>
      <c r="Z52" s="204"/>
      <c r="AA52" s="204"/>
      <c r="AB52" s="644"/>
      <c r="AC52" s="644"/>
      <c r="AD52" s="97"/>
      <c r="AE52" s="97"/>
      <c r="AF52" s="194">
        <f t="shared" si="28"/>
        <v>0</v>
      </c>
      <c r="AG52" s="195" t="e">
        <f t="shared" si="7"/>
        <v>#DIV/0!</v>
      </c>
      <c r="AH52" s="681"/>
    </row>
    <row r="53" spans="1:34" s="196" customFormat="1" ht="18" customHeight="1">
      <c r="A53" s="679"/>
      <c r="B53" s="207">
        <v>0</v>
      </c>
      <c r="C53" s="182"/>
      <c r="D53" s="201"/>
      <c r="E53" s="199"/>
      <c r="F53" s="183" t="s">
        <v>253</v>
      </c>
      <c r="G53" s="184"/>
      <c r="H53" s="205">
        <f>F53*G53</f>
        <v>0</v>
      </c>
      <c r="I53" s="197"/>
      <c r="J53" s="200"/>
      <c r="K53" s="184"/>
      <c r="L53" s="206"/>
      <c r="M53" s="200"/>
      <c r="N53" s="184"/>
      <c r="O53" s="206"/>
      <c r="P53" s="96"/>
      <c r="Q53" s="132"/>
      <c r="R53" s="133"/>
      <c r="S53" s="659"/>
      <c r="T53" s="202"/>
      <c r="U53" s="202"/>
      <c r="V53" s="184"/>
      <c r="W53" s="193">
        <f t="shared" si="29"/>
        <v>0</v>
      </c>
      <c r="X53" s="203"/>
      <c r="Y53" s="203"/>
      <c r="Z53" s="204"/>
      <c r="AA53" s="204"/>
      <c r="AB53" s="644"/>
      <c r="AC53" s="644"/>
      <c r="AD53" s="97"/>
      <c r="AE53" s="97"/>
      <c r="AF53" s="194"/>
      <c r="AG53" s="195"/>
      <c r="AH53" s="681"/>
    </row>
    <row r="54" spans="1:34" s="196" customFormat="1" ht="18" customHeight="1">
      <c r="A54" s="679"/>
      <c r="B54" s="207">
        <v>0</v>
      </c>
      <c r="C54" s="182"/>
      <c r="D54" s="201"/>
      <c r="E54" s="199"/>
      <c r="F54" s="208" t="s">
        <v>253</v>
      </c>
      <c r="G54" s="184"/>
      <c r="H54" s="205">
        <f>F54*G54</f>
        <v>0</v>
      </c>
      <c r="I54" s="197"/>
      <c r="J54" s="200"/>
      <c r="K54" s="184"/>
      <c r="L54" s="206"/>
      <c r="M54" s="200"/>
      <c r="N54" s="184"/>
      <c r="O54" s="206"/>
      <c r="P54" s="96"/>
      <c r="Q54" s="132"/>
      <c r="R54" s="133"/>
      <c r="S54" s="659"/>
      <c r="T54" s="202"/>
      <c r="U54" s="202"/>
      <c r="V54" s="184"/>
      <c r="W54" s="193">
        <f t="shared" si="29"/>
        <v>0</v>
      </c>
      <c r="X54" s="203"/>
      <c r="Y54" s="203"/>
      <c r="Z54" s="204"/>
      <c r="AA54" s="204"/>
      <c r="AB54" s="644"/>
      <c r="AC54" s="644"/>
      <c r="AD54" s="97"/>
      <c r="AE54" s="97"/>
      <c r="AF54" s="194"/>
      <c r="AG54" s="195"/>
      <c r="AH54" s="681"/>
    </row>
    <row r="55" spans="1:34" s="196" customFormat="1" ht="18" customHeight="1">
      <c r="A55" s="679"/>
      <c r="B55" s="207">
        <v>0</v>
      </c>
      <c r="C55" s="182"/>
      <c r="D55" s="201"/>
      <c r="E55" s="199"/>
      <c r="F55" s="208" t="s">
        <v>253</v>
      </c>
      <c r="G55" s="184"/>
      <c r="H55" s="205">
        <f>F55*G55</f>
        <v>0</v>
      </c>
      <c r="I55" s="197"/>
      <c r="J55" s="200"/>
      <c r="K55" s="184"/>
      <c r="L55" s="206"/>
      <c r="M55" s="200"/>
      <c r="N55" s="184"/>
      <c r="O55" s="206"/>
      <c r="P55" s="96"/>
      <c r="Q55" s="132"/>
      <c r="R55" s="133"/>
      <c r="S55" s="659"/>
      <c r="T55" s="202"/>
      <c r="U55" s="202"/>
      <c r="V55" s="184"/>
      <c r="W55" s="193">
        <f t="shared" si="29"/>
        <v>0</v>
      </c>
      <c r="X55" s="203"/>
      <c r="Y55" s="203"/>
      <c r="Z55" s="204"/>
      <c r="AA55" s="204"/>
      <c r="AB55" s="644"/>
      <c r="AC55" s="644"/>
      <c r="AD55" s="97"/>
      <c r="AE55" s="97"/>
      <c r="AF55" s="194"/>
      <c r="AG55" s="195"/>
      <c r="AH55" s="681"/>
    </row>
    <row r="56" spans="1:34" ht="18" customHeight="1">
      <c r="A56" s="680"/>
      <c r="B56" s="209">
        <v>0</v>
      </c>
      <c r="C56" s="138" t="s">
        <v>16</v>
      </c>
      <c r="D56" s="630" t="s">
        <v>220</v>
      </c>
      <c r="E56" s="630"/>
      <c r="F56" s="139"/>
      <c r="G56" s="140"/>
      <c r="H56" s="141"/>
      <c r="I56" s="142"/>
      <c r="J56" s="140">
        <v>5</v>
      </c>
      <c r="K56" s="140">
        <v>1833.3333333333333</v>
      </c>
      <c r="L56" s="143">
        <v>388.88888888888886</v>
      </c>
      <c r="M56" s="140">
        <f t="shared" ref="M56:O56" si="35">AVERAGE(M44:M55)</f>
        <v>5.833333333333333</v>
      </c>
      <c r="N56" s="140">
        <f t="shared" si="35"/>
        <v>1862.6583333894189</v>
      </c>
      <c r="O56" s="143">
        <f t="shared" si="35"/>
        <v>332.22328469030612</v>
      </c>
      <c r="P56" s="210">
        <f>M56-J56</f>
        <v>0.83333333333333304</v>
      </c>
      <c r="Q56" s="159">
        <f>N56-K56</f>
        <v>29.325000056085628</v>
      </c>
      <c r="R56" s="211">
        <f t="shared" ref="R56:R61" si="36">O56/L56</f>
        <v>0.85428844634650147</v>
      </c>
      <c r="S56" s="659"/>
      <c r="T56" s="212"/>
      <c r="U56" s="212"/>
      <c r="V56" s="213"/>
      <c r="W56" s="193">
        <f t="shared" si="29"/>
        <v>0</v>
      </c>
      <c r="X56" s="214"/>
      <c r="Y56" s="214"/>
      <c r="Z56" s="145">
        <f>SUM(Z44:Z55)</f>
        <v>0</v>
      </c>
      <c r="AA56" s="145">
        <f>SUM(AA44:AA55)</f>
        <v>0</v>
      </c>
      <c r="AB56" s="644"/>
      <c r="AC56" s="644"/>
      <c r="AD56" s="146">
        <f>SUM(AD44:AD55)</f>
        <v>0</v>
      </c>
      <c r="AE56" s="146">
        <f>SUM(AE44:AE55)</f>
        <v>2</v>
      </c>
      <c r="AF56" s="215">
        <f>N56-K56</f>
        <v>29.325000056085628</v>
      </c>
      <c r="AG56" s="133">
        <f>N56/K56</f>
        <v>1.0159954545760468</v>
      </c>
      <c r="AH56" s="681"/>
    </row>
    <row r="57" spans="1:34" ht="18" customHeight="1">
      <c r="A57" s="676" t="s">
        <v>225</v>
      </c>
      <c r="B57" s="176" t="s">
        <v>247</v>
      </c>
      <c r="C57" s="216"/>
      <c r="D57" s="217" t="s">
        <v>131</v>
      </c>
      <c r="E57" s="149"/>
      <c r="F57" s="82">
        <v>28.26</v>
      </c>
      <c r="G57" s="184">
        <v>1591</v>
      </c>
      <c r="H57" s="129">
        <f t="shared" ref="H57:H66" si="37">F57*G57</f>
        <v>44961.66</v>
      </c>
      <c r="I57" s="97"/>
      <c r="J57" s="130">
        <v>6</v>
      </c>
      <c r="K57" s="100">
        <v>1500</v>
      </c>
      <c r="L57" s="131">
        <v>250</v>
      </c>
      <c r="M57" s="137">
        <v>7</v>
      </c>
      <c r="N57" s="100">
        <f t="shared" ref="N57:N61" si="38">G57/W57*60</f>
        <v>1325.8333333333328</v>
      </c>
      <c r="O57" s="131">
        <f t="shared" ref="O57:O61" si="39">N57/M57</f>
        <v>189.40476190476184</v>
      </c>
      <c r="P57" s="218">
        <f t="shared" ref="P57:P61" si="40">M57-J57</f>
        <v>1</v>
      </c>
      <c r="Q57" s="90">
        <f t="shared" ref="Q57:Q61" si="41">O57-L57</f>
        <v>-60.595238095238159</v>
      </c>
      <c r="R57" s="91">
        <f t="shared" si="36"/>
        <v>0.75761904761904741</v>
      </c>
      <c r="S57" s="659">
        <f>R69</f>
        <v>0.88435423001129698</v>
      </c>
      <c r="T57" s="191">
        <v>0.16666666666666666</v>
      </c>
      <c r="U57" s="191">
        <v>0.21666666666666667</v>
      </c>
      <c r="V57" s="65">
        <v>5</v>
      </c>
      <c r="W57" s="85">
        <f>(U57-T57)*24*60</f>
        <v>72.000000000000028</v>
      </c>
      <c r="X57" s="95"/>
      <c r="Y57" s="95"/>
      <c r="Z57" s="96"/>
      <c r="AA57" s="96"/>
      <c r="AB57" s="644"/>
      <c r="AC57" s="644"/>
      <c r="AD57" s="97"/>
      <c r="AE57" s="97"/>
      <c r="AF57" s="89">
        <f t="shared" si="6"/>
        <v>-174.1666666666672</v>
      </c>
      <c r="AG57" s="160">
        <f t="shared" si="7"/>
        <v>0.8838888888888885</v>
      </c>
      <c r="AH57" s="661">
        <f>AG69</f>
        <v>0.96609920283591566</v>
      </c>
    </row>
    <row r="58" spans="1:34" ht="18" customHeight="1">
      <c r="A58" s="677"/>
      <c r="B58" s="176" t="s">
        <v>247</v>
      </c>
      <c r="C58" s="219"/>
      <c r="D58" s="80" t="s">
        <v>132</v>
      </c>
      <c r="E58" s="81"/>
      <c r="F58" s="82">
        <v>27.88</v>
      </c>
      <c r="G58" s="184">
        <v>2537</v>
      </c>
      <c r="H58" s="84">
        <f t="shared" si="37"/>
        <v>70731.56</v>
      </c>
      <c r="I58" s="65"/>
      <c r="J58" s="86">
        <v>6</v>
      </c>
      <c r="K58" s="83">
        <v>1500</v>
      </c>
      <c r="L58" s="131">
        <v>250</v>
      </c>
      <c r="M58" s="88">
        <v>7</v>
      </c>
      <c r="N58" s="83">
        <f t="shared" si="38"/>
        <v>1463.6538461538464</v>
      </c>
      <c r="O58" s="87">
        <f t="shared" si="39"/>
        <v>209.09340659340663</v>
      </c>
      <c r="P58" s="218">
        <f t="shared" si="40"/>
        <v>1</v>
      </c>
      <c r="Q58" s="90">
        <f t="shared" si="41"/>
        <v>-40.906593406593373</v>
      </c>
      <c r="R58" s="91">
        <f t="shared" si="36"/>
        <v>0.83637362637362656</v>
      </c>
      <c r="S58" s="659"/>
      <c r="T58" s="220">
        <v>0.22222222222222224</v>
      </c>
      <c r="U58" s="220">
        <v>0.29444444444444445</v>
      </c>
      <c r="V58" s="65">
        <v>8</v>
      </c>
      <c r="W58" s="85">
        <f>(U58-T58)*24*60</f>
        <v>103.99999999999999</v>
      </c>
      <c r="X58" s="95"/>
      <c r="Y58" s="95"/>
      <c r="Z58" s="96"/>
      <c r="AA58" s="96"/>
      <c r="AB58" s="641"/>
      <c r="AC58" s="642"/>
      <c r="AD58" s="97"/>
      <c r="AE58" s="97"/>
      <c r="AF58" s="89">
        <f t="shared" si="6"/>
        <v>-36.346153846153584</v>
      </c>
      <c r="AG58" s="91">
        <f t="shared" si="7"/>
        <v>0.97576923076923094</v>
      </c>
      <c r="AH58" s="659"/>
    </row>
    <row r="59" spans="1:34" ht="18" customHeight="1">
      <c r="A59" s="677"/>
      <c r="B59" s="176" t="s">
        <v>247</v>
      </c>
      <c r="C59" s="219"/>
      <c r="D59" s="80" t="s">
        <v>133</v>
      </c>
      <c r="E59" s="81"/>
      <c r="F59" s="82">
        <v>28</v>
      </c>
      <c r="G59" s="184">
        <v>2829</v>
      </c>
      <c r="H59" s="84">
        <f t="shared" si="37"/>
        <v>79212</v>
      </c>
      <c r="I59" s="65"/>
      <c r="J59" s="86">
        <v>6</v>
      </c>
      <c r="K59" s="83">
        <v>1500</v>
      </c>
      <c r="L59" s="131">
        <v>250</v>
      </c>
      <c r="M59" s="88">
        <v>7</v>
      </c>
      <c r="N59" s="83">
        <f t="shared" si="38"/>
        <v>1502.1238938053098</v>
      </c>
      <c r="O59" s="87">
        <f t="shared" si="39"/>
        <v>214.58912768647284</v>
      </c>
      <c r="P59" s="218">
        <f t="shared" si="40"/>
        <v>1</v>
      </c>
      <c r="Q59" s="90">
        <f t="shared" si="41"/>
        <v>-35.410872313527165</v>
      </c>
      <c r="R59" s="91">
        <f t="shared" si="36"/>
        <v>0.85835651074589137</v>
      </c>
      <c r="S59" s="659"/>
      <c r="T59" s="220">
        <v>0.31180555555555556</v>
      </c>
      <c r="U59" s="220">
        <v>0.39027777777777778</v>
      </c>
      <c r="V59" s="192">
        <v>25</v>
      </c>
      <c r="W59" s="85">
        <f>(U59-T59)*24*60</f>
        <v>113</v>
      </c>
      <c r="X59" s="95">
        <v>0.29791666666666666</v>
      </c>
      <c r="Y59" s="95">
        <v>0.21944444444444444</v>
      </c>
      <c r="Z59" s="96"/>
      <c r="AA59" s="96"/>
      <c r="AB59" s="644"/>
      <c r="AC59" s="644"/>
      <c r="AD59" s="97"/>
      <c r="AE59" s="97"/>
      <c r="AF59" s="89">
        <f t="shared" si="6"/>
        <v>2.1238938053097627</v>
      </c>
      <c r="AG59" s="91">
        <f t="shared" si="7"/>
        <v>1.0014159292035398</v>
      </c>
      <c r="AH59" s="659"/>
    </row>
    <row r="60" spans="1:34" ht="18" customHeight="1">
      <c r="A60" s="677"/>
      <c r="B60" s="176" t="s">
        <v>251</v>
      </c>
      <c r="C60" s="219"/>
      <c r="D60" s="80" t="s">
        <v>129</v>
      </c>
      <c r="E60" s="81"/>
      <c r="F60" s="82">
        <v>10.09</v>
      </c>
      <c r="G60" s="184">
        <v>3616.2000000000003</v>
      </c>
      <c r="H60" s="84">
        <f t="shared" si="37"/>
        <v>36487.457999999999</v>
      </c>
      <c r="I60" s="65"/>
      <c r="J60" s="221">
        <v>6</v>
      </c>
      <c r="K60" s="104">
        <v>1500</v>
      </c>
      <c r="L60" s="131">
        <v>250</v>
      </c>
      <c r="M60" s="106">
        <v>6</v>
      </c>
      <c r="N60" s="83">
        <f t="shared" si="38"/>
        <v>1476.0000000000007</v>
      </c>
      <c r="O60" s="87">
        <f t="shared" si="39"/>
        <v>246.00000000000011</v>
      </c>
      <c r="P60" s="218">
        <f t="shared" si="40"/>
        <v>0</v>
      </c>
      <c r="Q60" s="90">
        <f t="shared" si="41"/>
        <v>-3.9999999999998863</v>
      </c>
      <c r="R60" s="91">
        <f t="shared" si="36"/>
        <v>0.98400000000000043</v>
      </c>
      <c r="S60" s="659"/>
      <c r="T60" s="220">
        <v>0.40763888888888888</v>
      </c>
      <c r="U60" s="220">
        <v>0.50972222222222219</v>
      </c>
      <c r="V60" s="192">
        <v>25</v>
      </c>
      <c r="W60" s="85">
        <f>(U60-T60)*24*60</f>
        <v>146.99999999999994</v>
      </c>
      <c r="X60" s="95">
        <v>0.39374999999999999</v>
      </c>
      <c r="Y60" s="95">
        <v>0.40486111111111112</v>
      </c>
      <c r="Z60" s="96"/>
      <c r="AA60" s="96"/>
      <c r="AB60" s="644"/>
      <c r="AC60" s="644"/>
      <c r="AD60" s="97">
        <v>1</v>
      </c>
      <c r="AE60" s="97"/>
      <c r="AF60" s="89">
        <f t="shared" si="6"/>
        <v>-23.999999999999318</v>
      </c>
      <c r="AG60" s="160">
        <f t="shared" si="7"/>
        <v>0.98400000000000043</v>
      </c>
      <c r="AH60" s="659"/>
    </row>
    <row r="61" spans="1:34" ht="18" customHeight="1">
      <c r="A61" s="677"/>
      <c r="B61" s="176" t="s">
        <v>251</v>
      </c>
      <c r="C61" s="219"/>
      <c r="D61" s="80" t="s">
        <v>129</v>
      </c>
      <c r="E61" s="81"/>
      <c r="F61" s="82">
        <v>10.09</v>
      </c>
      <c r="G61" s="184">
        <v>4261.95</v>
      </c>
      <c r="H61" s="84">
        <f t="shared" si="37"/>
        <v>43003.075499999999</v>
      </c>
      <c r="I61" s="65"/>
      <c r="J61" s="86">
        <v>6</v>
      </c>
      <c r="K61" s="83">
        <v>1500</v>
      </c>
      <c r="L61" s="131">
        <v>250</v>
      </c>
      <c r="M61" s="106">
        <v>6</v>
      </c>
      <c r="N61" s="83">
        <f t="shared" si="38"/>
        <v>1478.1329479768783</v>
      </c>
      <c r="O61" s="87">
        <f t="shared" si="39"/>
        <v>246.35549132947972</v>
      </c>
      <c r="P61" s="218">
        <f t="shared" si="40"/>
        <v>0</v>
      </c>
      <c r="Q61" s="90">
        <f t="shared" si="41"/>
        <v>-3.6445086705202812</v>
      </c>
      <c r="R61" s="91">
        <f t="shared" si="36"/>
        <v>0.98542196531791892</v>
      </c>
      <c r="S61" s="659"/>
      <c r="T61" s="220">
        <v>0.52708333333333335</v>
      </c>
      <c r="U61" s="220">
        <v>0.64722222222222225</v>
      </c>
      <c r="V61" s="192">
        <v>25</v>
      </c>
      <c r="W61" s="85">
        <f>(U61-T61)*24*60</f>
        <v>173.00000000000003</v>
      </c>
      <c r="X61" s="95">
        <v>0.5131944444444444</v>
      </c>
      <c r="Y61" s="95">
        <v>0.52430555555555558</v>
      </c>
      <c r="Z61" s="96"/>
      <c r="AA61" s="96"/>
      <c r="AB61" s="644"/>
      <c r="AC61" s="644"/>
      <c r="AD61" s="97"/>
      <c r="AE61" s="97"/>
      <c r="AF61" s="89">
        <f t="shared" si="6"/>
        <v>-21.867052023121687</v>
      </c>
      <c r="AG61" s="160">
        <f t="shared" si="7"/>
        <v>0.98542196531791892</v>
      </c>
      <c r="AH61" s="659"/>
    </row>
    <row r="62" spans="1:34" ht="18" customHeight="1">
      <c r="A62" s="677"/>
      <c r="B62" s="176">
        <v>0</v>
      </c>
      <c r="C62" s="219"/>
      <c r="D62" s="80"/>
      <c r="E62" s="81"/>
      <c r="F62" s="82" t="s">
        <v>253</v>
      </c>
      <c r="G62" s="184"/>
      <c r="H62" s="84">
        <f t="shared" si="37"/>
        <v>0</v>
      </c>
      <c r="I62" s="65"/>
      <c r="J62" s="221"/>
      <c r="K62" s="104"/>
      <c r="L62" s="131"/>
      <c r="M62" s="106"/>
      <c r="N62" s="83"/>
      <c r="O62" s="87"/>
      <c r="P62" s="218"/>
      <c r="Q62" s="90"/>
      <c r="R62" s="91"/>
      <c r="S62" s="659"/>
      <c r="T62" s="220"/>
      <c r="U62" s="220"/>
      <c r="V62" s="192"/>
      <c r="W62" s="85"/>
      <c r="X62" s="95"/>
      <c r="Y62" s="95"/>
      <c r="Z62" s="96"/>
      <c r="AA62" s="96"/>
      <c r="AB62" s="644"/>
      <c r="AC62" s="644"/>
      <c r="AD62" s="97"/>
      <c r="AE62" s="97"/>
      <c r="AF62" s="89">
        <f t="shared" si="6"/>
        <v>0</v>
      </c>
      <c r="AG62" s="160" t="e">
        <f t="shared" si="7"/>
        <v>#DIV/0!</v>
      </c>
      <c r="AH62" s="659"/>
    </row>
    <row r="63" spans="1:34" ht="18" customHeight="1">
      <c r="A63" s="677"/>
      <c r="B63" s="176">
        <v>0</v>
      </c>
      <c r="C63" s="219"/>
      <c r="D63" s="80"/>
      <c r="E63" s="81"/>
      <c r="F63" s="82" t="s">
        <v>253</v>
      </c>
      <c r="G63" s="184"/>
      <c r="H63" s="84">
        <f t="shared" si="37"/>
        <v>0</v>
      </c>
      <c r="I63" s="65"/>
      <c r="J63" s="86"/>
      <c r="K63" s="83"/>
      <c r="L63" s="131"/>
      <c r="M63" s="106"/>
      <c r="N63" s="83"/>
      <c r="O63" s="87"/>
      <c r="P63" s="218"/>
      <c r="Q63" s="90"/>
      <c r="R63" s="91"/>
      <c r="S63" s="659"/>
      <c r="T63" s="220"/>
      <c r="U63" s="220"/>
      <c r="V63" s="192"/>
      <c r="W63" s="85"/>
      <c r="X63" s="95"/>
      <c r="Y63" s="95"/>
      <c r="Z63" s="96"/>
      <c r="AA63" s="96"/>
      <c r="AB63" s="644"/>
      <c r="AC63" s="644"/>
      <c r="AD63" s="97"/>
      <c r="AE63" s="97"/>
      <c r="AF63" s="89">
        <f t="shared" si="6"/>
        <v>0</v>
      </c>
      <c r="AG63" s="160" t="e">
        <f t="shared" si="7"/>
        <v>#DIV/0!</v>
      </c>
      <c r="AH63" s="659"/>
    </row>
    <row r="64" spans="1:34" ht="18" customHeight="1">
      <c r="A64" s="677"/>
      <c r="B64" s="176">
        <v>0</v>
      </c>
      <c r="C64" s="219"/>
      <c r="D64" s="80"/>
      <c r="E64" s="81"/>
      <c r="F64" s="82" t="s">
        <v>253</v>
      </c>
      <c r="G64" s="184"/>
      <c r="H64" s="84">
        <f t="shared" si="37"/>
        <v>0</v>
      </c>
      <c r="I64" s="65"/>
      <c r="J64" s="221"/>
      <c r="K64" s="104"/>
      <c r="L64" s="131"/>
      <c r="M64" s="106"/>
      <c r="N64" s="83"/>
      <c r="O64" s="87"/>
      <c r="P64" s="218"/>
      <c r="Q64" s="90"/>
      <c r="R64" s="91"/>
      <c r="S64" s="659"/>
      <c r="T64" s="220"/>
      <c r="U64" s="220"/>
      <c r="V64" s="192"/>
      <c r="W64" s="85"/>
      <c r="X64" s="65"/>
      <c r="Y64" s="65"/>
      <c r="Z64" s="96"/>
      <c r="AA64" s="96"/>
      <c r="AB64" s="644"/>
      <c r="AC64" s="644"/>
      <c r="AD64" s="97"/>
      <c r="AE64" s="97"/>
      <c r="AF64" s="89">
        <f t="shared" si="6"/>
        <v>0</v>
      </c>
      <c r="AG64" s="160" t="e">
        <f t="shared" si="7"/>
        <v>#DIV/0!</v>
      </c>
      <c r="AH64" s="659"/>
    </row>
    <row r="65" spans="1:34" ht="18" customHeight="1">
      <c r="A65" s="677"/>
      <c r="B65" s="176">
        <v>0</v>
      </c>
      <c r="C65" s="219"/>
      <c r="D65" s="80"/>
      <c r="E65" s="81"/>
      <c r="F65" s="82" t="s">
        <v>253</v>
      </c>
      <c r="G65" s="184"/>
      <c r="H65" s="84">
        <f t="shared" si="37"/>
        <v>0</v>
      </c>
      <c r="I65" s="65"/>
      <c r="J65" s="221"/>
      <c r="K65" s="104"/>
      <c r="L65" s="131"/>
      <c r="M65" s="106"/>
      <c r="N65" s="104"/>
      <c r="O65" s="122"/>
      <c r="P65" s="89"/>
      <c r="Q65" s="90"/>
      <c r="R65" s="91"/>
      <c r="S65" s="659"/>
      <c r="T65" s="220"/>
      <c r="U65" s="220"/>
      <c r="V65" s="192"/>
      <c r="W65" s="85">
        <f t="shared" ref="W65:W69" si="42">(U65-T65)*24*60</f>
        <v>0</v>
      </c>
      <c r="X65" s="65"/>
      <c r="Y65" s="65"/>
      <c r="Z65" s="96"/>
      <c r="AA65" s="96"/>
      <c r="AB65" s="644"/>
      <c r="AC65" s="644"/>
      <c r="AD65" s="97"/>
      <c r="AE65" s="97"/>
      <c r="AF65" s="89">
        <f t="shared" si="6"/>
        <v>0</v>
      </c>
      <c r="AG65" s="160" t="e">
        <f t="shared" si="7"/>
        <v>#DIV/0!</v>
      </c>
      <c r="AH65" s="659"/>
    </row>
    <row r="66" spans="1:34" ht="18" customHeight="1">
      <c r="A66" s="677"/>
      <c r="B66" s="176">
        <v>0</v>
      </c>
      <c r="C66" s="219"/>
      <c r="D66" s="80"/>
      <c r="E66" s="81"/>
      <c r="F66" s="82" t="s">
        <v>253</v>
      </c>
      <c r="G66" s="184"/>
      <c r="H66" s="84">
        <f t="shared" si="37"/>
        <v>0</v>
      </c>
      <c r="I66" s="65"/>
      <c r="J66" s="221"/>
      <c r="K66" s="104"/>
      <c r="L66" s="131"/>
      <c r="M66" s="106"/>
      <c r="N66" s="104"/>
      <c r="O66" s="122"/>
      <c r="P66" s="89"/>
      <c r="Q66" s="90"/>
      <c r="R66" s="91"/>
      <c r="S66" s="659"/>
      <c r="T66" s="220"/>
      <c r="U66" s="220"/>
      <c r="V66" s="192"/>
      <c r="W66" s="85">
        <f t="shared" si="42"/>
        <v>0</v>
      </c>
      <c r="X66" s="65"/>
      <c r="Y66" s="65"/>
      <c r="Z66" s="96"/>
      <c r="AA66" s="96"/>
      <c r="AB66" s="644"/>
      <c r="AC66" s="644"/>
      <c r="AD66" s="97"/>
      <c r="AE66" s="97"/>
      <c r="AF66" s="89">
        <f t="shared" si="6"/>
        <v>0</v>
      </c>
      <c r="AG66" s="160" t="e">
        <f t="shared" si="7"/>
        <v>#DIV/0!</v>
      </c>
      <c r="AH66" s="659"/>
    </row>
    <row r="67" spans="1:34" ht="18" customHeight="1">
      <c r="A67" s="677"/>
      <c r="B67" s="176">
        <v>0</v>
      </c>
      <c r="C67" s="219"/>
      <c r="D67" s="80"/>
      <c r="E67" s="81"/>
      <c r="F67" s="82" t="s">
        <v>253</v>
      </c>
      <c r="G67" s="184"/>
      <c r="H67" s="84">
        <f>F67*G67</f>
        <v>0</v>
      </c>
      <c r="I67" s="65"/>
      <c r="J67" s="221"/>
      <c r="K67" s="104"/>
      <c r="L67" s="131"/>
      <c r="M67" s="106"/>
      <c r="N67" s="104"/>
      <c r="O67" s="122"/>
      <c r="P67" s="89"/>
      <c r="Q67" s="90"/>
      <c r="R67" s="91"/>
      <c r="S67" s="659"/>
      <c r="T67" s="220"/>
      <c r="U67" s="220"/>
      <c r="V67" s="192"/>
      <c r="W67" s="85">
        <f t="shared" si="42"/>
        <v>0</v>
      </c>
      <c r="X67" s="65"/>
      <c r="Y67" s="65"/>
      <c r="Z67" s="96"/>
      <c r="AA67" s="96"/>
      <c r="AB67" s="644"/>
      <c r="AC67" s="644"/>
      <c r="AD67" s="97"/>
      <c r="AE67" s="97"/>
      <c r="AF67" s="89">
        <f t="shared" si="6"/>
        <v>0</v>
      </c>
      <c r="AG67" s="160" t="e">
        <f t="shared" si="7"/>
        <v>#DIV/0!</v>
      </c>
      <c r="AH67" s="659"/>
    </row>
    <row r="68" spans="1:34" ht="18" customHeight="1">
      <c r="A68" s="677"/>
      <c r="B68" s="65">
        <v>0</v>
      </c>
      <c r="C68" s="219"/>
      <c r="D68" s="80"/>
      <c r="E68" s="81"/>
      <c r="F68" s="183" t="s">
        <v>253</v>
      </c>
      <c r="G68" s="184"/>
      <c r="H68" s="84">
        <f>F68*G68</f>
        <v>0</v>
      </c>
      <c r="I68" s="65"/>
      <c r="J68" s="221"/>
      <c r="K68" s="104"/>
      <c r="L68" s="131"/>
      <c r="M68" s="106"/>
      <c r="N68" s="104"/>
      <c r="O68" s="122"/>
      <c r="P68" s="89"/>
      <c r="Q68" s="90"/>
      <c r="R68" s="91"/>
      <c r="S68" s="659"/>
      <c r="T68" s="220"/>
      <c r="U68" s="220"/>
      <c r="V68" s="192"/>
      <c r="W68" s="85">
        <f t="shared" si="42"/>
        <v>0</v>
      </c>
      <c r="X68" s="65"/>
      <c r="Y68" s="65"/>
      <c r="Z68" s="96"/>
      <c r="AA68" s="96"/>
      <c r="AB68" s="644"/>
      <c r="AC68" s="644"/>
      <c r="AD68" s="97"/>
      <c r="AE68" s="97"/>
      <c r="AF68" s="89"/>
      <c r="AG68" s="91"/>
      <c r="AH68" s="659"/>
    </row>
    <row r="69" spans="1:34" ht="18" customHeight="1">
      <c r="A69" s="677"/>
      <c r="B69" s="222">
        <v>0</v>
      </c>
      <c r="C69" s="12" t="s">
        <v>226</v>
      </c>
      <c r="D69" s="630" t="s">
        <v>220</v>
      </c>
      <c r="E69" s="630"/>
      <c r="F69" s="223"/>
      <c r="G69" s="224"/>
      <c r="H69" s="225"/>
      <c r="I69" s="226"/>
      <c r="J69" s="114">
        <v>6</v>
      </c>
      <c r="K69" s="114">
        <v>1500</v>
      </c>
      <c r="L69" s="117">
        <v>250</v>
      </c>
      <c r="M69" s="114">
        <f t="shared" ref="M69:O69" si="43">AVERAGE(M57:M68)</f>
        <v>6.6</v>
      </c>
      <c r="N69" s="114">
        <f t="shared" si="43"/>
        <v>1449.1488042538735</v>
      </c>
      <c r="O69" s="117">
        <f t="shared" si="43"/>
        <v>221.08855750282424</v>
      </c>
      <c r="P69" s="89">
        <f>M69-J69</f>
        <v>0.59999999999999964</v>
      </c>
      <c r="Q69" s="90">
        <f>N69-K69</f>
        <v>-50.85119574612645</v>
      </c>
      <c r="R69" s="227">
        <f t="shared" ref="R69:R70" si="44">O69/L69</f>
        <v>0.88435423001129698</v>
      </c>
      <c r="S69" s="659"/>
      <c r="T69" s="191"/>
      <c r="U69" s="191"/>
      <c r="V69" s="83"/>
      <c r="W69" s="85">
        <f t="shared" si="42"/>
        <v>0</v>
      </c>
      <c r="X69" s="87"/>
      <c r="Y69" s="87"/>
      <c r="Z69" s="145">
        <f>SUM(Z57:Z68)</f>
        <v>0</v>
      </c>
      <c r="AA69" s="145">
        <f>SUM(AA57:AA68)</f>
        <v>0</v>
      </c>
      <c r="AB69" s="644"/>
      <c r="AC69" s="644"/>
      <c r="AD69" s="146">
        <f>SUM(AD57:AD68)</f>
        <v>1</v>
      </c>
      <c r="AE69" s="146">
        <f>SUM(AE57:AE68)</f>
        <v>0</v>
      </c>
      <c r="AF69" s="89">
        <f t="shared" si="6"/>
        <v>-50.85119574612645</v>
      </c>
      <c r="AG69" s="91">
        <f t="shared" si="7"/>
        <v>0.96609920283591566</v>
      </c>
      <c r="AH69" s="659"/>
    </row>
    <row r="70" spans="1:34" ht="15.65" customHeight="1">
      <c r="A70" s="674" t="s">
        <v>227</v>
      </c>
      <c r="B70" s="65" t="s">
        <v>248</v>
      </c>
      <c r="C70" s="176"/>
      <c r="D70" s="80" t="s">
        <v>134</v>
      </c>
      <c r="E70" s="81"/>
      <c r="F70" s="82">
        <v>62.13</v>
      </c>
      <c r="G70" s="83">
        <v>764</v>
      </c>
      <c r="H70" s="84">
        <f>F70*G70</f>
        <v>47467.32</v>
      </c>
      <c r="I70" s="65"/>
      <c r="J70" s="86">
        <v>14</v>
      </c>
      <c r="K70" s="83">
        <v>1500</v>
      </c>
      <c r="L70" s="87">
        <v>107.14285714285714</v>
      </c>
      <c r="M70" s="88">
        <v>14</v>
      </c>
      <c r="N70" s="83">
        <f t="shared" ref="N70:N78" si="45">G70/W70*60</f>
        <v>1309.7142857142844</v>
      </c>
      <c r="O70" s="87">
        <f t="shared" ref="O70:O78" si="46">N70/M70</f>
        <v>93.551020408163168</v>
      </c>
      <c r="P70" s="89">
        <f t="shared" ref="P70:P78" si="47">M70-J70</f>
        <v>0</v>
      </c>
      <c r="Q70" s="90">
        <f t="shared" ref="Q70" si="48">O70-L70</f>
        <v>-13.59183673469397</v>
      </c>
      <c r="R70" s="91">
        <f t="shared" si="44"/>
        <v>0.87314285714285622</v>
      </c>
      <c r="S70" s="659">
        <f>R82</f>
        <v>0.8306194693839225</v>
      </c>
      <c r="T70" s="92">
        <v>0.29166666666666669</v>
      </c>
      <c r="U70" s="92">
        <v>0.31597222222222227</v>
      </c>
      <c r="V70" s="65">
        <v>5</v>
      </c>
      <c r="W70" s="85">
        <f>(U70-T70)*24*60</f>
        <v>35.000000000000036</v>
      </c>
      <c r="X70" s="65"/>
      <c r="Y70" s="65"/>
      <c r="Z70" s="96"/>
      <c r="AA70" s="96"/>
      <c r="AB70" s="644"/>
      <c r="AC70" s="644"/>
      <c r="AD70" s="97"/>
      <c r="AE70" s="97"/>
      <c r="AF70" s="89">
        <f t="shared" si="6"/>
        <v>-190.28571428571558</v>
      </c>
      <c r="AG70" s="91">
        <f t="shared" si="7"/>
        <v>0.87314285714285622</v>
      </c>
      <c r="AH70" s="659">
        <f>AG82</f>
        <v>0.84375552330047066</v>
      </c>
    </row>
    <row r="71" spans="1:34" ht="17.399999999999999" customHeight="1">
      <c r="A71" s="674"/>
      <c r="B71" s="65" t="s">
        <v>252</v>
      </c>
      <c r="C71" s="79"/>
      <c r="D71" s="228" t="s">
        <v>135</v>
      </c>
      <c r="E71" s="81"/>
      <c r="F71" s="82">
        <v>47.65</v>
      </c>
      <c r="G71" s="83">
        <v>2697</v>
      </c>
      <c r="H71" s="84">
        <f>F71*G71</f>
        <v>128512.05</v>
      </c>
      <c r="I71" s="65"/>
      <c r="J71" s="86">
        <v>18</v>
      </c>
      <c r="K71" s="229">
        <v>1440</v>
      </c>
      <c r="L71" s="87">
        <v>80</v>
      </c>
      <c r="M71" s="137">
        <v>18</v>
      </c>
      <c r="N71" s="83">
        <f t="shared" si="45"/>
        <v>1294.5600000000004</v>
      </c>
      <c r="O71" s="87">
        <f t="shared" si="46"/>
        <v>71.920000000000016</v>
      </c>
      <c r="P71" s="89">
        <f t="shared" si="47"/>
        <v>0</v>
      </c>
      <c r="Q71" s="90">
        <f>O71-L71</f>
        <v>-8.0799999999999841</v>
      </c>
      <c r="R71" s="91">
        <f>O71/L71</f>
        <v>0.89900000000000024</v>
      </c>
      <c r="S71" s="659"/>
      <c r="T71" s="92">
        <v>0.32083333333333336</v>
      </c>
      <c r="U71" s="92">
        <v>0.40763888888888888</v>
      </c>
      <c r="V71" s="65">
        <v>7</v>
      </c>
      <c r="W71" s="85">
        <f t="shared" ref="W71:W81" si="49">(U71-T71)*24*60</f>
        <v>124.99999999999996</v>
      </c>
      <c r="X71" s="95"/>
      <c r="Y71" s="95"/>
      <c r="Z71" s="96"/>
      <c r="AA71" s="96"/>
      <c r="AB71" s="644"/>
      <c r="AC71" s="644"/>
      <c r="AD71" s="97"/>
      <c r="AE71" s="97"/>
      <c r="AF71" s="89">
        <f>N71-K71</f>
        <v>-145.4399999999996</v>
      </c>
      <c r="AG71" s="91">
        <f>N71/K71</f>
        <v>0.89900000000000024</v>
      </c>
      <c r="AH71" s="659"/>
    </row>
    <row r="72" spans="1:34" ht="17.399999999999999" customHeight="1">
      <c r="A72" s="674"/>
      <c r="B72" s="65" t="s">
        <v>252</v>
      </c>
      <c r="C72" s="109"/>
      <c r="D72" s="228" t="s">
        <v>136</v>
      </c>
      <c r="E72" s="81"/>
      <c r="F72" s="82">
        <v>47.51</v>
      </c>
      <c r="G72" s="100">
        <v>2452.7199999999998</v>
      </c>
      <c r="H72" s="84">
        <f t="shared" ref="H72:H80" si="50">F72*G72</f>
        <v>116528.72719999998</v>
      </c>
      <c r="I72" s="65"/>
      <c r="J72" s="130">
        <v>17</v>
      </c>
      <c r="K72" s="100">
        <v>1440</v>
      </c>
      <c r="L72" s="131">
        <v>84.705882352941174</v>
      </c>
      <c r="M72" s="88">
        <v>17</v>
      </c>
      <c r="N72" s="83">
        <f t="shared" si="45"/>
        <v>1279.68</v>
      </c>
      <c r="O72" s="87">
        <f t="shared" si="46"/>
        <v>75.275294117647064</v>
      </c>
      <c r="P72" s="89">
        <f t="shared" si="47"/>
        <v>0</v>
      </c>
      <c r="Q72" s="90">
        <f>O72-L72</f>
        <v>-9.4305882352941097</v>
      </c>
      <c r="R72" s="91">
        <f>O72/L72</f>
        <v>0.88866666666666672</v>
      </c>
      <c r="S72" s="659"/>
      <c r="T72" s="92">
        <v>0.4236111111111111</v>
      </c>
      <c r="U72" s="92">
        <v>0.50347222222222221</v>
      </c>
      <c r="V72" s="65">
        <v>23</v>
      </c>
      <c r="W72" s="85">
        <f t="shared" si="49"/>
        <v>114.99999999999999</v>
      </c>
      <c r="X72" s="95">
        <v>0.41111111111111115</v>
      </c>
      <c r="Y72" s="95">
        <v>0.42083333333333334</v>
      </c>
      <c r="Z72" s="96"/>
      <c r="AA72" s="96"/>
      <c r="AB72" s="644"/>
      <c r="AC72" s="644"/>
      <c r="AD72" s="97"/>
      <c r="AE72" s="97"/>
      <c r="AF72" s="89">
        <f>N72-K72</f>
        <v>-160.31999999999994</v>
      </c>
      <c r="AG72" s="91">
        <f>N72/K72</f>
        <v>0.88866666666666672</v>
      </c>
      <c r="AH72" s="659"/>
    </row>
    <row r="73" spans="1:34" ht="17.399999999999999" customHeight="1">
      <c r="A73" s="674"/>
      <c r="B73" s="65" t="s">
        <v>252</v>
      </c>
      <c r="C73" s="230"/>
      <c r="D73" s="231" t="s">
        <v>137</v>
      </c>
      <c r="E73" s="232"/>
      <c r="F73" s="82">
        <v>64.97</v>
      </c>
      <c r="G73" s="100">
        <v>426</v>
      </c>
      <c r="H73" s="84">
        <f t="shared" si="50"/>
        <v>27677.22</v>
      </c>
      <c r="I73" s="97"/>
      <c r="J73" s="233">
        <v>16</v>
      </c>
      <c r="K73" s="234">
        <v>1440</v>
      </c>
      <c r="L73" s="131">
        <v>90</v>
      </c>
      <c r="M73" s="137">
        <v>16</v>
      </c>
      <c r="N73" s="83">
        <f t="shared" si="45"/>
        <v>1064.9999999999966</v>
      </c>
      <c r="O73" s="87">
        <f t="shared" si="46"/>
        <v>66.562499999999787</v>
      </c>
      <c r="P73" s="89">
        <f t="shared" si="47"/>
        <v>0</v>
      </c>
      <c r="Q73" s="90">
        <f>O73-L73</f>
        <v>-23.437500000000213</v>
      </c>
      <c r="R73" s="91">
        <f>O73/L73</f>
        <v>0.73958333333333093</v>
      </c>
      <c r="S73" s="659"/>
      <c r="T73" s="92">
        <v>0.54374999999999996</v>
      </c>
      <c r="U73" s="92">
        <v>0.56041666666666667</v>
      </c>
      <c r="V73" s="65">
        <v>5</v>
      </c>
      <c r="W73" s="85">
        <f t="shared" si="49"/>
        <v>24.000000000000075</v>
      </c>
      <c r="X73" s="235"/>
      <c r="Y73" s="235"/>
      <c r="Z73" s="167"/>
      <c r="AA73" s="167"/>
      <c r="AB73" s="644"/>
      <c r="AC73" s="644"/>
      <c r="AD73" s="97"/>
      <c r="AE73" s="97"/>
      <c r="AF73" s="89">
        <f>N73-K73</f>
        <v>-375.00000000000341</v>
      </c>
      <c r="AG73" s="91">
        <f>N73/K73</f>
        <v>0.73958333333333093</v>
      </c>
      <c r="AH73" s="659"/>
    </row>
    <row r="74" spans="1:34" ht="17.399999999999999" customHeight="1">
      <c r="A74" s="674"/>
      <c r="B74" s="65" t="s">
        <v>252</v>
      </c>
      <c r="C74" s="230"/>
      <c r="D74" s="231" t="s">
        <v>139</v>
      </c>
      <c r="E74" s="232"/>
      <c r="F74" s="82">
        <v>71.55</v>
      </c>
      <c r="G74" s="229">
        <v>838</v>
      </c>
      <c r="H74" s="84">
        <f t="shared" si="50"/>
        <v>59958.899999999994</v>
      </c>
      <c r="I74" s="65"/>
      <c r="J74" s="130">
        <v>19</v>
      </c>
      <c r="K74" s="100">
        <v>1385</v>
      </c>
      <c r="L74" s="131">
        <v>72.89473684210526</v>
      </c>
      <c r="M74" s="88">
        <v>20</v>
      </c>
      <c r="N74" s="83">
        <f t="shared" si="45"/>
        <v>1226.3414634146336</v>
      </c>
      <c r="O74" s="87">
        <f t="shared" si="46"/>
        <v>61.317073170731682</v>
      </c>
      <c r="P74" s="89">
        <f t="shared" si="47"/>
        <v>1</v>
      </c>
      <c r="Q74" s="90">
        <f>O74-L74</f>
        <v>-11.577663671373578</v>
      </c>
      <c r="R74" s="91">
        <f>O74/L74</f>
        <v>0.84117284494144551</v>
      </c>
      <c r="S74" s="659"/>
      <c r="T74" s="92">
        <v>0.56458333333333333</v>
      </c>
      <c r="U74" s="92">
        <v>0.59305555555555556</v>
      </c>
      <c r="V74" s="65">
        <v>6</v>
      </c>
      <c r="W74" s="85">
        <f t="shared" si="49"/>
        <v>41.000000000000014</v>
      </c>
      <c r="X74" s="235"/>
      <c r="Y74" s="235"/>
      <c r="Z74" s="167"/>
      <c r="AA74" s="167"/>
      <c r="AB74" s="644"/>
      <c r="AC74" s="644"/>
      <c r="AD74" s="97"/>
      <c r="AE74" s="97"/>
      <c r="AF74" s="89">
        <f>N74-K74</f>
        <v>-158.65853658536639</v>
      </c>
      <c r="AG74" s="91">
        <f>N74/K74</f>
        <v>0.88544509993836362</v>
      </c>
      <c r="AH74" s="659"/>
    </row>
    <row r="75" spans="1:34" ht="17.399999999999999" customHeight="1">
      <c r="A75" s="674"/>
      <c r="B75" s="65" t="s">
        <v>252</v>
      </c>
      <c r="C75" s="109"/>
      <c r="D75" s="228" t="s">
        <v>138</v>
      </c>
      <c r="E75" s="81"/>
      <c r="F75" s="82">
        <v>59.54</v>
      </c>
      <c r="G75" s="100">
        <v>1531</v>
      </c>
      <c r="H75" s="84">
        <f t="shared" si="50"/>
        <v>91155.74</v>
      </c>
      <c r="I75" s="65"/>
      <c r="J75" s="233">
        <v>17</v>
      </c>
      <c r="K75" s="234">
        <v>1385</v>
      </c>
      <c r="L75" s="131">
        <v>81.470588235294116</v>
      </c>
      <c r="M75" s="88">
        <v>17</v>
      </c>
      <c r="N75" s="83">
        <f t="shared" si="45"/>
        <v>1208.6842105263149</v>
      </c>
      <c r="O75" s="87">
        <f t="shared" si="46"/>
        <v>71.099071207430285</v>
      </c>
      <c r="P75" s="89">
        <f t="shared" si="47"/>
        <v>0</v>
      </c>
      <c r="Q75" s="90">
        <f>O75-L75</f>
        <v>-10.371517027863831</v>
      </c>
      <c r="R75" s="91">
        <f>O75/L75</f>
        <v>0.87269618088542589</v>
      </c>
      <c r="S75" s="659"/>
      <c r="T75" s="92">
        <v>0.59791666666666665</v>
      </c>
      <c r="U75" s="92">
        <v>0.65069444444444446</v>
      </c>
      <c r="V75" s="65">
        <v>7</v>
      </c>
      <c r="W75" s="85">
        <f t="shared" si="49"/>
        <v>76.000000000000057</v>
      </c>
      <c r="X75" s="235"/>
      <c r="Y75" s="235"/>
      <c r="Z75" s="167"/>
      <c r="AA75" s="167"/>
      <c r="AB75" s="644"/>
      <c r="AC75" s="644"/>
      <c r="AD75" s="97"/>
      <c r="AE75" s="97"/>
      <c r="AF75" s="89">
        <f>N75-K75</f>
        <v>-176.31578947368507</v>
      </c>
      <c r="AG75" s="91">
        <f>N75/K75</f>
        <v>0.87269618088542589</v>
      </c>
      <c r="AH75" s="659"/>
    </row>
    <row r="76" spans="1:34" ht="17.399999999999999" customHeight="1">
      <c r="A76" s="674"/>
      <c r="B76" s="65" t="s">
        <v>251</v>
      </c>
      <c r="C76" s="230"/>
      <c r="D76" s="231" t="s">
        <v>147</v>
      </c>
      <c r="E76" s="232"/>
      <c r="F76" s="82">
        <v>55.32</v>
      </c>
      <c r="G76" s="229">
        <v>532</v>
      </c>
      <c r="H76" s="84">
        <f t="shared" si="50"/>
        <v>29430.240000000002</v>
      </c>
      <c r="I76" s="65"/>
      <c r="J76" s="130">
        <v>14</v>
      </c>
      <c r="K76" s="100">
        <v>1440</v>
      </c>
      <c r="L76" s="131">
        <v>102.85714285714286</v>
      </c>
      <c r="M76" s="137">
        <v>15</v>
      </c>
      <c r="N76" s="83">
        <f t="shared" si="45"/>
        <v>1063.9999999999982</v>
      </c>
      <c r="O76" s="87">
        <f t="shared" si="46"/>
        <v>70.933333333333209</v>
      </c>
      <c r="P76" s="89">
        <f t="shared" si="47"/>
        <v>1</v>
      </c>
      <c r="Q76" s="90">
        <f t="shared" ref="Q76:Q78" si="51">O76-L76</f>
        <v>-31.923809523809652</v>
      </c>
      <c r="R76" s="91">
        <f t="shared" ref="R76:R78" si="52">O76/L76</f>
        <v>0.68962962962962837</v>
      </c>
      <c r="S76" s="659"/>
      <c r="T76" s="92">
        <v>0.70833333333333337</v>
      </c>
      <c r="U76" s="92">
        <v>0.72916666666666674</v>
      </c>
      <c r="V76" s="65">
        <v>5</v>
      </c>
      <c r="W76" s="85">
        <f t="shared" si="49"/>
        <v>30.000000000000053</v>
      </c>
      <c r="X76" s="235"/>
      <c r="Y76" s="235"/>
      <c r="Z76" s="167"/>
      <c r="AA76" s="167"/>
      <c r="AB76" s="644"/>
      <c r="AC76" s="644"/>
      <c r="AD76" s="97"/>
      <c r="AE76" s="97"/>
      <c r="AF76" s="89">
        <f t="shared" ref="AF76:AF80" si="53">N76-K76</f>
        <v>-376.00000000000182</v>
      </c>
      <c r="AG76" s="91">
        <f t="shared" ref="AG76:AG80" si="54">N76/K76</f>
        <v>0.7388888888888876</v>
      </c>
      <c r="AH76" s="659"/>
    </row>
    <row r="77" spans="1:34" ht="17.399999999999999" customHeight="1">
      <c r="A77" s="674"/>
      <c r="B77" s="65" t="s">
        <v>251</v>
      </c>
      <c r="C77" s="219"/>
      <c r="D77" s="236" t="s">
        <v>146</v>
      </c>
      <c r="E77" s="81"/>
      <c r="F77" s="82">
        <v>55.56</v>
      </c>
      <c r="G77" s="229">
        <v>836</v>
      </c>
      <c r="H77" s="84">
        <f t="shared" si="50"/>
        <v>46448.160000000003</v>
      </c>
      <c r="I77" s="97"/>
      <c r="J77" s="233">
        <v>16</v>
      </c>
      <c r="K77" s="234">
        <v>1440</v>
      </c>
      <c r="L77" s="131">
        <v>90</v>
      </c>
      <c r="M77" s="88">
        <v>16</v>
      </c>
      <c r="N77" s="83">
        <f t="shared" si="45"/>
        <v>1286.1538461538455</v>
      </c>
      <c r="O77" s="87">
        <f t="shared" si="46"/>
        <v>80.384615384615344</v>
      </c>
      <c r="P77" s="89">
        <f t="shared" si="47"/>
        <v>0</v>
      </c>
      <c r="Q77" s="90">
        <f t="shared" si="51"/>
        <v>-9.6153846153846558</v>
      </c>
      <c r="R77" s="91">
        <f t="shared" si="52"/>
        <v>0.89316239316239276</v>
      </c>
      <c r="S77" s="659"/>
      <c r="T77" s="92">
        <v>0.73402777777777783</v>
      </c>
      <c r="U77" s="92">
        <v>0.76111111111111118</v>
      </c>
      <c r="V77" s="65">
        <v>7</v>
      </c>
      <c r="W77" s="85">
        <f t="shared" si="49"/>
        <v>39.000000000000021</v>
      </c>
      <c r="X77" s="235"/>
      <c r="Y77" s="235"/>
      <c r="Z77" s="167"/>
      <c r="AA77" s="167"/>
      <c r="AB77" s="644"/>
      <c r="AC77" s="644"/>
      <c r="AD77" s="97"/>
      <c r="AE77" s="97"/>
      <c r="AF77" s="89">
        <f t="shared" si="53"/>
        <v>-153.84615384615449</v>
      </c>
      <c r="AG77" s="91">
        <f t="shared" si="54"/>
        <v>0.89316239316239276</v>
      </c>
      <c r="AH77" s="659"/>
    </row>
    <row r="78" spans="1:34" ht="17.399999999999999" customHeight="1">
      <c r="A78" s="674"/>
      <c r="B78" s="65" t="s">
        <v>251</v>
      </c>
      <c r="C78" s="219"/>
      <c r="D78" s="80" t="s">
        <v>161</v>
      </c>
      <c r="E78" s="81"/>
      <c r="F78" s="82">
        <v>57.73</v>
      </c>
      <c r="G78" s="100">
        <v>927</v>
      </c>
      <c r="H78" s="84">
        <f t="shared" si="50"/>
        <v>53515.71</v>
      </c>
      <c r="I78" s="97"/>
      <c r="J78" s="130">
        <v>18</v>
      </c>
      <c r="K78" s="100">
        <v>1440</v>
      </c>
      <c r="L78" s="131">
        <v>80</v>
      </c>
      <c r="M78" s="137">
        <v>18</v>
      </c>
      <c r="N78" s="83">
        <f t="shared" si="45"/>
        <v>1158.7500000000005</v>
      </c>
      <c r="O78" s="87">
        <f t="shared" si="46"/>
        <v>64.375000000000028</v>
      </c>
      <c r="P78" s="89">
        <f t="shared" si="47"/>
        <v>0</v>
      </c>
      <c r="Q78" s="90">
        <f t="shared" si="51"/>
        <v>-15.624999999999972</v>
      </c>
      <c r="R78" s="91">
        <f t="shared" si="52"/>
        <v>0.80468750000000033</v>
      </c>
      <c r="S78" s="659"/>
      <c r="T78" s="92">
        <v>0.76666666666666672</v>
      </c>
      <c r="U78" s="92">
        <v>0.8</v>
      </c>
      <c r="V78" s="65">
        <v>8</v>
      </c>
      <c r="W78" s="85">
        <f t="shared" si="49"/>
        <v>47.999999999999986</v>
      </c>
      <c r="X78" s="235"/>
      <c r="Y78" s="235"/>
      <c r="Z78" s="167"/>
      <c r="AA78" s="167"/>
      <c r="AB78" s="644"/>
      <c r="AC78" s="644"/>
      <c r="AD78" s="97"/>
      <c r="AE78" s="97"/>
      <c r="AF78" s="89">
        <f t="shared" si="53"/>
        <v>-281.24999999999955</v>
      </c>
      <c r="AG78" s="91">
        <f t="shared" si="54"/>
        <v>0.80468750000000033</v>
      </c>
      <c r="AH78" s="659"/>
    </row>
    <row r="79" spans="1:34" ht="17.399999999999999" customHeight="1">
      <c r="A79" s="674"/>
      <c r="B79" s="65">
        <v>0</v>
      </c>
      <c r="C79" s="230"/>
      <c r="D79" s="231"/>
      <c r="E79" s="232"/>
      <c r="F79" s="82" t="s">
        <v>253</v>
      </c>
      <c r="G79" s="100"/>
      <c r="H79" s="84">
        <f t="shared" si="50"/>
        <v>0</v>
      </c>
      <c r="I79" s="97"/>
      <c r="J79" s="130"/>
      <c r="K79" s="100"/>
      <c r="L79" s="131"/>
      <c r="M79" s="137"/>
      <c r="N79" s="100"/>
      <c r="O79" s="237"/>
      <c r="P79" s="238"/>
      <c r="Q79" s="239"/>
      <c r="R79" s="240"/>
      <c r="S79" s="659"/>
      <c r="T79" s="92"/>
      <c r="U79" s="92"/>
      <c r="V79" s="65"/>
      <c r="W79" s="85">
        <f t="shared" si="49"/>
        <v>0</v>
      </c>
      <c r="X79" s="235"/>
      <c r="Y79" s="235"/>
      <c r="Z79" s="167"/>
      <c r="AA79" s="167"/>
      <c r="AB79" s="644"/>
      <c r="AC79" s="644"/>
      <c r="AD79" s="97"/>
      <c r="AE79" s="97"/>
      <c r="AF79" s="89">
        <f t="shared" si="53"/>
        <v>0</v>
      </c>
      <c r="AG79" s="91" t="e">
        <f t="shared" si="54"/>
        <v>#DIV/0!</v>
      </c>
      <c r="AH79" s="659"/>
    </row>
    <row r="80" spans="1:34" ht="17.399999999999999" customHeight="1">
      <c r="A80" s="674"/>
      <c r="B80" s="65">
        <v>0</v>
      </c>
      <c r="C80" s="219"/>
      <c r="D80" s="80"/>
      <c r="E80" s="81"/>
      <c r="F80" s="82"/>
      <c r="G80" s="100"/>
      <c r="H80" s="84">
        <f t="shared" si="50"/>
        <v>0</v>
      </c>
      <c r="I80" s="97"/>
      <c r="J80" s="130"/>
      <c r="K80" s="100"/>
      <c r="L80" s="131"/>
      <c r="M80" s="137"/>
      <c r="N80" s="100"/>
      <c r="O80" s="241"/>
      <c r="P80" s="96"/>
      <c r="Q80" s="132"/>
      <c r="R80" s="242"/>
      <c r="S80" s="659"/>
      <c r="T80" s="92"/>
      <c r="U80" s="92"/>
      <c r="V80" s="65"/>
      <c r="W80" s="85">
        <f t="shared" si="49"/>
        <v>0</v>
      </c>
      <c r="X80" s="235"/>
      <c r="Y80" s="235"/>
      <c r="Z80" s="167"/>
      <c r="AA80" s="167"/>
      <c r="AB80" s="644"/>
      <c r="AC80" s="644"/>
      <c r="AD80" s="97"/>
      <c r="AE80" s="97"/>
      <c r="AF80" s="89">
        <f t="shared" si="53"/>
        <v>0</v>
      </c>
      <c r="AG80" s="91" t="e">
        <f t="shared" si="54"/>
        <v>#DIV/0!</v>
      </c>
      <c r="AH80" s="659"/>
    </row>
    <row r="81" spans="1:34" ht="17.399999999999999" customHeight="1">
      <c r="A81" s="674"/>
      <c r="B81" s="65">
        <v>0</v>
      </c>
      <c r="C81" s="219"/>
      <c r="D81" s="80"/>
      <c r="E81" s="81"/>
      <c r="F81" s="183"/>
      <c r="G81" s="100"/>
      <c r="H81" s="129"/>
      <c r="I81" s="97"/>
      <c r="J81" s="130"/>
      <c r="K81" s="100"/>
      <c r="L81" s="131"/>
      <c r="M81" s="137"/>
      <c r="N81" s="100"/>
      <c r="O81" s="241"/>
      <c r="P81" s="96"/>
      <c r="Q81" s="132"/>
      <c r="R81" s="242"/>
      <c r="S81" s="659"/>
      <c r="T81" s="92"/>
      <c r="U81" s="92"/>
      <c r="V81" s="65"/>
      <c r="W81" s="85">
        <f t="shared" si="49"/>
        <v>0</v>
      </c>
      <c r="X81" s="235"/>
      <c r="Y81" s="235"/>
      <c r="Z81" s="167"/>
      <c r="AA81" s="167"/>
      <c r="AB81" s="644"/>
      <c r="AC81" s="644"/>
      <c r="AD81" s="97"/>
      <c r="AE81" s="97"/>
      <c r="AF81" s="89"/>
      <c r="AG81" s="170"/>
      <c r="AH81" s="659"/>
    </row>
    <row r="82" spans="1:34" ht="18" customHeight="1">
      <c r="A82" s="675"/>
      <c r="B82" s="222">
        <v>0</v>
      </c>
      <c r="C82" s="138" t="s">
        <v>18</v>
      </c>
      <c r="D82" s="630" t="s">
        <v>220</v>
      </c>
      <c r="E82" s="630"/>
      <c r="F82" s="243"/>
      <c r="G82" s="140"/>
      <c r="H82" s="141"/>
      <c r="I82" s="142"/>
      <c r="J82" s="140">
        <v>16.555555555555557</v>
      </c>
      <c r="K82" s="140">
        <v>1434.4444444444443</v>
      </c>
      <c r="L82" s="143">
        <v>87.674578603371174</v>
      </c>
      <c r="M82" s="140">
        <f t="shared" ref="M82:O82" si="55">AVERAGE(M70:M81)</f>
        <v>16.777777777777779</v>
      </c>
      <c r="N82" s="140">
        <f t="shared" si="55"/>
        <v>1210.320422867675</v>
      </c>
      <c r="O82" s="244">
        <f t="shared" si="55"/>
        <v>72.824211957991167</v>
      </c>
      <c r="P82" s="158">
        <f>M82-J82</f>
        <v>0.22222222222222143</v>
      </c>
      <c r="Q82" s="159">
        <f>N82-K82</f>
        <v>-224.12402157676934</v>
      </c>
      <c r="R82" s="227">
        <f>O82/L82</f>
        <v>0.8306194693839225</v>
      </c>
      <c r="S82" s="659"/>
      <c r="T82" s="92"/>
      <c r="U82" s="92"/>
      <c r="V82" s="65"/>
      <c r="W82" s="83"/>
      <c r="X82" s="87"/>
      <c r="Y82" s="87"/>
      <c r="Z82" s="145">
        <f>SUM(Z70:Z81)</f>
        <v>0</v>
      </c>
      <c r="AA82" s="145">
        <f>SUM(AA70:AA81)</f>
        <v>0</v>
      </c>
      <c r="AB82" s="644"/>
      <c r="AC82" s="644"/>
      <c r="AD82" s="146">
        <f>SUM(AD70:AD81)</f>
        <v>0</v>
      </c>
      <c r="AE82" s="146">
        <f>SUM(AE70:AE81)</f>
        <v>0</v>
      </c>
      <c r="AF82" s="89">
        <f>N82-K82</f>
        <v>-224.12402157676934</v>
      </c>
      <c r="AG82" s="91">
        <f>N82/K82</f>
        <v>0.84375552330047066</v>
      </c>
      <c r="AH82" s="659"/>
    </row>
    <row r="83" spans="1:34" ht="18" customHeight="1">
      <c r="A83" s="672" t="s">
        <v>228</v>
      </c>
      <c r="B83" s="147" t="s">
        <v>247</v>
      </c>
      <c r="C83" s="109"/>
      <c r="D83" s="245" t="s">
        <v>149</v>
      </c>
      <c r="E83" s="81"/>
      <c r="F83" s="183">
        <v>28.47</v>
      </c>
      <c r="G83" s="100">
        <v>1203</v>
      </c>
      <c r="H83" s="129">
        <f t="shared" ref="H83:H94" si="56">F83*G83</f>
        <v>34249.409999999996</v>
      </c>
      <c r="I83" s="97"/>
      <c r="J83" s="130">
        <v>19</v>
      </c>
      <c r="K83" s="100">
        <v>1440</v>
      </c>
      <c r="L83" s="131">
        <v>75.78947368421052</v>
      </c>
      <c r="M83" s="137">
        <v>19</v>
      </c>
      <c r="N83" s="100">
        <f t="shared" ref="N83:N91" si="57">G83/W83*60</f>
        <v>1244.4827586206889</v>
      </c>
      <c r="O83" s="241">
        <f t="shared" ref="O83:O91" si="58">N83/M83</f>
        <v>65.499092558983619</v>
      </c>
      <c r="P83" s="96">
        <f t="shared" ref="P83:P91" si="59">M83-J83</f>
        <v>0</v>
      </c>
      <c r="Q83" s="132">
        <f t="shared" ref="Q83:Q91" si="60">O83-L83</f>
        <v>-10.290381125226901</v>
      </c>
      <c r="R83" s="246">
        <f t="shared" ref="R83:R91" si="61">O83/L83</f>
        <v>0.86422413793103392</v>
      </c>
      <c r="S83" s="659">
        <f>R95</f>
        <v>0.83974266203551751</v>
      </c>
      <c r="T83" s="92">
        <v>0.375</v>
      </c>
      <c r="U83" s="92">
        <v>0.4152777777777778</v>
      </c>
      <c r="V83" s="65">
        <v>5</v>
      </c>
      <c r="W83" s="85">
        <f t="shared" ref="W83:W93" si="62">(U83-T83)*24*60</f>
        <v>58.000000000000036</v>
      </c>
      <c r="X83" s="95"/>
      <c r="Y83" s="95"/>
      <c r="Z83" s="96"/>
      <c r="AA83" s="96"/>
      <c r="AB83" s="644"/>
      <c r="AC83" s="644"/>
      <c r="AD83" s="97"/>
      <c r="AE83" s="97"/>
      <c r="AF83" s="89">
        <f t="shared" ref="AF83:AF173" si="63">N83-K83</f>
        <v>-195.51724137931114</v>
      </c>
      <c r="AG83" s="91">
        <f t="shared" ref="AG83:AG173" si="64">N83/K83</f>
        <v>0.86422413793103392</v>
      </c>
      <c r="AH83" s="659">
        <f>AG95</f>
        <v>0.80404147169035645</v>
      </c>
    </row>
    <row r="84" spans="1:34" ht="18" customHeight="1">
      <c r="A84" s="673"/>
      <c r="B84" s="147" t="s">
        <v>247</v>
      </c>
      <c r="C84" s="219"/>
      <c r="D84" s="236" t="s">
        <v>141</v>
      </c>
      <c r="E84" s="81"/>
      <c r="F84" s="183">
        <v>57.73</v>
      </c>
      <c r="G84" s="83">
        <v>772</v>
      </c>
      <c r="H84" s="129">
        <f t="shared" si="56"/>
        <v>44567.56</v>
      </c>
      <c r="I84" s="65"/>
      <c r="J84" s="130">
        <v>21</v>
      </c>
      <c r="K84" s="100">
        <v>1385</v>
      </c>
      <c r="L84" s="131">
        <v>65.952380952380949</v>
      </c>
      <c r="M84" s="137">
        <v>19</v>
      </c>
      <c r="N84" s="100">
        <f t="shared" si="57"/>
        <v>1157.9999999999995</v>
      </c>
      <c r="O84" s="241">
        <f t="shared" si="58"/>
        <v>60.947368421052609</v>
      </c>
      <c r="P84" s="96">
        <f t="shared" si="59"/>
        <v>-2</v>
      </c>
      <c r="Q84" s="132">
        <f t="shared" si="60"/>
        <v>-5.0050125313283402</v>
      </c>
      <c r="R84" s="246">
        <f t="shared" si="61"/>
        <v>0.92411172335170022</v>
      </c>
      <c r="S84" s="659"/>
      <c r="T84" s="92">
        <v>0.4201388888888889</v>
      </c>
      <c r="U84" s="92">
        <v>0.44791666666666669</v>
      </c>
      <c r="V84" s="65">
        <v>7</v>
      </c>
      <c r="W84" s="85">
        <f t="shared" si="62"/>
        <v>40.000000000000014</v>
      </c>
      <c r="X84" s="95"/>
      <c r="Y84" s="95"/>
      <c r="Z84" s="96"/>
      <c r="AA84" s="96"/>
      <c r="AB84" s="644"/>
      <c r="AC84" s="644"/>
      <c r="AD84" s="97"/>
      <c r="AE84" s="97"/>
      <c r="AF84" s="89">
        <f t="shared" si="63"/>
        <v>-227.00000000000045</v>
      </c>
      <c r="AG84" s="91">
        <f t="shared" si="64"/>
        <v>0.83610108303249064</v>
      </c>
      <c r="AH84" s="659"/>
    </row>
    <row r="85" spans="1:34" ht="18" customHeight="1">
      <c r="A85" s="673"/>
      <c r="B85" s="147" t="s">
        <v>247</v>
      </c>
      <c r="C85" s="164"/>
      <c r="D85" s="236" t="s">
        <v>142</v>
      </c>
      <c r="E85" s="81"/>
      <c r="F85" s="183">
        <v>57.73</v>
      </c>
      <c r="G85" s="83">
        <v>558</v>
      </c>
      <c r="H85" s="129">
        <f t="shared" si="56"/>
        <v>32213.339999999997</v>
      </c>
      <c r="I85" s="97"/>
      <c r="J85" s="130">
        <v>21</v>
      </c>
      <c r="K85" s="100">
        <v>1385</v>
      </c>
      <c r="L85" s="131">
        <v>65.952380952380949</v>
      </c>
      <c r="M85" s="137">
        <v>20</v>
      </c>
      <c r="N85" s="100">
        <f t="shared" si="57"/>
        <v>984.70588235294008</v>
      </c>
      <c r="O85" s="241">
        <f t="shared" si="58"/>
        <v>49.235294117647001</v>
      </c>
      <c r="P85" s="96">
        <f t="shared" si="59"/>
        <v>-1</v>
      </c>
      <c r="Q85" s="132">
        <f t="shared" si="60"/>
        <v>-16.717086834733948</v>
      </c>
      <c r="R85" s="246">
        <f t="shared" si="61"/>
        <v>0.74652792524952138</v>
      </c>
      <c r="S85" s="659"/>
      <c r="T85" s="92">
        <v>0.46319444444444446</v>
      </c>
      <c r="U85" s="92">
        <v>0.4868055555555556</v>
      </c>
      <c r="V85" s="65">
        <v>22</v>
      </c>
      <c r="W85" s="85">
        <f t="shared" si="62"/>
        <v>34.000000000000043</v>
      </c>
      <c r="X85" s="95">
        <v>0.4513888888888889</v>
      </c>
      <c r="Y85" s="95">
        <v>0.4604166666666667</v>
      </c>
      <c r="Z85" s="96"/>
      <c r="AA85" s="96"/>
      <c r="AB85" s="641" t="s">
        <v>191</v>
      </c>
      <c r="AC85" s="642"/>
      <c r="AD85" s="97"/>
      <c r="AE85" s="97"/>
      <c r="AF85" s="89">
        <f t="shared" si="63"/>
        <v>-400.29411764705992</v>
      </c>
      <c r="AG85" s="91">
        <f t="shared" si="64"/>
        <v>0.71097897642811558</v>
      </c>
      <c r="AH85" s="659"/>
    </row>
    <row r="86" spans="1:34" ht="18" customHeight="1">
      <c r="A86" s="673"/>
      <c r="B86" s="147" t="s">
        <v>248</v>
      </c>
      <c r="C86" s="176"/>
      <c r="D86" s="236" t="s">
        <v>143</v>
      </c>
      <c r="E86" s="81"/>
      <c r="F86" s="183">
        <v>71.84</v>
      </c>
      <c r="G86" s="83">
        <v>598</v>
      </c>
      <c r="H86" s="129">
        <f t="shared" si="56"/>
        <v>42960.32</v>
      </c>
      <c r="I86" s="97"/>
      <c r="J86" s="130">
        <v>21</v>
      </c>
      <c r="K86" s="100">
        <v>1385</v>
      </c>
      <c r="L86" s="131">
        <v>65.952380952380949</v>
      </c>
      <c r="M86" s="137">
        <v>20</v>
      </c>
      <c r="N86" s="100">
        <f t="shared" si="57"/>
        <v>1055.2941176470574</v>
      </c>
      <c r="O86" s="241">
        <f t="shared" si="58"/>
        <v>52.764705882352871</v>
      </c>
      <c r="P86" s="96">
        <f t="shared" si="59"/>
        <v>-1</v>
      </c>
      <c r="Q86" s="132">
        <f t="shared" si="60"/>
        <v>-13.187675070028078</v>
      </c>
      <c r="R86" s="246">
        <f t="shared" si="61"/>
        <v>0.80004247186239019</v>
      </c>
      <c r="S86" s="659"/>
      <c r="T86" s="92">
        <v>0.52708333333333335</v>
      </c>
      <c r="U86" s="92">
        <v>0.55069444444444449</v>
      </c>
      <c r="V86" s="65">
        <v>5</v>
      </c>
      <c r="W86" s="85">
        <f t="shared" si="62"/>
        <v>34.000000000000043</v>
      </c>
      <c r="X86" s="95"/>
      <c r="Y86" s="95"/>
      <c r="Z86" s="96"/>
      <c r="AA86" s="96"/>
      <c r="AB86" s="655" t="s">
        <v>191</v>
      </c>
      <c r="AC86" s="656"/>
      <c r="AD86" s="97"/>
      <c r="AE86" s="97"/>
      <c r="AF86" s="89">
        <f t="shared" si="63"/>
        <v>-329.70588235294258</v>
      </c>
      <c r="AG86" s="91">
        <f t="shared" si="64"/>
        <v>0.76194521129751436</v>
      </c>
      <c r="AH86" s="659"/>
    </row>
    <row r="87" spans="1:34" ht="18" customHeight="1">
      <c r="A87" s="673"/>
      <c r="B87" s="147" t="s">
        <v>248</v>
      </c>
      <c r="C87" s="176"/>
      <c r="D87" s="236" t="s">
        <v>144</v>
      </c>
      <c r="E87" s="81"/>
      <c r="F87" s="183">
        <v>72.400000000000006</v>
      </c>
      <c r="G87" s="83">
        <v>367</v>
      </c>
      <c r="H87" s="129">
        <f t="shared" si="56"/>
        <v>26570.800000000003</v>
      </c>
      <c r="I87" s="97"/>
      <c r="J87" s="130">
        <v>21</v>
      </c>
      <c r="K87" s="100">
        <v>1385</v>
      </c>
      <c r="L87" s="131">
        <v>65.952380952380949</v>
      </c>
      <c r="M87" s="137">
        <v>19</v>
      </c>
      <c r="N87" s="100">
        <f t="shared" si="57"/>
        <v>1048.5714285714323</v>
      </c>
      <c r="O87" s="241">
        <f t="shared" si="58"/>
        <v>55.187969924812229</v>
      </c>
      <c r="P87" s="96">
        <f t="shared" si="59"/>
        <v>-2</v>
      </c>
      <c r="Q87" s="132">
        <f t="shared" si="60"/>
        <v>-10.76441102756872</v>
      </c>
      <c r="R87" s="246">
        <f t="shared" si="61"/>
        <v>0.83678510355310964</v>
      </c>
      <c r="S87" s="659"/>
      <c r="T87" s="92">
        <v>0.55625000000000002</v>
      </c>
      <c r="U87" s="92">
        <v>0.5708333333333333</v>
      </c>
      <c r="V87" s="65">
        <v>8</v>
      </c>
      <c r="W87" s="85">
        <f t="shared" si="62"/>
        <v>20.999999999999925</v>
      </c>
      <c r="X87" s="95"/>
      <c r="Y87" s="95"/>
      <c r="Z87" s="96"/>
      <c r="AA87" s="96"/>
      <c r="AB87" s="655" t="s">
        <v>191</v>
      </c>
      <c r="AC87" s="656"/>
      <c r="AD87" s="97"/>
      <c r="AE87" s="97"/>
      <c r="AF87" s="89">
        <f t="shared" si="63"/>
        <v>-336.42857142856769</v>
      </c>
      <c r="AG87" s="91">
        <f t="shared" si="64"/>
        <v>0.75709128416709914</v>
      </c>
      <c r="AH87" s="659"/>
    </row>
    <row r="88" spans="1:34" ht="18" customHeight="1">
      <c r="A88" s="673"/>
      <c r="B88" s="147" t="s">
        <v>248</v>
      </c>
      <c r="C88" s="219"/>
      <c r="D88" s="236" t="s">
        <v>145</v>
      </c>
      <c r="E88" s="81"/>
      <c r="F88" s="183">
        <v>72.400000000000006</v>
      </c>
      <c r="G88" s="100">
        <v>521</v>
      </c>
      <c r="H88" s="129">
        <f t="shared" si="56"/>
        <v>37720.400000000001</v>
      </c>
      <c r="I88" s="97"/>
      <c r="J88" s="130">
        <v>21</v>
      </c>
      <c r="K88" s="100">
        <v>1385</v>
      </c>
      <c r="L88" s="131">
        <v>65.952380952380949</v>
      </c>
      <c r="M88" s="137">
        <v>19</v>
      </c>
      <c r="N88" s="100">
        <f t="shared" si="57"/>
        <v>1008.3870967741919</v>
      </c>
      <c r="O88" s="241">
        <f t="shared" si="58"/>
        <v>53.073005093378526</v>
      </c>
      <c r="P88" s="96">
        <f t="shared" si="59"/>
        <v>-2</v>
      </c>
      <c r="Q88" s="132">
        <f t="shared" si="60"/>
        <v>-12.879375859002423</v>
      </c>
      <c r="R88" s="246">
        <f t="shared" si="61"/>
        <v>0.80471704473714734</v>
      </c>
      <c r="S88" s="659"/>
      <c r="T88" s="92">
        <v>0.5756944444444444</v>
      </c>
      <c r="U88" s="92">
        <v>0.59722222222222221</v>
      </c>
      <c r="V88" s="65">
        <v>7</v>
      </c>
      <c r="W88" s="85">
        <f t="shared" si="62"/>
        <v>31.00000000000005</v>
      </c>
      <c r="X88" s="95"/>
      <c r="Y88" s="95"/>
      <c r="Z88" s="96"/>
      <c r="AA88" s="96"/>
      <c r="AB88" s="655" t="s">
        <v>191</v>
      </c>
      <c r="AC88" s="656"/>
      <c r="AD88" s="97"/>
      <c r="AE88" s="97"/>
      <c r="AF88" s="89">
        <f t="shared" si="63"/>
        <v>-376.61290322580805</v>
      </c>
      <c r="AG88" s="91">
        <f t="shared" si="64"/>
        <v>0.72807732619075227</v>
      </c>
      <c r="AH88" s="659"/>
    </row>
    <row r="89" spans="1:34" ht="18" customHeight="1">
      <c r="A89" s="673"/>
      <c r="B89" s="147" t="s">
        <v>248</v>
      </c>
      <c r="C89" s="219"/>
      <c r="D89" s="80" t="s">
        <v>116</v>
      </c>
      <c r="E89" s="81"/>
      <c r="F89" s="183">
        <v>56.43</v>
      </c>
      <c r="G89" s="156">
        <v>258.7</v>
      </c>
      <c r="H89" s="129">
        <f t="shared" si="56"/>
        <v>14598.440999999999</v>
      </c>
      <c r="I89" s="247">
        <v>2</v>
      </c>
      <c r="J89" s="130">
        <v>18</v>
      </c>
      <c r="K89" s="100">
        <v>1500</v>
      </c>
      <c r="L89" s="131">
        <v>83.333333333333329</v>
      </c>
      <c r="M89" s="137">
        <v>18</v>
      </c>
      <c r="N89" s="100">
        <f t="shared" si="57"/>
        <v>1293.5000000000045</v>
      </c>
      <c r="O89" s="241">
        <f t="shared" si="58"/>
        <v>71.86111111111137</v>
      </c>
      <c r="P89" s="96">
        <f t="shared" si="59"/>
        <v>0</v>
      </c>
      <c r="Q89" s="132">
        <f t="shared" si="60"/>
        <v>-11.472222222221959</v>
      </c>
      <c r="R89" s="246">
        <f t="shared" si="61"/>
        <v>0.8623333333333365</v>
      </c>
      <c r="S89" s="659"/>
      <c r="T89" s="92">
        <v>0.60277777777777775</v>
      </c>
      <c r="U89" s="92">
        <v>0.61111111111111105</v>
      </c>
      <c r="V89" s="65">
        <v>8</v>
      </c>
      <c r="W89" s="85">
        <f t="shared" si="62"/>
        <v>11.999999999999957</v>
      </c>
      <c r="X89" s="95"/>
      <c r="Y89" s="95"/>
      <c r="Z89" s="96"/>
      <c r="AA89" s="96"/>
      <c r="AB89" s="641" t="s">
        <v>191</v>
      </c>
      <c r="AC89" s="642"/>
      <c r="AD89" s="97"/>
      <c r="AE89" s="97"/>
      <c r="AF89" s="89">
        <f t="shared" si="63"/>
        <v>-206.49999999999545</v>
      </c>
      <c r="AG89" s="91">
        <f t="shared" si="64"/>
        <v>0.86233333333333639</v>
      </c>
      <c r="AH89" s="659"/>
    </row>
    <row r="90" spans="1:34" ht="18" customHeight="1">
      <c r="A90" s="673"/>
      <c r="B90" s="147" t="s">
        <v>252</v>
      </c>
      <c r="C90" s="219"/>
      <c r="D90" s="80" t="s">
        <v>136</v>
      </c>
      <c r="E90" s="81"/>
      <c r="F90" s="183">
        <v>47.51</v>
      </c>
      <c r="G90" s="172">
        <v>399.28000000000003</v>
      </c>
      <c r="H90" s="129">
        <f t="shared" si="56"/>
        <v>18969.792799999999</v>
      </c>
      <c r="I90" s="248">
        <v>2</v>
      </c>
      <c r="J90" s="130">
        <v>17</v>
      </c>
      <c r="K90" s="100">
        <v>1440</v>
      </c>
      <c r="L90" s="131">
        <v>84.705882352941174</v>
      </c>
      <c r="M90" s="137">
        <v>17</v>
      </c>
      <c r="N90" s="100">
        <f t="shared" si="57"/>
        <v>1197.8400000000045</v>
      </c>
      <c r="O90" s="241">
        <f t="shared" si="58"/>
        <v>70.461176470588498</v>
      </c>
      <c r="P90" s="96">
        <f t="shared" si="59"/>
        <v>0</v>
      </c>
      <c r="Q90" s="132">
        <f t="shared" si="60"/>
        <v>-14.244705882352676</v>
      </c>
      <c r="R90" s="246">
        <f t="shared" si="61"/>
        <v>0.83183333333333642</v>
      </c>
      <c r="S90" s="659"/>
      <c r="T90" s="92">
        <v>0.61666666666666659</v>
      </c>
      <c r="U90" s="92">
        <v>0.63055555555555542</v>
      </c>
      <c r="V90" s="65">
        <v>8</v>
      </c>
      <c r="W90" s="85">
        <f t="shared" si="62"/>
        <v>19.999999999999929</v>
      </c>
      <c r="X90" s="249"/>
      <c r="Y90" s="249"/>
      <c r="Z90" s="96"/>
      <c r="AA90" s="96"/>
      <c r="AB90" s="657"/>
      <c r="AC90" s="657"/>
      <c r="AD90" s="97"/>
      <c r="AE90" s="97"/>
      <c r="AF90" s="89">
        <f t="shared" si="63"/>
        <v>-242.15999999999553</v>
      </c>
      <c r="AG90" s="91">
        <f t="shared" si="64"/>
        <v>0.83183333333333642</v>
      </c>
      <c r="AH90" s="659"/>
    </row>
    <row r="91" spans="1:34" ht="18" customHeight="1">
      <c r="A91" s="673"/>
      <c r="B91" s="147" t="s">
        <v>251</v>
      </c>
      <c r="C91" s="219"/>
      <c r="D91" s="80" t="s">
        <v>244</v>
      </c>
      <c r="E91" s="81"/>
      <c r="F91" s="183">
        <v>48.36</v>
      </c>
      <c r="G91" s="83">
        <v>3225.6000000000004</v>
      </c>
      <c r="H91" s="129">
        <f t="shared" si="56"/>
        <v>155990.016</v>
      </c>
      <c r="I91" s="250"/>
      <c r="J91" s="130">
        <v>18</v>
      </c>
      <c r="K91" s="100">
        <v>1440</v>
      </c>
      <c r="L91" s="131">
        <v>80</v>
      </c>
      <c r="M91" s="137">
        <v>18</v>
      </c>
      <c r="N91" s="100">
        <f t="shared" si="57"/>
        <v>1256.7272727272734</v>
      </c>
      <c r="O91" s="241">
        <f t="shared" si="58"/>
        <v>69.818181818181856</v>
      </c>
      <c r="P91" s="96">
        <f t="shared" si="59"/>
        <v>0</v>
      </c>
      <c r="Q91" s="132">
        <f t="shared" si="60"/>
        <v>-10.181818181818144</v>
      </c>
      <c r="R91" s="246">
        <f t="shared" si="61"/>
        <v>0.87272727272727324</v>
      </c>
      <c r="S91" s="662"/>
      <c r="T91" s="92">
        <v>0.70833333333333337</v>
      </c>
      <c r="U91" s="92">
        <v>0.81527777777777777</v>
      </c>
      <c r="V91" s="65">
        <v>5</v>
      </c>
      <c r="W91" s="85">
        <f t="shared" si="62"/>
        <v>153.99999999999994</v>
      </c>
      <c r="X91" s="157"/>
      <c r="Y91" s="157"/>
      <c r="Z91" s="96"/>
      <c r="AA91" s="96"/>
      <c r="AB91" s="654"/>
      <c r="AC91" s="654"/>
      <c r="AD91" s="97"/>
      <c r="AE91" s="97"/>
      <c r="AF91" s="89">
        <f t="shared" si="63"/>
        <v>-183.27272727272657</v>
      </c>
      <c r="AG91" s="91">
        <f t="shared" si="64"/>
        <v>0.87272727272727324</v>
      </c>
      <c r="AH91" s="662"/>
    </row>
    <row r="92" spans="1:34" ht="18" customHeight="1">
      <c r="A92" s="673"/>
      <c r="B92" s="147">
        <v>0</v>
      </c>
      <c r="C92" s="219"/>
      <c r="D92" s="80"/>
      <c r="E92" s="81"/>
      <c r="F92" s="183" t="s">
        <v>253</v>
      </c>
      <c r="G92" s="83"/>
      <c r="H92" s="129">
        <f t="shared" si="56"/>
        <v>0</v>
      </c>
      <c r="I92" s="250"/>
      <c r="J92" s="251"/>
      <c r="K92" s="252"/>
      <c r="L92" s="253"/>
      <c r="M92" s="106"/>
      <c r="N92" s="252"/>
      <c r="O92" s="253"/>
      <c r="P92" s="254"/>
      <c r="Q92" s="255"/>
      <c r="R92" s="256"/>
      <c r="S92" s="662"/>
      <c r="T92" s="92"/>
      <c r="U92" s="92"/>
      <c r="V92" s="65"/>
      <c r="W92" s="85">
        <f t="shared" si="62"/>
        <v>0</v>
      </c>
      <c r="X92" s="235"/>
      <c r="Y92" s="235"/>
      <c r="Z92" s="167"/>
      <c r="AA92" s="167"/>
      <c r="AB92" s="644"/>
      <c r="AC92" s="644"/>
      <c r="AD92" s="97"/>
      <c r="AE92" s="97"/>
      <c r="AF92" s="89">
        <f t="shared" si="63"/>
        <v>0</v>
      </c>
      <c r="AG92" s="91" t="e">
        <f t="shared" si="64"/>
        <v>#DIV/0!</v>
      </c>
      <c r="AH92" s="662"/>
    </row>
    <row r="93" spans="1:34" ht="18" customHeight="1">
      <c r="A93" s="673"/>
      <c r="B93" s="105">
        <v>0</v>
      </c>
      <c r="C93" s="257"/>
      <c r="D93" s="102"/>
      <c r="E93" s="103"/>
      <c r="F93" s="183" t="s">
        <v>253</v>
      </c>
      <c r="G93" s="83"/>
      <c r="H93" s="129">
        <f t="shared" si="56"/>
        <v>0</v>
      </c>
      <c r="I93" s="258"/>
      <c r="J93" s="130"/>
      <c r="K93" s="100"/>
      <c r="L93" s="253"/>
      <c r="M93" s="137"/>
      <c r="N93" s="100"/>
      <c r="O93" s="131"/>
      <c r="P93" s="96"/>
      <c r="Q93" s="132"/>
      <c r="R93" s="133"/>
      <c r="S93" s="670"/>
      <c r="T93" s="107"/>
      <c r="U93" s="107"/>
      <c r="V93" s="105"/>
      <c r="W93" s="85">
        <f t="shared" si="62"/>
        <v>0</v>
      </c>
      <c r="X93" s="259"/>
      <c r="Y93" s="259"/>
      <c r="Z93" s="167"/>
      <c r="AA93" s="167"/>
      <c r="AB93" s="644"/>
      <c r="AC93" s="644"/>
      <c r="AD93" s="97"/>
      <c r="AE93" s="97"/>
      <c r="AF93" s="89">
        <f t="shared" si="63"/>
        <v>0</v>
      </c>
      <c r="AG93" s="91" t="e">
        <f t="shared" si="64"/>
        <v>#DIV/0!</v>
      </c>
      <c r="AH93" s="662"/>
    </row>
    <row r="94" spans="1:34" ht="18" customHeight="1">
      <c r="A94" s="673"/>
      <c r="B94" s="105">
        <v>0</v>
      </c>
      <c r="C94" s="257"/>
      <c r="D94" s="80"/>
      <c r="E94" s="81"/>
      <c r="F94" s="183" t="s">
        <v>253</v>
      </c>
      <c r="G94" s="83"/>
      <c r="H94" s="129">
        <f t="shared" si="56"/>
        <v>0</v>
      </c>
      <c r="I94" s="250"/>
      <c r="J94" s="130"/>
      <c r="K94" s="260"/>
      <c r="L94" s="87"/>
      <c r="M94" s="261"/>
      <c r="N94" s="100"/>
      <c r="O94" s="131"/>
      <c r="P94" s="96"/>
      <c r="Q94" s="132"/>
      <c r="R94" s="133"/>
      <c r="S94" s="670"/>
      <c r="T94" s="107"/>
      <c r="U94" s="107"/>
      <c r="V94" s="105"/>
      <c r="W94" s="85">
        <f>(U94-T94)*24*60</f>
        <v>0</v>
      </c>
      <c r="X94" s="259"/>
      <c r="Y94" s="259"/>
      <c r="Z94" s="167"/>
      <c r="AA94" s="167"/>
      <c r="AB94" s="644"/>
      <c r="AC94" s="644"/>
      <c r="AD94" s="97"/>
      <c r="AE94" s="97"/>
      <c r="AF94" s="89">
        <f t="shared" si="63"/>
        <v>0</v>
      </c>
      <c r="AG94" s="91" t="e">
        <f t="shared" si="64"/>
        <v>#DIV/0!</v>
      </c>
      <c r="AH94" s="662"/>
    </row>
    <row r="95" spans="1:34" ht="18" customHeight="1">
      <c r="A95" s="673"/>
      <c r="B95" s="262">
        <v>0</v>
      </c>
      <c r="C95" s="138" t="s">
        <v>19</v>
      </c>
      <c r="D95" s="630" t="s">
        <v>220</v>
      </c>
      <c r="E95" s="630"/>
      <c r="F95" s="113"/>
      <c r="G95" s="114"/>
      <c r="H95" s="263"/>
      <c r="I95" s="142"/>
      <c r="J95" s="264">
        <v>19.666666666666668</v>
      </c>
      <c r="K95" s="264">
        <v>1416.1111111111111</v>
      </c>
      <c r="L95" s="265">
        <v>72.621177125821092</v>
      </c>
      <c r="M95" s="264">
        <f t="shared" ref="M95:O95" si="65">AVERAGE(M83:M94)</f>
        <v>18.777777777777779</v>
      </c>
      <c r="N95" s="264">
        <f t="shared" si="65"/>
        <v>1138.6120618548437</v>
      </c>
      <c r="O95" s="265">
        <f t="shared" si="65"/>
        <v>60.983100599789836</v>
      </c>
      <c r="P95" s="266">
        <f>M95-J95</f>
        <v>-0.88888888888888928</v>
      </c>
      <c r="Q95" s="267">
        <f t="shared" ref="Q95:Q104" si="66">O95-L95</f>
        <v>-11.638076526031256</v>
      </c>
      <c r="R95" s="268">
        <f>O95/L95</f>
        <v>0.83974266203551751</v>
      </c>
      <c r="S95" s="662"/>
      <c r="T95" s="107"/>
      <c r="U95" s="107"/>
      <c r="V95" s="104"/>
      <c r="W95" s="104"/>
      <c r="X95" s="122"/>
      <c r="Y95" s="122"/>
      <c r="Z95" s="145">
        <f>SUM(Z83:Z94)</f>
        <v>0</v>
      </c>
      <c r="AA95" s="145">
        <f>SUM(AA83:AA94)</f>
        <v>0</v>
      </c>
      <c r="AB95" s="637"/>
      <c r="AC95" s="637"/>
      <c r="AD95" s="146">
        <f>SUM(AD83:AD94)</f>
        <v>0</v>
      </c>
      <c r="AE95" s="146">
        <f>SUM(AE83:AE94)</f>
        <v>0</v>
      </c>
      <c r="AF95" s="118">
        <f t="shared" si="63"/>
        <v>-277.49904925626743</v>
      </c>
      <c r="AG95" s="125">
        <f t="shared" si="64"/>
        <v>0.80404147169035645</v>
      </c>
      <c r="AH95" s="662"/>
    </row>
    <row r="96" spans="1:34" ht="18" customHeight="1">
      <c r="A96" s="669" t="s">
        <v>229</v>
      </c>
      <c r="B96" s="65" t="s">
        <v>251</v>
      </c>
      <c r="C96" s="176"/>
      <c r="D96" s="80" t="s">
        <v>150</v>
      </c>
      <c r="E96" s="81"/>
      <c r="F96" s="82">
        <v>53.27</v>
      </c>
      <c r="G96" s="83">
        <v>1302.48</v>
      </c>
      <c r="H96" s="84">
        <f t="shared" ref="H96:H106" si="67">F96*G96</f>
        <v>69383.109600000011</v>
      </c>
      <c r="I96" s="65"/>
      <c r="J96" s="86">
        <v>17</v>
      </c>
      <c r="K96" s="83">
        <v>1500</v>
      </c>
      <c r="L96" s="87">
        <v>88.235294117647058</v>
      </c>
      <c r="M96" s="88">
        <v>17</v>
      </c>
      <c r="N96" s="83">
        <f t="shared" ref="N96:N104" si="68">G96/W96*60</f>
        <v>1347.393103448275</v>
      </c>
      <c r="O96" s="87">
        <f t="shared" ref="O96:O104" si="69">N96/M96</f>
        <v>79.258417849898535</v>
      </c>
      <c r="P96" s="89">
        <f t="shared" ref="P96:P104" si="70">M96-J96</f>
        <v>0</v>
      </c>
      <c r="Q96" s="90">
        <f t="shared" si="66"/>
        <v>-8.9768762677485228</v>
      </c>
      <c r="R96" s="91">
        <f t="shared" ref="R96:R104" si="71">O96/L96</f>
        <v>0.89826206896551675</v>
      </c>
      <c r="S96" s="659">
        <f>R108</f>
        <v>0.86018015165374972</v>
      </c>
      <c r="T96" s="134">
        <v>0.375</v>
      </c>
      <c r="U96" s="134">
        <v>0.4152777777777778</v>
      </c>
      <c r="V96" s="97">
        <v>5</v>
      </c>
      <c r="W96" s="135">
        <f t="shared" ref="W96:W122" si="72">(U96-T96)*24*60</f>
        <v>58.000000000000036</v>
      </c>
      <c r="X96" s="136"/>
      <c r="Y96" s="136"/>
      <c r="Z96" s="96"/>
      <c r="AA96" s="96"/>
      <c r="AB96" s="629"/>
      <c r="AC96" s="629"/>
      <c r="AD96" s="97"/>
      <c r="AE96" s="97"/>
      <c r="AF96" s="96">
        <f t="shared" si="63"/>
        <v>-152.60689655172496</v>
      </c>
      <c r="AG96" s="133">
        <f t="shared" si="64"/>
        <v>0.89826206896551675</v>
      </c>
      <c r="AH96" s="632">
        <f>AG108</f>
        <v>0.85831525670076769</v>
      </c>
    </row>
    <row r="97" spans="1:34" s="282" customFormat="1" ht="18" customHeight="1">
      <c r="A97" s="669"/>
      <c r="B97" s="65" t="s">
        <v>251</v>
      </c>
      <c r="C97" s="269"/>
      <c r="D97" s="270" t="s">
        <v>170</v>
      </c>
      <c r="E97" s="99"/>
      <c r="F97" s="271">
        <v>49.91</v>
      </c>
      <c r="G97" s="272">
        <v>457</v>
      </c>
      <c r="H97" s="273">
        <f t="shared" si="67"/>
        <v>22808.87</v>
      </c>
      <c r="I97" s="192"/>
      <c r="J97" s="274">
        <v>16</v>
      </c>
      <c r="K97" s="100">
        <v>1500</v>
      </c>
      <c r="L97" s="87">
        <v>93.75</v>
      </c>
      <c r="M97" s="130">
        <v>16</v>
      </c>
      <c r="N97" s="100">
        <f t="shared" si="68"/>
        <v>1142.5000000000002</v>
      </c>
      <c r="O97" s="131">
        <f t="shared" si="69"/>
        <v>71.406250000000014</v>
      </c>
      <c r="P97" s="275">
        <f t="shared" si="70"/>
        <v>0</v>
      </c>
      <c r="Q97" s="276">
        <f t="shared" si="66"/>
        <v>-22.343749999999986</v>
      </c>
      <c r="R97" s="277">
        <f t="shared" si="71"/>
        <v>0.76166666666666683</v>
      </c>
      <c r="S97" s="659"/>
      <c r="T97" s="278">
        <v>0.4201388888888889</v>
      </c>
      <c r="U97" s="278">
        <v>0.43680555555555556</v>
      </c>
      <c r="V97" s="279">
        <v>7</v>
      </c>
      <c r="W97" s="135">
        <f t="shared" si="72"/>
        <v>23.999999999999993</v>
      </c>
      <c r="X97" s="95"/>
      <c r="Y97" s="95"/>
      <c r="Z97" s="96"/>
      <c r="AA97" s="96"/>
      <c r="AB97" s="671"/>
      <c r="AC97" s="671"/>
      <c r="AD97" s="279"/>
      <c r="AE97" s="279"/>
      <c r="AF97" s="280">
        <f t="shared" si="63"/>
        <v>-357.49999999999977</v>
      </c>
      <c r="AG97" s="281">
        <f t="shared" si="64"/>
        <v>0.76166666666666683</v>
      </c>
      <c r="AH97" s="632"/>
    </row>
    <row r="98" spans="1:34" s="286" customFormat="1" ht="18" customHeight="1">
      <c r="A98" s="669"/>
      <c r="B98" s="65" t="s">
        <v>252</v>
      </c>
      <c r="C98" s="98"/>
      <c r="D98" s="80" t="s">
        <v>152</v>
      </c>
      <c r="E98" s="169"/>
      <c r="F98" s="271">
        <v>59.34</v>
      </c>
      <c r="G98" s="100">
        <v>650</v>
      </c>
      <c r="H98" s="273">
        <f t="shared" si="67"/>
        <v>38571</v>
      </c>
      <c r="I98" s="97"/>
      <c r="J98" s="274">
        <v>17</v>
      </c>
      <c r="K98" s="100">
        <v>1440</v>
      </c>
      <c r="L98" s="87">
        <v>84.705882352941174</v>
      </c>
      <c r="M98" s="130">
        <v>18</v>
      </c>
      <c r="N98" s="100">
        <f t="shared" si="68"/>
        <v>1300.0000000000011</v>
      </c>
      <c r="O98" s="131">
        <f t="shared" si="69"/>
        <v>72.222222222222285</v>
      </c>
      <c r="P98" s="96">
        <f t="shared" si="70"/>
        <v>1</v>
      </c>
      <c r="Q98" s="132">
        <f t="shared" si="66"/>
        <v>-12.483660130718889</v>
      </c>
      <c r="R98" s="91">
        <f t="shared" si="71"/>
        <v>0.85262345679012419</v>
      </c>
      <c r="S98" s="659"/>
      <c r="T98" s="134">
        <v>0.45277777777777778</v>
      </c>
      <c r="U98" s="134">
        <v>0.47361111111111109</v>
      </c>
      <c r="V98" s="97">
        <v>23</v>
      </c>
      <c r="W98" s="135">
        <f t="shared" si="72"/>
        <v>29.999999999999972</v>
      </c>
      <c r="X98" s="283">
        <v>0.44027777777777777</v>
      </c>
      <c r="Y98" s="283">
        <v>0.45</v>
      </c>
      <c r="Z98" s="284"/>
      <c r="AA98" s="284"/>
      <c r="AB98" s="644"/>
      <c r="AC98" s="644"/>
      <c r="AD98" s="97"/>
      <c r="AE98" s="97"/>
      <c r="AF98" s="285">
        <f t="shared" si="63"/>
        <v>-139.99999999999886</v>
      </c>
      <c r="AG98" s="91">
        <f t="shared" si="64"/>
        <v>0.90277777777777857</v>
      </c>
      <c r="AH98" s="632"/>
    </row>
    <row r="99" spans="1:34" ht="18" customHeight="1">
      <c r="A99" s="669"/>
      <c r="B99" s="65" t="s">
        <v>252</v>
      </c>
      <c r="C99" s="127"/>
      <c r="D99" s="168" t="s">
        <v>153</v>
      </c>
      <c r="E99" s="169"/>
      <c r="F99" s="271">
        <v>47.37</v>
      </c>
      <c r="G99" s="100">
        <v>633</v>
      </c>
      <c r="H99" s="273">
        <f t="shared" si="67"/>
        <v>29985.21</v>
      </c>
      <c r="I99" s="97"/>
      <c r="J99" s="86">
        <v>17</v>
      </c>
      <c r="K99" s="83">
        <v>1636</v>
      </c>
      <c r="L99" s="87">
        <v>96.235294117647058</v>
      </c>
      <c r="M99" s="88">
        <v>18</v>
      </c>
      <c r="N99" s="100">
        <f t="shared" si="68"/>
        <v>1460.7692307692316</v>
      </c>
      <c r="O99" s="131">
        <f t="shared" si="69"/>
        <v>81.153846153846203</v>
      </c>
      <c r="P99" s="275">
        <f t="shared" si="70"/>
        <v>1</v>
      </c>
      <c r="Q99" s="276">
        <f t="shared" si="66"/>
        <v>-15.081447963800855</v>
      </c>
      <c r="R99" s="277">
        <f t="shared" si="71"/>
        <v>0.84328568741771726</v>
      </c>
      <c r="S99" s="659"/>
      <c r="T99" s="134">
        <v>0.47847222222222219</v>
      </c>
      <c r="U99" s="134">
        <v>0.49652777777777773</v>
      </c>
      <c r="V99" s="97">
        <v>7</v>
      </c>
      <c r="W99" s="135">
        <f t="shared" si="72"/>
        <v>25.999999999999986</v>
      </c>
      <c r="X99" s="235"/>
      <c r="Y99" s="235"/>
      <c r="Z99" s="167"/>
      <c r="AA99" s="167"/>
      <c r="AB99" s="644"/>
      <c r="AC99" s="644"/>
      <c r="AD99" s="97"/>
      <c r="AE99" s="97"/>
      <c r="AF99" s="89">
        <f t="shared" si="63"/>
        <v>-175.23076923076837</v>
      </c>
      <c r="AG99" s="170">
        <f t="shared" si="64"/>
        <v>0.89289072785405355</v>
      </c>
      <c r="AH99" s="632"/>
    </row>
    <row r="100" spans="1:34" s="286" customFormat="1" ht="18" customHeight="1">
      <c r="A100" s="669"/>
      <c r="B100" s="65" t="s">
        <v>252</v>
      </c>
      <c r="C100" s="98"/>
      <c r="D100" s="80" t="s">
        <v>154</v>
      </c>
      <c r="E100" s="169"/>
      <c r="F100" s="271">
        <v>77.34</v>
      </c>
      <c r="G100" s="100">
        <v>673</v>
      </c>
      <c r="H100" s="273">
        <f t="shared" si="67"/>
        <v>52049.82</v>
      </c>
      <c r="I100" s="97"/>
      <c r="J100" s="274">
        <v>19</v>
      </c>
      <c r="K100" s="100">
        <v>1440</v>
      </c>
      <c r="L100" s="87">
        <v>75.78947368421052</v>
      </c>
      <c r="M100" s="130">
        <v>18</v>
      </c>
      <c r="N100" s="100">
        <f t="shared" si="68"/>
        <v>1261.8749999999982</v>
      </c>
      <c r="O100" s="131">
        <f t="shared" si="69"/>
        <v>70.104166666666572</v>
      </c>
      <c r="P100" s="96">
        <f t="shared" si="70"/>
        <v>-1</v>
      </c>
      <c r="Q100" s="132">
        <f t="shared" si="66"/>
        <v>-5.6853070175439484</v>
      </c>
      <c r="R100" s="91">
        <f t="shared" si="71"/>
        <v>0.92498553240740622</v>
      </c>
      <c r="S100" s="659"/>
      <c r="T100" s="278">
        <v>0.53680555555555554</v>
      </c>
      <c r="U100" s="278">
        <v>0.55902777777777779</v>
      </c>
      <c r="V100" s="279">
        <v>5</v>
      </c>
      <c r="W100" s="135">
        <f t="shared" si="72"/>
        <v>32.000000000000043</v>
      </c>
      <c r="X100" s="287"/>
      <c r="Y100" s="287"/>
      <c r="Z100" s="284"/>
      <c r="AA100" s="284"/>
      <c r="AB100" s="637"/>
      <c r="AC100" s="637"/>
      <c r="AD100" s="97"/>
      <c r="AE100" s="97"/>
      <c r="AF100" s="285">
        <f t="shared" si="63"/>
        <v>-178.12500000000182</v>
      </c>
      <c r="AG100" s="91">
        <f t="shared" si="64"/>
        <v>0.87630208333333204</v>
      </c>
      <c r="AH100" s="632"/>
    </row>
    <row r="101" spans="1:34" s="286" customFormat="1" ht="18" customHeight="1">
      <c r="A101" s="669"/>
      <c r="B101" s="65" t="s">
        <v>251</v>
      </c>
      <c r="C101" s="98"/>
      <c r="D101" s="168" t="s">
        <v>155</v>
      </c>
      <c r="E101" s="169"/>
      <c r="F101" s="271">
        <v>56.43</v>
      </c>
      <c r="G101" s="100">
        <v>1191</v>
      </c>
      <c r="H101" s="273">
        <f t="shared" si="67"/>
        <v>67208.13</v>
      </c>
      <c r="I101" s="97"/>
      <c r="J101" s="274">
        <v>19</v>
      </c>
      <c r="K101" s="100">
        <v>1500</v>
      </c>
      <c r="L101" s="87">
        <v>78.94736842105263</v>
      </c>
      <c r="M101" s="130">
        <v>18</v>
      </c>
      <c r="N101" s="100">
        <f t="shared" si="68"/>
        <v>1348.3018867924536</v>
      </c>
      <c r="O101" s="131">
        <f t="shared" si="69"/>
        <v>74.905660377358529</v>
      </c>
      <c r="P101" s="275">
        <f t="shared" si="70"/>
        <v>-1</v>
      </c>
      <c r="Q101" s="276">
        <f t="shared" si="66"/>
        <v>-4.0417080436941006</v>
      </c>
      <c r="R101" s="277">
        <f t="shared" si="71"/>
        <v>0.94880503144654138</v>
      </c>
      <c r="S101" s="659"/>
      <c r="T101" s="278">
        <v>0.56388888888888888</v>
      </c>
      <c r="U101" s="134">
        <v>0.60069444444444442</v>
      </c>
      <c r="V101" s="279">
        <v>7</v>
      </c>
      <c r="W101" s="135">
        <f t="shared" si="72"/>
        <v>52.999999999999972</v>
      </c>
      <c r="X101" s="288"/>
      <c r="Y101" s="288"/>
      <c r="Z101" s="284"/>
      <c r="AA101" s="284"/>
      <c r="AB101" s="637"/>
      <c r="AC101" s="637"/>
      <c r="AD101" s="97"/>
      <c r="AE101" s="97"/>
      <c r="AF101" s="89">
        <f t="shared" si="63"/>
        <v>-151.69811320754638</v>
      </c>
      <c r="AG101" s="170">
        <f t="shared" si="64"/>
        <v>0.89886792452830244</v>
      </c>
      <c r="AH101" s="632"/>
    </row>
    <row r="102" spans="1:34" s="286" customFormat="1" ht="18" customHeight="1">
      <c r="A102" s="669"/>
      <c r="B102" s="65" t="s">
        <v>251</v>
      </c>
      <c r="C102" s="230"/>
      <c r="D102" s="231" t="s">
        <v>156</v>
      </c>
      <c r="E102" s="232"/>
      <c r="F102" s="271">
        <v>50.67</v>
      </c>
      <c r="G102" s="100">
        <v>494</v>
      </c>
      <c r="H102" s="273">
        <f t="shared" si="67"/>
        <v>25030.98</v>
      </c>
      <c r="I102" s="65"/>
      <c r="J102" s="86">
        <v>17</v>
      </c>
      <c r="K102" s="83">
        <v>1440</v>
      </c>
      <c r="L102" s="87">
        <v>84.705882352941174</v>
      </c>
      <c r="M102" s="130">
        <v>17</v>
      </c>
      <c r="N102" s="100">
        <f t="shared" si="68"/>
        <v>1058.5714285714262</v>
      </c>
      <c r="O102" s="131">
        <f t="shared" si="69"/>
        <v>62.268907563025067</v>
      </c>
      <c r="P102" s="275">
        <f t="shared" si="70"/>
        <v>0</v>
      </c>
      <c r="Q102" s="276">
        <f t="shared" si="66"/>
        <v>-22.436974789916107</v>
      </c>
      <c r="R102" s="277">
        <f t="shared" si="71"/>
        <v>0.73511904761904601</v>
      </c>
      <c r="S102" s="659"/>
      <c r="T102" s="278">
        <v>0.70833333333333337</v>
      </c>
      <c r="U102" s="278">
        <v>0.72777777777777786</v>
      </c>
      <c r="V102" s="279">
        <v>5</v>
      </c>
      <c r="W102" s="135">
        <f t="shared" si="72"/>
        <v>28.00000000000006</v>
      </c>
      <c r="X102" s="288"/>
      <c r="Y102" s="288"/>
      <c r="Z102" s="284"/>
      <c r="AA102" s="284"/>
      <c r="AB102" s="637"/>
      <c r="AC102" s="637"/>
      <c r="AD102" s="97"/>
      <c r="AE102" s="97"/>
      <c r="AF102" s="285">
        <f t="shared" si="63"/>
        <v>-381.42857142857383</v>
      </c>
      <c r="AG102" s="91">
        <f t="shared" si="64"/>
        <v>0.7351190476190459</v>
      </c>
      <c r="AH102" s="632"/>
    </row>
    <row r="103" spans="1:34" s="286" customFormat="1" ht="18" customHeight="1">
      <c r="A103" s="669"/>
      <c r="B103" s="65" t="s">
        <v>251</v>
      </c>
      <c r="C103" s="289"/>
      <c r="D103" s="168" t="s">
        <v>157</v>
      </c>
      <c r="E103" s="169"/>
      <c r="F103" s="271">
        <v>54.09</v>
      </c>
      <c r="G103" s="100">
        <v>1894</v>
      </c>
      <c r="H103" s="273">
        <f t="shared" si="67"/>
        <v>102446.46</v>
      </c>
      <c r="I103" s="290"/>
      <c r="J103" s="274">
        <v>17</v>
      </c>
      <c r="K103" s="100">
        <v>1440</v>
      </c>
      <c r="L103" s="87">
        <v>84.705882352941174</v>
      </c>
      <c r="M103" s="130">
        <v>17</v>
      </c>
      <c r="N103" s="100">
        <f t="shared" si="68"/>
        <v>1291.3636363636365</v>
      </c>
      <c r="O103" s="131">
        <f t="shared" si="69"/>
        <v>75.962566844919792</v>
      </c>
      <c r="P103" s="275">
        <f t="shared" si="70"/>
        <v>0</v>
      </c>
      <c r="Q103" s="276">
        <f t="shared" si="66"/>
        <v>-8.7433155080213822</v>
      </c>
      <c r="R103" s="277">
        <f t="shared" si="71"/>
        <v>0.89678030303030309</v>
      </c>
      <c r="S103" s="659"/>
      <c r="T103" s="278">
        <v>0.73263888888888895</v>
      </c>
      <c r="U103" s="278">
        <v>0.79375000000000007</v>
      </c>
      <c r="V103" s="279">
        <v>7</v>
      </c>
      <c r="W103" s="135">
        <f t="shared" si="72"/>
        <v>88</v>
      </c>
      <c r="X103" s="288"/>
      <c r="Y103" s="288"/>
      <c r="Z103" s="284"/>
      <c r="AA103" s="284"/>
      <c r="AB103" s="637"/>
      <c r="AC103" s="637"/>
      <c r="AD103" s="97"/>
      <c r="AE103" s="97"/>
      <c r="AF103" s="89">
        <f t="shared" si="63"/>
        <v>-148.63636363636351</v>
      </c>
      <c r="AG103" s="170">
        <f t="shared" si="64"/>
        <v>0.89678030303030309</v>
      </c>
      <c r="AH103" s="632"/>
    </row>
    <row r="104" spans="1:34" s="286" customFormat="1" ht="18" customHeight="1">
      <c r="A104" s="669"/>
      <c r="B104" s="65" t="s">
        <v>251</v>
      </c>
      <c r="C104" s="291"/>
      <c r="D104" s="168" t="s">
        <v>169</v>
      </c>
      <c r="E104" s="169"/>
      <c r="F104" s="271">
        <v>57.3</v>
      </c>
      <c r="G104" s="272">
        <v>931</v>
      </c>
      <c r="H104" s="273">
        <f t="shared" si="67"/>
        <v>53346.299999999996</v>
      </c>
      <c r="I104" s="289"/>
      <c r="J104" s="86">
        <v>18</v>
      </c>
      <c r="K104" s="83">
        <v>1385</v>
      </c>
      <c r="L104" s="87">
        <v>76.944444444444443</v>
      </c>
      <c r="M104" s="130">
        <v>17</v>
      </c>
      <c r="N104" s="100">
        <f t="shared" si="68"/>
        <v>1188.5106382978724</v>
      </c>
      <c r="O104" s="131">
        <f t="shared" si="69"/>
        <v>69.912390488110148</v>
      </c>
      <c r="P104" s="275">
        <f t="shared" si="70"/>
        <v>-1</v>
      </c>
      <c r="Q104" s="276">
        <f t="shared" si="66"/>
        <v>-7.0320539563342948</v>
      </c>
      <c r="R104" s="277">
        <f t="shared" si="71"/>
        <v>0.90860868504403081</v>
      </c>
      <c r="S104" s="662"/>
      <c r="T104" s="278">
        <v>0.7993055555555556</v>
      </c>
      <c r="U104" s="278">
        <v>0.83194444444444449</v>
      </c>
      <c r="V104" s="279">
        <v>8</v>
      </c>
      <c r="W104" s="135">
        <f t="shared" si="72"/>
        <v>46.999999999999993</v>
      </c>
      <c r="X104" s="288"/>
      <c r="Y104" s="288"/>
      <c r="Z104" s="284"/>
      <c r="AA104" s="284"/>
      <c r="AB104" s="637"/>
      <c r="AC104" s="637"/>
      <c r="AD104" s="97"/>
      <c r="AE104" s="97"/>
      <c r="AF104" s="285">
        <f t="shared" si="63"/>
        <v>-196.48936170212755</v>
      </c>
      <c r="AG104" s="91">
        <f t="shared" si="64"/>
        <v>0.85813042476380685</v>
      </c>
      <c r="AH104" s="632"/>
    </row>
    <row r="105" spans="1:34" s="286" customFormat="1" ht="18" customHeight="1">
      <c r="A105" s="669"/>
      <c r="B105" s="65">
        <v>0</v>
      </c>
      <c r="C105" s="291"/>
      <c r="D105" s="168"/>
      <c r="E105" s="169"/>
      <c r="F105" s="271" t="s">
        <v>253</v>
      </c>
      <c r="G105" s="272"/>
      <c r="H105" s="273">
        <f t="shared" si="67"/>
        <v>0</v>
      </c>
      <c r="I105" s="289"/>
      <c r="J105" s="274"/>
      <c r="K105" s="100"/>
      <c r="L105" s="87"/>
      <c r="M105" s="130"/>
      <c r="N105" s="100"/>
      <c r="O105" s="131"/>
      <c r="P105" s="96"/>
      <c r="Q105" s="132"/>
      <c r="R105" s="91"/>
      <c r="S105" s="662"/>
      <c r="T105" s="278"/>
      <c r="U105" s="278"/>
      <c r="V105" s="279"/>
      <c r="W105" s="135">
        <f t="shared" si="72"/>
        <v>0</v>
      </c>
      <c r="X105" s="288"/>
      <c r="Y105" s="288"/>
      <c r="Z105" s="284"/>
      <c r="AA105" s="284"/>
      <c r="AB105" s="637"/>
      <c r="AC105" s="637"/>
      <c r="AD105" s="97"/>
      <c r="AE105" s="97"/>
      <c r="AF105" s="284"/>
      <c r="AG105" s="133"/>
      <c r="AH105" s="632"/>
    </row>
    <row r="106" spans="1:34" s="286" customFormat="1" ht="18" customHeight="1">
      <c r="A106" s="669"/>
      <c r="B106" s="65">
        <v>0</v>
      </c>
      <c r="C106" s="291"/>
      <c r="D106" s="168"/>
      <c r="E106" s="169"/>
      <c r="F106" s="82" t="s">
        <v>253</v>
      </c>
      <c r="G106" s="272"/>
      <c r="H106" s="273">
        <f t="shared" si="67"/>
        <v>0</v>
      </c>
      <c r="I106" s="289"/>
      <c r="J106" s="233"/>
      <c r="K106" s="234"/>
      <c r="L106" s="122"/>
      <c r="M106" s="130"/>
      <c r="N106" s="234"/>
      <c r="O106" s="292"/>
      <c r="P106" s="96"/>
      <c r="Q106" s="132"/>
      <c r="R106" s="133"/>
      <c r="S106" s="670"/>
      <c r="T106" s="278"/>
      <c r="U106" s="278"/>
      <c r="V106" s="279"/>
      <c r="W106" s="135">
        <f t="shared" si="72"/>
        <v>0</v>
      </c>
      <c r="X106" s="288"/>
      <c r="Y106" s="288"/>
      <c r="Z106" s="284"/>
      <c r="AA106" s="284"/>
      <c r="AB106" s="637"/>
      <c r="AC106" s="637"/>
      <c r="AD106" s="97"/>
      <c r="AE106" s="97"/>
      <c r="AF106" s="284"/>
      <c r="AG106" s="133"/>
      <c r="AH106" s="632"/>
    </row>
    <row r="107" spans="1:34" s="286" customFormat="1" ht="18" customHeight="1">
      <c r="A107" s="669"/>
      <c r="B107" s="289">
        <v>0</v>
      </c>
      <c r="C107" s="291"/>
      <c r="D107" s="168"/>
      <c r="E107" s="169"/>
      <c r="F107" s="82" t="s">
        <v>253</v>
      </c>
      <c r="G107" s="272"/>
      <c r="H107" s="293">
        <f>F107*G107</f>
        <v>0</v>
      </c>
      <c r="I107" s="289"/>
      <c r="J107" s="233"/>
      <c r="K107" s="234"/>
      <c r="L107" s="122"/>
      <c r="M107" s="130"/>
      <c r="N107" s="234"/>
      <c r="O107" s="292"/>
      <c r="P107" s="96"/>
      <c r="Q107" s="132"/>
      <c r="R107" s="133"/>
      <c r="S107" s="670"/>
      <c r="T107" s="278"/>
      <c r="U107" s="278"/>
      <c r="V107" s="279"/>
      <c r="W107" s="135">
        <f t="shared" si="72"/>
        <v>0</v>
      </c>
      <c r="X107" s="288"/>
      <c r="Y107" s="288"/>
      <c r="Z107" s="284"/>
      <c r="AA107" s="284"/>
      <c r="AB107" s="637"/>
      <c r="AC107" s="637"/>
      <c r="AD107" s="97"/>
      <c r="AE107" s="97"/>
      <c r="AF107" s="284"/>
      <c r="AG107" s="133"/>
      <c r="AH107" s="632"/>
    </row>
    <row r="108" spans="1:34" ht="18" customHeight="1">
      <c r="A108" s="669"/>
      <c r="B108" s="147">
        <v>0</v>
      </c>
      <c r="C108" s="138" t="s">
        <v>20</v>
      </c>
      <c r="D108" s="630" t="s">
        <v>220</v>
      </c>
      <c r="E108" s="630"/>
      <c r="F108" s="294"/>
      <c r="G108" s="140"/>
      <c r="H108" s="141"/>
      <c r="I108" s="142"/>
      <c r="J108" s="140">
        <v>17.444444444444443</v>
      </c>
      <c r="K108" s="140">
        <v>1475.6666666666667</v>
      </c>
      <c r="L108" s="143">
        <v>84.891057982647268</v>
      </c>
      <c r="M108" s="140">
        <f t="shared" ref="M108:O108" si="73">AVERAGE(M96:M107)</f>
        <v>17.333333333333332</v>
      </c>
      <c r="N108" s="140">
        <f t="shared" si="73"/>
        <v>1266.5872138047662</v>
      </c>
      <c r="O108" s="143">
        <f t="shared" si="73"/>
        <v>73.021603129560788</v>
      </c>
      <c r="P108" s="96">
        <f t="shared" ref="P108:P113" si="74">M108-J108</f>
        <v>-0.11111111111111072</v>
      </c>
      <c r="Q108" s="132">
        <f t="shared" ref="Q108:Q113" si="75">O108-L108</f>
        <v>-11.869454853086481</v>
      </c>
      <c r="R108" s="144">
        <f t="shared" ref="R108:R113" si="76">O108/L108</f>
        <v>0.86018015165374972</v>
      </c>
      <c r="S108" s="662"/>
      <c r="T108" s="134"/>
      <c r="U108" s="134"/>
      <c r="V108" s="100"/>
      <c r="W108" s="135">
        <f t="shared" si="72"/>
        <v>0</v>
      </c>
      <c r="X108" s="131"/>
      <c r="Y108" s="131"/>
      <c r="Z108" s="145">
        <f>SUM(Z96:Z107)</f>
        <v>0</v>
      </c>
      <c r="AA108" s="145">
        <f>SUM(AA96:AA107)</f>
        <v>0</v>
      </c>
      <c r="AB108" s="629"/>
      <c r="AC108" s="629"/>
      <c r="AD108" s="146">
        <f>SUM(AD96:AD107)</f>
        <v>0</v>
      </c>
      <c r="AE108" s="146">
        <f>SUM(AE96:AE107)</f>
        <v>0</v>
      </c>
      <c r="AF108" s="96">
        <f t="shared" si="63"/>
        <v>-209.07945286190056</v>
      </c>
      <c r="AG108" s="133">
        <f t="shared" si="64"/>
        <v>0.85831525670076769</v>
      </c>
      <c r="AH108" s="632"/>
    </row>
    <row r="109" spans="1:34" ht="18" customHeight="1">
      <c r="A109" s="665" t="s">
        <v>230</v>
      </c>
      <c r="B109" s="65" t="s">
        <v>252</v>
      </c>
      <c r="C109" s="219"/>
      <c r="D109" s="231" t="s">
        <v>159</v>
      </c>
      <c r="E109" s="81"/>
      <c r="F109" s="82">
        <v>53.76</v>
      </c>
      <c r="G109" s="83">
        <v>2632</v>
      </c>
      <c r="H109" s="84">
        <f t="shared" ref="H109:H118" si="77">F109*G109</f>
        <v>141496.32000000001</v>
      </c>
      <c r="I109" s="65"/>
      <c r="J109" s="86">
        <v>16</v>
      </c>
      <c r="K109" s="83">
        <v>1440</v>
      </c>
      <c r="L109" s="87">
        <v>90</v>
      </c>
      <c r="M109" s="88">
        <v>15</v>
      </c>
      <c r="N109" s="83">
        <f t="shared" ref="N109:N113" si="78">G109/W109*60</f>
        <v>1294.4262295081962</v>
      </c>
      <c r="O109" s="87">
        <f t="shared" ref="O109:O113" si="79">N109/M109</f>
        <v>86.295081967213079</v>
      </c>
      <c r="P109" s="89">
        <f t="shared" si="74"/>
        <v>-1</v>
      </c>
      <c r="Q109" s="90">
        <f t="shared" si="75"/>
        <v>-3.7049180327869209</v>
      </c>
      <c r="R109" s="91">
        <f t="shared" si="76"/>
        <v>0.95883424408014528</v>
      </c>
      <c r="S109" s="668">
        <f>R121</f>
        <v>0.89670580734890659</v>
      </c>
      <c r="T109" s="295">
        <v>0.5</v>
      </c>
      <c r="U109" s="295">
        <v>0.58472222222222225</v>
      </c>
      <c r="V109" s="296">
        <v>5</v>
      </c>
      <c r="W109" s="85">
        <f t="shared" si="72"/>
        <v>122.00000000000004</v>
      </c>
      <c r="X109" s="95"/>
      <c r="Y109" s="95"/>
      <c r="Z109" s="96"/>
      <c r="AA109" s="96"/>
      <c r="AB109" s="644"/>
      <c r="AC109" s="644"/>
      <c r="AD109" s="97"/>
      <c r="AE109" s="97"/>
      <c r="AF109" s="89">
        <f t="shared" si="63"/>
        <v>-145.57377049180377</v>
      </c>
      <c r="AG109" s="170">
        <f t="shared" si="64"/>
        <v>0.89890710382513628</v>
      </c>
      <c r="AH109" s="632">
        <f>AG121</f>
        <v>0.8825613107587772</v>
      </c>
    </row>
    <row r="110" spans="1:34" ht="18" customHeight="1">
      <c r="A110" s="666"/>
      <c r="B110" s="65" t="s">
        <v>247</v>
      </c>
      <c r="C110" s="230"/>
      <c r="D110" s="80" t="s">
        <v>122</v>
      </c>
      <c r="E110" s="232"/>
      <c r="F110" s="82">
        <v>29.113149847094796</v>
      </c>
      <c r="G110" s="229">
        <v>464.48</v>
      </c>
      <c r="H110" s="84">
        <f t="shared" si="77"/>
        <v>13522.475840978592</v>
      </c>
      <c r="I110" s="65"/>
      <c r="J110" s="86">
        <v>19</v>
      </c>
      <c r="K110" s="83">
        <v>1500</v>
      </c>
      <c r="L110" s="87">
        <v>78.94736842105263</v>
      </c>
      <c r="M110" s="88">
        <v>19</v>
      </c>
      <c r="N110" s="83">
        <f t="shared" si="78"/>
        <v>1266.7636363636409</v>
      </c>
      <c r="O110" s="87">
        <f t="shared" si="79"/>
        <v>66.671770334928468</v>
      </c>
      <c r="P110" s="89">
        <f t="shared" si="74"/>
        <v>0</v>
      </c>
      <c r="Q110" s="90">
        <f t="shared" si="75"/>
        <v>-12.275598086124162</v>
      </c>
      <c r="R110" s="91">
        <f t="shared" si="76"/>
        <v>0.84450909090909398</v>
      </c>
      <c r="S110" s="651"/>
      <c r="T110" s="295">
        <v>0.60069444444444442</v>
      </c>
      <c r="U110" s="295">
        <v>0.61597222222222214</v>
      </c>
      <c r="V110" s="296">
        <v>23</v>
      </c>
      <c r="W110" s="85">
        <f t="shared" si="72"/>
        <v>21.999999999999922</v>
      </c>
      <c r="X110" s="249">
        <v>0.58819444444444446</v>
      </c>
      <c r="Y110" s="249">
        <v>0.59791666666666665</v>
      </c>
      <c r="Z110" s="96"/>
      <c r="AA110" s="96"/>
      <c r="AB110" s="657"/>
      <c r="AC110" s="657"/>
      <c r="AD110" s="97"/>
      <c r="AE110" s="97"/>
      <c r="AF110" s="238">
        <f t="shared" si="63"/>
        <v>-233.2363636363591</v>
      </c>
      <c r="AG110" s="170">
        <f t="shared" si="64"/>
        <v>0.84450909090909398</v>
      </c>
      <c r="AH110" s="632"/>
    </row>
    <row r="111" spans="1:34" ht="18" customHeight="1">
      <c r="A111" s="666"/>
      <c r="B111" s="65" t="s">
        <v>251</v>
      </c>
      <c r="C111" s="230"/>
      <c r="D111" s="80" t="s">
        <v>162</v>
      </c>
      <c r="E111" s="232"/>
      <c r="F111" s="82">
        <v>54.29</v>
      </c>
      <c r="G111" s="100">
        <v>2052</v>
      </c>
      <c r="H111" s="84">
        <f t="shared" si="77"/>
        <v>111403.08</v>
      </c>
      <c r="I111" s="65"/>
      <c r="J111" s="86">
        <v>17</v>
      </c>
      <c r="K111" s="83">
        <v>1440</v>
      </c>
      <c r="L111" s="87">
        <v>84.705882352941174</v>
      </c>
      <c r="M111" s="155">
        <v>17</v>
      </c>
      <c r="N111" s="83">
        <f t="shared" si="78"/>
        <v>1309.7872340425533</v>
      </c>
      <c r="O111" s="87">
        <f t="shared" si="79"/>
        <v>77.046307884856077</v>
      </c>
      <c r="P111" s="89">
        <f t="shared" si="74"/>
        <v>0</v>
      </c>
      <c r="Q111" s="90">
        <f t="shared" si="75"/>
        <v>-7.659574468085097</v>
      </c>
      <c r="R111" s="91">
        <f t="shared" si="76"/>
        <v>0.90957446808510645</v>
      </c>
      <c r="S111" s="651"/>
      <c r="T111" s="295">
        <v>0.70833333333333337</v>
      </c>
      <c r="U111" s="295">
        <v>0.77361111111111114</v>
      </c>
      <c r="V111" s="296">
        <v>5</v>
      </c>
      <c r="W111" s="85">
        <f t="shared" si="72"/>
        <v>93.999999999999986</v>
      </c>
      <c r="X111" s="95"/>
      <c r="Y111" s="95"/>
      <c r="Z111" s="96"/>
      <c r="AA111" s="96"/>
      <c r="AB111" s="644"/>
      <c r="AC111" s="644"/>
      <c r="AD111" s="97"/>
      <c r="AE111" s="97"/>
      <c r="AF111" s="89">
        <f t="shared" si="63"/>
        <v>-130.21276595744666</v>
      </c>
      <c r="AG111" s="170">
        <f t="shared" si="64"/>
        <v>0.90957446808510645</v>
      </c>
      <c r="AH111" s="632"/>
    </row>
    <row r="112" spans="1:34" ht="18" customHeight="1">
      <c r="A112" s="666"/>
      <c r="B112" s="65" t="s">
        <v>251</v>
      </c>
      <c r="C112" s="230"/>
      <c r="D112" s="231" t="s">
        <v>245</v>
      </c>
      <c r="E112" s="232"/>
      <c r="F112" s="82">
        <v>48.36</v>
      </c>
      <c r="G112" s="100">
        <v>3282.7</v>
      </c>
      <c r="H112" s="84">
        <f t="shared" si="77"/>
        <v>158751.372</v>
      </c>
      <c r="I112" s="97"/>
      <c r="J112" s="86">
        <v>18</v>
      </c>
      <c r="K112" s="83">
        <v>1440</v>
      </c>
      <c r="L112" s="87">
        <v>80</v>
      </c>
      <c r="M112" s="155">
        <v>18</v>
      </c>
      <c r="N112" s="83">
        <f t="shared" si="78"/>
        <v>1295.8026315789477</v>
      </c>
      <c r="O112" s="87">
        <f t="shared" si="79"/>
        <v>71.989035087719316</v>
      </c>
      <c r="P112" s="89">
        <f t="shared" si="74"/>
        <v>0</v>
      </c>
      <c r="Q112" s="90">
        <f t="shared" si="75"/>
        <v>-8.0109649122806843</v>
      </c>
      <c r="R112" s="91">
        <f t="shared" si="76"/>
        <v>0.89986293859649147</v>
      </c>
      <c r="S112" s="651"/>
      <c r="T112" s="295">
        <v>0.77847222222222223</v>
      </c>
      <c r="U112" s="295">
        <v>0.88402777777777775</v>
      </c>
      <c r="V112" s="296">
        <v>7</v>
      </c>
      <c r="W112" s="85">
        <f t="shared" si="72"/>
        <v>151.99999999999994</v>
      </c>
      <c r="X112" s="95"/>
      <c r="Y112" s="95"/>
      <c r="Z112" s="96"/>
      <c r="AA112" s="96"/>
      <c r="AB112" s="644"/>
      <c r="AC112" s="644"/>
      <c r="AD112" s="97"/>
      <c r="AE112" s="97"/>
      <c r="AF112" s="89">
        <f t="shared" si="63"/>
        <v>-144.19736842105226</v>
      </c>
      <c r="AG112" s="170">
        <f t="shared" si="64"/>
        <v>0.89986293859649147</v>
      </c>
      <c r="AH112" s="632"/>
    </row>
    <row r="113" spans="1:34" s="286" customFormat="1" ht="18" customHeight="1">
      <c r="A113" s="666"/>
      <c r="B113" s="65" t="s">
        <v>251</v>
      </c>
      <c r="C113" s="230"/>
      <c r="D113" s="231" t="s">
        <v>244</v>
      </c>
      <c r="E113" s="232"/>
      <c r="F113" s="82">
        <v>48.36</v>
      </c>
      <c r="G113" s="100">
        <v>806.40000000000009</v>
      </c>
      <c r="H113" s="84">
        <f t="shared" si="77"/>
        <v>38997.504000000001</v>
      </c>
      <c r="I113" s="97">
        <v>2</v>
      </c>
      <c r="J113" s="86">
        <v>18</v>
      </c>
      <c r="K113" s="83">
        <v>1440</v>
      </c>
      <c r="L113" s="87">
        <v>80</v>
      </c>
      <c r="M113" s="88">
        <v>18</v>
      </c>
      <c r="N113" s="83">
        <f t="shared" si="78"/>
        <v>1240.6153846153841</v>
      </c>
      <c r="O113" s="87">
        <f t="shared" si="79"/>
        <v>68.923076923076891</v>
      </c>
      <c r="P113" s="89">
        <f t="shared" si="74"/>
        <v>0</v>
      </c>
      <c r="Q113" s="90">
        <f t="shared" si="75"/>
        <v>-11.076923076923109</v>
      </c>
      <c r="R113" s="91">
        <f t="shared" si="76"/>
        <v>0.86153846153846114</v>
      </c>
      <c r="S113" s="651"/>
      <c r="T113" s="295">
        <v>0.88958333333333328</v>
      </c>
      <c r="U113" s="295">
        <v>0.91666666666666663</v>
      </c>
      <c r="V113" s="296">
        <v>8</v>
      </c>
      <c r="W113" s="85">
        <f t="shared" si="72"/>
        <v>39.000000000000021</v>
      </c>
      <c r="X113" s="283"/>
      <c r="Y113" s="283"/>
      <c r="Z113" s="284"/>
      <c r="AA113" s="284"/>
      <c r="AB113" s="633"/>
      <c r="AC113" s="633"/>
      <c r="AD113" s="289"/>
      <c r="AE113" s="289"/>
      <c r="AF113" s="238">
        <f t="shared" si="63"/>
        <v>-199.38461538461593</v>
      </c>
      <c r="AG113" s="170">
        <f t="shared" si="64"/>
        <v>0.86153846153846114</v>
      </c>
      <c r="AH113" s="632"/>
    </row>
    <row r="114" spans="1:34" s="286" customFormat="1" ht="18" customHeight="1">
      <c r="A114" s="666"/>
      <c r="B114" s="65">
        <v>0</v>
      </c>
      <c r="C114" s="230"/>
      <c r="D114" s="231"/>
      <c r="E114" s="232"/>
      <c r="F114" s="82" t="s">
        <v>253</v>
      </c>
      <c r="G114" s="100"/>
      <c r="H114" s="84">
        <f t="shared" si="77"/>
        <v>0</v>
      </c>
      <c r="I114" s="97"/>
      <c r="J114" s="86"/>
      <c r="K114" s="83"/>
      <c r="L114" s="87"/>
      <c r="M114" s="155"/>
      <c r="N114" s="83"/>
      <c r="O114" s="87"/>
      <c r="P114" s="89"/>
      <c r="Q114" s="90"/>
      <c r="R114" s="91"/>
      <c r="S114" s="651"/>
      <c r="T114" s="295"/>
      <c r="U114" s="295"/>
      <c r="V114" s="296"/>
      <c r="W114" s="85"/>
      <c r="X114" s="283"/>
      <c r="Y114" s="283"/>
      <c r="Z114" s="284"/>
      <c r="AA114" s="284"/>
      <c r="AB114" s="633"/>
      <c r="AC114" s="633"/>
      <c r="AD114" s="289"/>
      <c r="AE114" s="289"/>
      <c r="AF114" s="89">
        <f t="shared" si="63"/>
        <v>0</v>
      </c>
      <c r="AG114" s="170" t="e">
        <f t="shared" si="64"/>
        <v>#DIV/0!</v>
      </c>
      <c r="AH114" s="632"/>
    </row>
    <row r="115" spans="1:34" s="286" customFormat="1" ht="18" customHeight="1">
      <c r="A115" s="666"/>
      <c r="B115" s="65">
        <v>0</v>
      </c>
      <c r="C115" s="230"/>
      <c r="D115" s="231"/>
      <c r="E115" s="232"/>
      <c r="F115" s="82" t="s">
        <v>253</v>
      </c>
      <c r="G115" s="229"/>
      <c r="H115" s="84">
        <f t="shared" si="77"/>
        <v>0</v>
      </c>
      <c r="I115" s="97"/>
      <c r="J115" s="86"/>
      <c r="K115" s="83"/>
      <c r="L115" s="87"/>
      <c r="M115" s="88"/>
      <c r="N115" s="83"/>
      <c r="O115" s="87"/>
      <c r="P115" s="89"/>
      <c r="Q115" s="90"/>
      <c r="R115" s="91"/>
      <c r="S115" s="651"/>
      <c r="T115" s="295"/>
      <c r="U115" s="295"/>
      <c r="V115" s="296"/>
      <c r="W115" s="85">
        <f t="shared" si="72"/>
        <v>0</v>
      </c>
      <c r="X115" s="283"/>
      <c r="Y115" s="283"/>
      <c r="Z115" s="284"/>
      <c r="AA115" s="284"/>
      <c r="AB115" s="633"/>
      <c r="AC115" s="633"/>
      <c r="AD115" s="289"/>
      <c r="AE115" s="289"/>
      <c r="AF115" s="89">
        <f t="shared" si="63"/>
        <v>0</v>
      </c>
      <c r="AG115" s="170" t="e">
        <f t="shared" si="64"/>
        <v>#DIV/0!</v>
      </c>
      <c r="AH115" s="632"/>
    </row>
    <row r="116" spans="1:34" s="286" customFormat="1" ht="18" customHeight="1">
      <c r="A116" s="666"/>
      <c r="B116" s="65">
        <v>0</v>
      </c>
      <c r="C116" s="98"/>
      <c r="D116" s="168"/>
      <c r="E116" s="169"/>
      <c r="F116" s="82"/>
      <c r="G116" s="100"/>
      <c r="H116" s="84">
        <f t="shared" si="77"/>
        <v>0</v>
      </c>
      <c r="I116" s="97"/>
      <c r="J116" s="86"/>
      <c r="K116" s="83"/>
      <c r="L116" s="87"/>
      <c r="M116" s="137"/>
      <c r="N116" s="83"/>
      <c r="O116" s="87"/>
      <c r="P116" s="89"/>
      <c r="Q116" s="90"/>
      <c r="R116" s="91"/>
      <c r="S116" s="651"/>
      <c r="T116" s="295"/>
      <c r="U116" s="295"/>
      <c r="V116" s="296"/>
      <c r="W116" s="85">
        <f t="shared" si="72"/>
        <v>0</v>
      </c>
      <c r="X116" s="283"/>
      <c r="Y116" s="283"/>
      <c r="Z116" s="284"/>
      <c r="AA116" s="284"/>
      <c r="AB116" s="633"/>
      <c r="AC116" s="633"/>
      <c r="AD116" s="289"/>
      <c r="AE116" s="289"/>
      <c r="AF116" s="238">
        <f t="shared" si="63"/>
        <v>0</v>
      </c>
      <c r="AG116" s="170" t="e">
        <f t="shared" si="64"/>
        <v>#DIV/0!</v>
      </c>
      <c r="AH116" s="632"/>
    </row>
    <row r="117" spans="1:34" s="286" customFormat="1" ht="18" customHeight="1">
      <c r="A117" s="666"/>
      <c r="B117" s="65">
        <v>0</v>
      </c>
      <c r="C117" s="98"/>
      <c r="D117" s="231"/>
      <c r="E117" s="169"/>
      <c r="F117" s="82" t="s">
        <v>253</v>
      </c>
      <c r="G117" s="100"/>
      <c r="H117" s="84">
        <f t="shared" si="77"/>
        <v>0</v>
      </c>
      <c r="I117" s="97"/>
      <c r="J117" s="86"/>
      <c r="K117" s="83"/>
      <c r="L117" s="131"/>
      <c r="M117" s="137"/>
      <c r="N117" s="100"/>
      <c r="O117" s="131"/>
      <c r="P117" s="96"/>
      <c r="Q117" s="132"/>
      <c r="R117" s="133"/>
      <c r="S117" s="651"/>
      <c r="T117" s="295"/>
      <c r="U117" s="295"/>
      <c r="V117" s="296"/>
      <c r="W117" s="85">
        <f t="shared" si="72"/>
        <v>0</v>
      </c>
      <c r="X117" s="283"/>
      <c r="Y117" s="283"/>
      <c r="Z117" s="284"/>
      <c r="AA117" s="284"/>
      <c r="AB117" s="633"/>
      <c r="AC117" s="633"/>
      <c r="AD117" s="289"/>
      <c r="AE117" s="289"/>
      <c r="AF117" s="89">
        <f t="shared" si="63"/>
        <v>0</v>
      </c>
      <c r="AG117" s="170" t="e">
        <f t="shared" si="64"/>
        <v>#DIV/0!</v>
      </c>
      <c r="AH117" s="632"/>
    </row>
    <row r="118" spans="1:34" s="286" customFormat="1" ht="18" customHeight="1">
      <c r="A118" s="666"/>
      <c r="B118" s="65">
        <v>0</v>
      </c>
      <c r="C118" s="216"/>
      <c r="D118" s="231"/>
      <c r="E118" s="81"/>
      <c r="F118" s="183" t="s">
        <v>253</v>
      </c>
      <c r="G118" s="83"/>
      <c r="H118" s="84">
        <f t="shared" si="77"/>
        <v>0</v>
      </c>
      <c r="I118" s="97"/>
      <c r="J118" s="86"/>
      <c r="K118" s="83"/>
      <c r="L118" s="87"/>
      <c r="M118" s="137"/>
      <c r="N118" s="83"/>
      <c r="O118" s="87"/>
      <c r="P118" s="89"/>
      <c r="Q118" s="90"/>
      <c r="R118" s="91"/>
      <c r="S118" s="651"/>
      <c r="T118" s="295"/>
      <c r="U118" s="295"/>
      <c r="V118" s="296"/>
      <c r="W118" s="85">
        <f t="shared" si="72"/>
        <v>0</v>
      </c>
      <c r="X118" s="283"/>
      <c r="Y118" s="283"/>
      <c r="Z118" s="284"/>
      <c r="AA118" s="284"/>
      <c r="AB118" s="633"/>
      <c r="AC118" s="633"/>
      <c r="AD118" s="289"/>
      <c r="AE118" s="289"/>
      <c r="AF118" s="285"/>
      <c r="AG118" s="170"/>
      <c r="AH118" s="632"/>
    </row>
    <row r="119" spans="1:34" s="286" customFormat="1" ht="18" customHeight="1">
      <c r="A119" s="666"/>
      <c r="B119" s="289">
        <v>0</v>
      </c>
      <c r="C119" s="291"/>
      <c r="D119" s="168"/>
      <c r="E119" s="169"/>
      <c r="F119" s="183" t="s">
        <v>253</v>
      </c>
      <c r="G119" s="297"/>
      <c r="H119" s="298">
        <f>F119*G119</f>
        <v>0</v>
      </c>
      <c r="I119" s="97"/>
      <c r="J119" s="233"/>
      <c r="K119" s="299"/>
      <c r="L119" s="87"/>
      <c r="M119" s="137"/>
      <c r="N119" s="234"/>
      <c r="O119" s="292"/>
      <c r="P119" s="218"/>
      <c r="Q119" s="90"/>
      <c r="R119" s="91"/>
      <c r="S119" s="651"/>
      <c r="T119" s="295"/>
      <c r="U119" s="295"/>
      <c r="V119" s="296"/>
      <c r="W119" s="85">
        <f t="shared" si="72"/>
        <v>0</v>
      </c>
      <c r="X119" s="283"/>
      <c r="Y119" s="283"/>
      <c r="Z119" s="284"/>
      <c r="AA119" s="284"/>
      <c r="AB119" s="633"/>
      <c r="AC119" s="633"/>
      <c r="AD119" s="289"/>
      <c r="AE119" s="289"/>
      <c r="AF119" s="285"/>
      <c r="AG119" s="170"/>
      <c r="AH119" s="632"/>
    </row>
    <row r="120" spans="1:34" s="286" customFormat="1" ht="18" customHeight="1">
      <c r="A120" s="666"/>
      <c r="B120" s="289">
        <v>0</v>
      </c>
      <c r="C120" s="291"/>
      <c r="D120" s="168"/>
      <c r="E120" s="169"/>
      <c r="F120" s="183" t="s">
        <v>253</v>
      </c>
      <c r="G120" s="297"/>
      <c r="H120" s="298">
        <f>F120*G120</f>
        <v>0</v>
      </c>
      <c r="I120" s="97"/>
      <c r="J120" s="233"/>
      <c r="K120" s="299"/>
      <c r="L120" s="87"/>
      <c r="M120" s="137"/>
      <c r="N120" s="234"/>
      <c r="O120" s="292"/>
      <c r="P120" s="218"/>
      <c r="Q120" s="90"/>
      <c r="R120" s="91"/>
      <c r="S120" s="651"/>
      <c r="T120" s="295"/>
      <c r="U120" s="295"/>
      <c r="V120" s="296"/>
      <c r="W120" s="85">
        <f t="shared" si="72"/>
        <v>0</v>
      </c>
      <c r="X120" s="283"/>
      <c r="Y120" s="283"/>
      <c r="Z120" s="284"/>
      <c r="AA120" s="284"/>
      <c r="AB120" s="633"/>
      <c r="AC120" s="633"/>
      <c r="AD120" s="289"/>
      <c r="AE120" s="289"/>
      <c r="AF120" s="285"/>
      <c r="AG120" s="170"/>
      <c r="AH120" s="632"/>
    </row>
    <row r="121" spans="1:34" ht="18" customHeight="1">
      <c r="A121" s="667"/>
      <c r="B121" s="126">
        <v>0</v>
      </c>
      <c r="C121" s="138" t="s">
        <v>21</v>
      </c>
      <c r="D121" s="300" t="s">
        <v>220</v>
      </c>
      <c r="E121" s="301"/>
      <c r="F121" s="223"/>
      <c r="G121" s="302"/>
      <c r="H121" s="303"/>
      <c r="I121" s="304"/>
      <c r="J121" s="264">
        <v>17.600000000000001</v>
      </c>
      <c r="K121" s="264">
        <v>1452</v>
      </c>
      <c r="L121" s="265">
        <v>82.730650154798766</v>
      </c>
      <c r="M121" s="264">
        <f t="shared" ref="M121:O121" si="80">AVERAGE(M109:M120)</f>
        <v>17.399999999999999</v>
      </c>
      <c r="N121" s="264">
        <f t="shared" si="80"/>
        <v>1281.4790232217445</v>
      </c>
      <c r="O121" s="265">
        <f t="shared" si="80"/>
        <v>74.185054439558769</v>
      </c>
      <c r="P121" s="89">
        <f t="shared" ref="P121:P129" si="81">M121-J121</f>
        <v>-0.20000000000000284</v>
      </c>
      <c r="Q121" s="90">
        <f t="shared" ref="Q121:Q129" si="82">O121-L121</f>
        <v>-8.5455957152399975</v>
      </c>
      <c r="R121" s="227">
        <f t="shared" ref="R121:R129" si="83">O121/L121</f>
        <v>0.89670580734890659</v>
      </c>
      <c r="S121" s="661"/>
      <c r="T121" s="92"/>
      <c r="U121" s="92"/>
      <c r="V121" s="83"/>
      <c r="W121" s="85">
        <f t="shared" si="72"/>
        <v>0</v>
      </c>
      <c r="X121" s="87"/>
      <c r="Y121" s="87"/>
      <c r="Z121" s="145">
        <f>SUM(Z109:Z120)</f>
        <v>0</v>
      </c>
      <c r="AA121" s="145">
        <f>SUM(AA109:AA120)</f>
        <v>0</v>
      </c>
      <c r="AB121" s="663"/>
      <c r="AC121" s="664"/>
      <c r="AD121" s="146">
        <f>SUM(AD109:AD120)</f>
        <v>0</v>
      </c>
      <c r="AE121" s="146">
        <f>SUM(AE109:AE120)</f>
        <v>0</v>
      </c>
      <c r="AF121" s="89">
        <f>N121-K121</f>
        <v>-170.52097677825554</v>
      </c>
      <c r="AG121" s="170">
        <f>N121/K121</f>
        <v>0.8825613107587772</v>
      </c>
      <c r="AH121" s="632"/>
    </row>
    <row r="122" spans="1:34" ht="18" customHeight="1">
      <c r="A122" s="658" t="s">
        <v>231</v>
      </c>
      <c r="B122" s="175" t="s">
        <v>252</v>
      </c>
      <c r="C122" s="216"/>
      <c r="D122" s="231" t="s">
        <v>163</v>
      </c>
      <c r="E122" s="81"/>
      <c r="F122" s="82">
        <v>59.52</v>
      </c>
      <c r="G122" s="83">
        <v>1980</v>
      </c>
      <c r="H122" s="84">
        <f t="shared" ref="H122:H132" si="84">F122*G122</f>
        <v>117849.60000000001</v>
      </c>
      <c r="I122" s="65"/>
      <c r="J122" s="86">
        <v>19</v>
      </c>
      <c r="K122" s="83">
        <v>1385</v>
      </c>
      <c r="L122" s="87">
        <v>72.89473684210526</v>
      </c>
      <c r="M122" s="88">
        <v>19</v>
      </c>
      <c r="N122" s="229">
        <f t="shared" ref="N122:N129" si="85">G122/W122*60</f>
        <v>1200.0000000000005</v>
      </c>
      <c r="O122" s="305">
        <f t="shared" ref="O122:O129" si="86">N122/M122</f>
        <v>63.157894736842131</v>
      </c>
      <c r="P122" s="238">
        <f t="shared" si="81"/>
        <v>0</v>
      </c>
      <c r="Q122" s="239">
        <f t="shared" si="82"/>
        <v>-9.7368421052631291</v>
      </c>
      <c r="R122" s="240">
        <f t="shared" si="83"/>
        <v>0.86642599277978383</v>
      </c>
      <c r="S122" s="659">
        <f>R134</f>
        <v>0.81152962260753181</v>
      </c>
      <c r="T122" s="92">
        <v>0.5</v>
      </c>
      <c r="U122" s="92">
        <v>0.56874999999999998</v>
      </c>
      <c r="V122" s="296">
        <v>5</v>
      </c>
      <c r="W122" s="85">
        <f t="shared" si="72"/>
        <v>98.999999999999972</v>
      </c>
      <c r="X122" s="95"/>
      <c r="Y122" s="95"/>
      <c r="Z122" s="96"/>
      <c r="AA122" s="96"/>
      <c r="AB122" s="644"/>
      <c r="AC122" s="644"/>
      <c r="AD122" s="97"/>
      <c r="AE122" s="97"/>
      <c r="AF122" s="89">
        <f t="shared" si="63"/>
        <v>-184.99999999999955</v>
      </c>
      <c r="AG122" s="91">
        <f t="shared" si="64"/>
        <v>0.86642599277978372</v>
      </c>
      <c r="AH122" s="661">
        <f>AG134</f>
        <v>0.82574852212910899</v>
      </c>
    </row>
    <row r="123" spans="1:34" ht="18" customHeight="1">
      <c r="A123" s="658"/>
      <c r="B123" s="175" t="s">
        <v>252</v>
      </c>
      <c r="C123" s="176"/>
      <c r="D123" s="80" t="s">
        <v>164</v>
      </c>
      <c r="E123" s="232"/>
      <c r="F123" s="82">
        <v>58.67</v>
      </c>
      <c r="G123" s="83">
        <v>1432</v>
      </c>
      <c r="H123" s="84">
        <f t="shared" si="84"/>
        <v>84015.44</v>
      </c>
      <c r="I123" s="97"/>
      <c r="J123" s="130">
        <v>19</v>
      </c>
      <c r="K123" s="100">
        <v>1440</v>
      </c>
      <c r="L123" s="131">
        <v>75.78947368421052</v>
      </c>
      <c r="M123" s="137">
        <v>19</v>
      </c>
      <c r="N123" s="100">
        <f t="shared" si="85"/>
        <v>1301.8181818181831</v>
      </c>
      <c r="O123" s="131">
        <f t="shared" si="86"/>
        <v>68.516746411483325</v>
      </c>
      <c r="P123" s="96">
        <f t="shared" si="81"/>
        <v>0</v>
      </c>
      <c r="Q123" s="132">
        <f t="shared" si="82"/>
        <v>-7.2727272727271952</v>
      </c>
      <c r="R123" s="133">
        <f t="shared" si="83"/>
        <v>0.90404040404040509</v>
      </c>
      <c r="S123" s="659"/>
      <c r="T123" s="92">
        <v>0.5840277777777777</v>
      </c>
      <c r="U123" s="92">
        <v>0.62986111111111098</v>
      </c>
      <c r="V123" s="296">
        <v>22</v>
      </c>
      <c r="W123" s="85">
        <f>(U123-T123)*24*60</f>
        <v>65.999999999999929</v>
      </c>
      <c r="X123" s="95">
        <v>0.57222222222222219</v>
      </c>
      <c r="Y123" s="95">
        <v>0.58124999999999993</v>
      </c>
      <c r="Z123" s="96"/>
      <c r="AA123" s="96"/>
      <c r="AB123" s="644"/>
      <c r="AC123" s="644"/>
      <c r="AD123" s="97"/>
      <c r="AE123" s="97"/>
      <c r="AF123" s="89">
        <f t="shared" si="63"/>
        <v>-138.18181818181688</v>
      </c>
      <c r="AG123" s="91">
        <f t="shared" si="64"/>
        <v>0.90404040404040498</v>
      </c>
      <c r="AH123" s="659"/>
    </row>
    <row r="124" spans="1:34" ht="18" customHeight="1">
      <c r="A124" s="658"/>
      <c r="B124" s="175" t="s">
        <v>251</v>
      </c>
      <c r="C124" s="230"/>
      <c r="D124" s="231" t="s">
        <v>165</v>
      </c>
      <c r="E124" s="232"/>
      <c r="F124" s="82">
        <v>56.79</v>
      </c>
      <c r="G124" s="229">
        <v>1058</v>
      </c>
      <c r="H124" s="84">
        <f t="shared" si="84"/>
        <v>60083.82</v>
      </c>
      <c r="I124" s="306"/>
      <c r="J124" s="130">
        <v>18</v>
      </c>
      <c r="K124" s="100">
        <v>1636</v>
      </c>
      <c r="L124" s="131">
        <v>90.888888888888886</v>
      </c>
      <c r="M124" s="88">
        <v>18</v>
      </c>
      <c r="N124" s="229">
        <f t="shared" si="85"/>
        <v>1295.5102040816332</v>
      </c>
      <c r="O124" s="305">
        <f t="shared" si="86"/>
        <v>71.972789115646293</v>
      </c>
      <c r="P124" s="238">
        <f t="shared" si="81"/>
        <v>0</v>
      </c>
      <c r="Q124" s="239">
        <f t="shared" si="82"/>
        <v>-18.916099773242593</v>
      </c>
      <c r="R124" s="240">
        <f t="shared" si="83"/>
        <v>0.79187665286163411</v>
      </c>
      <c r="S124" s="660"/>
      <c r="T124" s="92">
        <v>0.70833333333333337</v>
      </c>
      <c r="U124" s="92">
        <v>0.74236111111111114</v>
      </c>
      <c r="V124" s="296">
        <v>5</v>
      </c>
      <c r="W124" s="307">
        <f>(U124-T124)*24*60</f>
        <v>48.999999999999986</v>
      </c>
      <c r="X124" s="249"/>
      <c r="Y124" s="249"/>
      <c r="Z124" s="96"/>
      <c r="AA124" s="96"/>
      <c r="AB124" s="657"/>
      <c r="AC124" s="657"/>
      <c r="AD124" s="97"/>
      <c r="AE124" s="97"/>
      <c r="AF124" s="238">
        <f t="shared" si="63"/>
        <v>-340.48979591836678</v>
      </c>
      <c r="AG124" s="240">
        <f t="shared" si="64"/>
        <v>0.791876652861634</v>
      </c>
      <c r="AH124" s="659"/>
    </row>
    <row r="125" spans="1:34" ht="18" customHeight="1">
      <c r="A125" s="658"/>
      <c r="B125" s="175" t="s">
        <v>251</v>
      </c>
      <c r="C125" s="176"/>
      <c r="D125" s="80" t="s">
        <v>166</v>
      </c>
      <c r="E125" s="81"/>
      <c r="F125" s="82">
        <v>56.87</v>
      </c>
      <c r="G125" s="83">
        <v>807</v>
      </c>
      <c r="H125" s="84">
        <f t="shared" si="84"/>
        <v>45894.09</v>
      </c>
      <c r="I125" s="65"/>
      <c r="J125" s="130">
        <v>18</v>
      </c>
      <c r="K125" s="100">
        <v>1636</v>
      </c>
      <c r="L125" s="131">
        <v>90.888888888888886</v>
      </c>
      <c r="M125" s="88">
        <v>19</v>
      </c>
      <c r="N125" s="100">
        <f t="shared" si="85"/>
        <v>1241.538461538461</v>
      </c>
      <c r="O125" s="131">
        <f t="shared" si="86"/>
        <v>65.344129554655837</v>
      </c>
      <c r="P125" s="96">
        <f t="shared" si="81"/>
        <v>1</v>
      </c>
      <c r="Q125" s="132">
        <f t="shared" si="82"/>
        <v>-25.544759334233049</v>
      </c>
      <c r="R125" s="133">
        <f t="shared" si="83"/>
        <v>0.71894519069914742</v>
      </c>
      <c r="S125" s="660"/>
      <c r="T125" s="92">
        <v>0.74722222222222223</v>
      </c>
      <c r="U125" s="92">
        <v>0.77430555555555558</v>
      </c>
      <c r="V125" s="296">
        <v>7</v>
      </c>
      <c r="W125" s="307">
        <f t="shared" ref="W125:W133" si="87">(U125-T125)*24*60</f>
        <v>39.000000000000021</v>
      </c>
      <c r="X125" s="108"/>
      <c r="Y125" s="108"/>
      <c r="Z125" s="96"/>
      <c r="AA125" s="96"/>
      <c r="AB125" s="657"/>
      <c r="AC125" s="657"/>
      <c r="AD125" s="97"/>
      <c r="AE125" s="97"/>
      <c r="AF125" s="89">
        <f t="shared" si="63"/>
        <v>-394.46153846153902</v>
      </c>
      <c r="AG125" s="91">
        <f t="shared" si="64"/>
        <v>0.75888659018243332</v>
      </c>
      <c r="AH125" s="662"/>
    </row>
    <row r="126" spans="1:34" ht="18" customHeight="1">
      <c r="A126" s="658"/>
      <c r="B126" s="175" t="s">
        <v>251</v>
      </c>
      <c r="C126" s="97"/>
      <c r="D126" s="80" t="s">
        <v>167</v>
      </c>
      <c r="E126" s="232"/>
      <c r="F126" s="82">
        <v>47.6</v>
      </c>
      <c r="G126" s="100">
        <v>1145</v>
      </c>
      <c r="H126" s="84">
        <f t="shared" si="84"/>
        <v>54502</v>
      </c>
      <c r="I126" s="97"/>
      <c r="J126" s="130">
        <v>18</v>
      </c>
      <c r="K126" s="100">
        <v>1440</v>
      </c>
      <c r="L126" s="131">
        <v>80</v>
      </c>
      <c r="M126" s="137">
        <v>17</v>
      </c>
      <c r="N126" s="100">
        <f t="shared" si="85"/>
        <v>1296.2264150943402</v>
      </c>
      <c r="O126" s="131">
        <f t="shared" si="86"/>
        <v>76.248612652608244</v>
      </c>
      <c r="P126" s="96">
        <f t="shared" si="81"/>
        <v>-1</v>
      </c>
      <c r="Q126" s="132">
        <f t="shared" si="82"/>
        <v>-3.7513873473917556</v>
      </c>
      <c r="R126" s="133">
        <f t="shared" si="83"/>
        <v>0.95310765815760301</v>
      </c>
      <c r="S126" s="660"/>
      <c r="T126" s="92">
        <v>0.77986111111111112</v>
      </c>
      <c r="U126" s="92">
        <v>0.81666666666666665</v>
      </c>
      <c r="V126" s="296">
        <v>8</v>
      </c>
      <c r="W126" s="307">
        <f t="shared" si="87"/>
        <v>52.999999999999972</v>
      </c>
      <c r="X126" s="108"/>
      <c r="Y126" s="108"/>
      <c r="Z126" s="96"/>
      <c r="AA126" s="96"/>
      <c r="AB126" s="657"/>
      <c r="AC126" s="657"/>
      <c r="AD126" s="97"/>
      <c r="AE126" s="97"/>
      <c r="AF126" s="238">
        <f t="shared" si="63"/>
        <v>-143.77358490565985</v>
      </c>
      <c r="AG126" s="240">
        <f t="shared" si="64"/>
        <v>0.90015723270440284</v>
      </c>
      <c r="AH126" s="662"/>
    </row>
    <row r="127" spans="1:34" ht="18" customHeight="1">
      <c r="A127" s="658"/>
      <c r="B127" s="175" t="s">
        <v>251</v>
      </c>
      <c r="C127" s="291"/>
      <c r="D127" s="168" t="s">
        <v>168</v>
      </c>
      <c r="E127" s="169"/>
      <c r="F127" s="82">
        <v>44.3</v>
      </c>
      <c r="G127" s="272">
        <v>444</v>
      </c>
      <c r="H127" s="84">
        <f t="shared" si="84"/>
        <v>19669.199999999997</v>
      </c>
      <c r="I127" s="289"/>
      <c r="J127" s="130">
        <v>17</v>
      </c>
      <c r="K127" s="100">
        <v>1636</v>
      </c>
      <c r="L127" s="131">
        <v>96.235294117647058</v>
      </c>
      <c r="M127" s="88">
        <v>17</v>
      </c>
      <c r="N127" s="229">
        <f t="shared" si="85"/>
        <v>1065.599999999997</v>
      </c>
      <c r="O127" s="305">
        <f t="shared" si="86"/>
        <v>62.682352941176291</v>
      </c>
      <c r="P127" s="238">
        <f t="shared" si="81"/>
        <v>0</v>
      </c>
      <c r="Q127" s="239">
        <f t="shared" si="82"/>
        <v>-33.552941176470767</v>
      </c>
      <c r="R127" s="240">
        <f t="shared" si="83"/>
        <v>0.65134474327628178</v>
      </c>
      <c r="S127" s="660"/>
      <c r="T127" s="92">
        <v>0.83263888888888893</v>
      </c>
      <c r="U127" s="92">
        <v>0.85000000000000009</v>
      </c>
      <c r="V127" s="65">
        <v>23</v>
      </c>
      <c r="W127" s="307">
        <f t="shared" si="87"/>
        <v>25.000000000000071</v>
      </c>
      <c r="X127" s="108">
        <v>0.82013888888888886</v>
      </c>
      <c r="Y127" s="108">
        <v>0.82986111111111116</v>
      </c>
      <c r="Z127" s="96"/>
      <c r="AA127" s="96"/>
      <c r="AB127" s="657"/>
      <c r="AC127" s="657"/>
      <c r="AD127" s="97"/>
      <c r="AE127" s="97"/>
      <c r="AF127" s="238">
        <f t="shared" si="63"/>
        <v>-570.40000000000305</v>
      </c>
      <c r="AG127" s="240">
        <f t="shared" si="64"/>
        <v>0.65134474327628178</v>
      </c>
      <c r="AH127" s="662"/>
    </row>
    <row r="128" spans="1:34" ht="18" customHeight="1">
      <c r="A128" s="658"/>
      <c r="B128" s="175" t="s">
        <v>251</v>
      </c>
      <c r="C128" s="209"/>
      <c r="D128" s="102" t="s">
        <v>148</v>
      </c>
      <c r="E128" s="169"/>
      <c r="F128" s="82">
        <v>50.98</v>
      </c>
      <c r="G128" s="100">
        <v>1499</v>
      </c>
      <c r="H128" s="84">
        <f t="shared" si="84"/>
        <v>76419.01999999999</v>
      </c>
      <c r="I128" s="97"/>
      <c r="J128" s="130">
        <v>18</v>
      </c>
      <c r="K128" s="100">
        <v>1440</v>
      </c>
      <c r="L128" s="131">
        <v>80</v>
      </c>
      <c r="M128" s="130">
        <v>19</v>
      </c>
      <c r="N128" s="100">
        <f t="shared" si="85"/>
        <v>1342.3880597014943</v>
      </c>
      <c r="O128" s="131">
        <f t="shared" si="86"/>
        <v>70.652003142183915</v>
      </c>
      <c r="P128" s="96">
        <f t="shared" si="81"/>
        <v>1</v>
      </c>
      <c r="Q128" s="132">
        <f t="shared" si="82"/>
        <v>-9.347996857816085</v>
      </c>
      <c r="R128" s="133">
        <f t="shared" si="83"/>
        <v>0.88315003927729896</v>
      </c>
      <c r="S128" s="660"/>
      <c r="T128" s="92">
        <v>0.85555555555555562</v>
      </c>
      <c r="U128" s="92">
        <v>0.90208333333333335</v>
      </c>
      <c r="V128" s="65">
        <v>8</v>
      </c>
      <c r="W128" s="307">
        <f t="shared" si="87"/>
        <v>66.999999999999915</v>
      </c>
      <c r="X128" s="108"/>
      <c r="Y128" s="108"/>
      <c r="Z128" s="96"/>
      <c r="AA128" s="96"/>
      <c r="AB128" s="657"/>
      <c r="AC128" s="657"/>
      <c r="AD128" s="97"/>
      <c r="AE128" s="97"/>
      <c r="AF128" s="238">
        <f t="shared" si="63"/>
        <v>-97.611940298505715</v>
      </c>
      <c r="AG128" s="240">
        <f t="shared" si="64"/>
        <v>0.93221393034825994</v>
      </c>
      <c r="AH128" s="662"/>
    </row>
    <row r="129" spans="1:34" ht="18" customHeight="1">
      <c r="A129" s="658"/>
      <c r="B129" s="175" t="s">
        <v>251</v>
      </c>
      <c r="C129" s="209"/>
      <c r="D129" s="102" t="s">
        <v>175</v>
      </c>
      <c r="E129" s="103"/>
      <c r="F129" s="82">
        <v>57.3</v>
      </c>
      <c r="G129" s="100">
        <v>1595</v>
      </c>
      <c r="H129" s="84">
        <f t="shared" si="84"/>
        <v>91393.5</v>
      </c>
      <c r="I129" s="97"/>
      <c r="J129" s="130">
        <v>15</v>
      </c>
      <c r="K129" s="100">
        <v>1500</v>
      </c>
      <c r="L129" s="131">
        <v>100</v>
      </c>
      <c r="M129" s="137">
        <v>16</v>
      </c>
      <c r="N129" s="100">
        <f t="shared" si="85"/>
        <v>1259.2105263157887</v>
      </c>
      <c r="O129" s="131">
        <f t="shared" si="86"/>
        <v>78.700657894736793</v>
      </c>
      <c r="P129" s="96">
        <f t="shared" si="81"/>
        <v>1</v>
      </c>
      <c r="Q129" s="132">
        <f t="shared" si="82"/>
        <v>-21.299342105263207</v>
      </c>
      <c r="R129" s="133">
        <f t="shared" si="83"/>
        <v>0.78700657894736792</v>
      </c>
      <c r="S129" s="660"/>
      <c r="T129" s="92">
        <v>0.90694444444444444</v>
      </c>
      <c r="U129" s="92">
        <v>0.95972222222222225</v>
      </c>
      <c r="V129" s="65">
        <v>7</v>
      </c>
      <c r="W129" s="307">
        <f t="shared" si="87"/>
        <v>76.000000000000057</v>
      </c>
      <c r="X129" s="108"/>
      <c r="Y129" s="108"/>
      <c r="Z129" s="96"/>
      <c r="AA129" s="96"/>
      <c r="AB129" s="657"/>
      <c r="AC129" s="657"/>
      <c r="AD129" s="97"/>
      <c r="AE129" s="97"/>
      <c r="AF129" s="238"/>
      <c r="AG129" s="240"/>
      <c r="AH129" s="662"/>
    </row>
    <row r="130" spans="1:34" ht="18" customHeight="1">
      <c r="A130" s="658"/>
      <c r="B130" s="262">
        <v>0</v>
      </c>
      <c r="C130" s="209"/>
      <c r="D130" s="102"/>
      <c r="E130" s="103"/>
      <c r="F130" s="82" t="s">
        <v>253</v>
      </c>
      <c r="G130" s="100"/>
      <c r="H130" s="84">
        <f t="shared" si="84"/>
        <v>0</v>
      </c>
      <c r="I130" s="97"/>
      <c r="J130" s="86"/>
      <c r="K130" s="100"/>
      <c r="L130" s="131"/>
      <c r="M130" s="137"/>
      <c r="N130" s="83"/>
      <c r="O130" s="87"/>
      <c r="P130" s="89"/>
      <c r="Q130" s="90"/>
      <c r="R130" s="91"/>
      <c r="S130" s="660"/>
      <c r="T130" s="92"/>
      <c r="U130" s="92"/>
      <c r="V130" s="65"/>
      <c r="W130" s="307">
        <f t="shared" si="87"/>
        <v>0</v>
      </c>
      <c r="X130" s="108"/>
      <c r="Y130" s="108"/>
      <c r="Z130" s="96"/>
      <c r="AA130" s="96"/>
      <c r="AB130" s="657"/>
      <c r="AC130" s="657"/>
      <c r="AD130" s="97"/>
      <c r="AE130" s="97"/>
      <c r="AF130" s="118"/>
      <c r="AG130" s="125"/>
      <c r="AH130" s="662"/>
    </row>
    <row r="131" spans="1:34" ht="18" customHeight="1">
      <c r="A131" s="658"/>
      <c r="B131" s="262">
        <v>0</v>
      </c>
      <c r="C131" s="209"/>
      <c r="D131" s="102"/>
      <c r="E131" s="169"/>
      <c r="F131" s="82" t="s">
        <v>253</v>
      </c>
      <c r="G131" s="272"/>
      <c r="H131" s="84">
        <f t="shared" si="84"/>
        <v>0</v>
      </c>
      <c r="I131" s="289"/>
      <c r="J131" s="86"/>
      <c r="K131" s="83"/>
      <c r="L131" s="87"/>
      <c r="M131" s="130"/>
      <c r="N131" s="83"/>
      <c r="O131" s="87"/>
      <c r="P131" s="89"/>
      <c r="Q131" s="90"/>
      <c r="R131" s="91"/>
      <c r="S131" s="660"/>
      <c r="T131" s="92"/>
      <c r="U131" s="92"/>
      <c r="V131" s="65"/>
      <c r="W131" s="307">
        <f t="shared" si="87"/>
        <v>0</v>
      </c>
      <c r="X131" s="108"/>
      <c r="Y131" s="108"/>
      <c r="Z131" s="96"/>
      <c r="AA131" s="96"/>
      <c r="AB131" s="657"/>
      <c r="AC131" s="657"/>
      <c r="AD131" s="97"/>
      <c r="AE131" s="97"/>
      <c r="AF131" s="118"/>
      <c r="AG131" s="125"/>
      <c r="AH131" s="662"/>
    </row>
    <row r="132" spans="1:34" ht="18" customHeight="1">
      <c r="A132" s="658"/>
      <c r="B132" s="262">
        <v>0</v>
      </c>
      <c r="C132" s="209"/>
      <c r="D132" s="102"/>
      <c r="E132" s="103"/>
      <c r="F132" s="82" t="s">
        <v>253</v>
      </c>
      <c r="G132" s="100"/>
      <c r="H132" s="84">
        <f t="shared" si="84"/>
        <v>0</v>
      </c>
      <c r="I132" s="97"/>
      <c r="J132" s="130"/>
      <c r="K132" s="100"/>
      <c r="L132" s="131"/>
      <c r="M132" s="137"/>
      <c r="N132" s="100"/>
      <c r="O132" s="131"/>
      <c r="P132" s="96"/>
      <c r="Q132" s="132"/>
      <c r="R132" s="133"/>
      <c r="S132" s="660"/>
      <c r="T132" s="92"/>
      <c r="U132" s="92"/>
      <c r="V132" s="65"/>
      <c r="W132" s="307">
        <f t="shared" si="87"/>
        <v>0</v>
      </c>
      <c r="X132" s="108"/>
      <c r="Y132" s="108"/>
      <c r="Z132" s="96"/>
      <c r="AA132" s="96"/>
      <c r="AB132" s="657"/>
      <c r="AC132" s="657"/>
      <c r="AD132" s="97"/>
      <c r="AE132" s="97"/>
      <c r="AF132" s="118"/>
      <c r="AG132" s="125"/>
      <c r="AH132" s="662"/>
    </row>
    <row r="133" spans="1:34" ht="18" customHeight="1">
      <c r="A133" s="658"/>
      <c r="B133" s="262">
        <v>0</v>
      </c>
      <c r="C133" s="209"/>
      <c r="D133" s="102"/>
      <c r="E133" s="103"/>
      <c r="F133" s="308" t="s">
        <v>253</v>
      </c>
      <c r="G133" s="100"/>
      <c r="H133" s="309">
        <f>F133*G133</f>
        <v>0</v>
      </c>
      <c r="I133" s="97"/>
      <c r="J133" s="130"/>
      <c r="K133" s="100"/>
      <c r="L133" s="131"/>
      <c r="M133" s="137"/>
      <c r="N133" s="100"/>
      <c r="O133" s="131"/>
      <c r="P133" s="96"/>
      <c r="Q133" s="132"/>
      <c r="R133" s="133"/>
      <c r="S133" s="660"/>
      <c r="T133" s="92"/>
      <c r="U133" s="92"/>
      <c r="V133" s="65"/>
      <c r="W133" s="307">
        <f t="shared" si="87"/>
        <v>0</v>
      </c>
      <c r="X133" s="108"/>
      <c r="Y133" s="108"/>
      <c r="Z133" s="96"/>
      <c r="AA133" s="96"/>
      <c r="AB133" s="657"/>
      <c r="AC133" s="657"/>
      <c r="AD133" s="97"/>
      <c r="AE133" s="97"/>
      <c r="AF133" s="118"/>
      <c r="AG133" s="125"/>
      <c r="AH133" s="662"/>
    </row>
    <row r="134" spans="1:34" ht="18" customHeight="1">
      <c r="A134" s="658"/>
      <c r="B134" s="222">
        <v>0</v>
      </c>
      <c r="C134" s="138" t="s">
        <v>22</v>
      </c>
      <c r="D134" s="630" t="s">
        <v>220</v>
      </c>
      <c r="E134" s="630"/>
      <c r="F134" s="243"/>
      <c r="G134" s="140"/>
      <c r="H134" s="141"/>
      <c r="I134" s="310"/>
      <c r="J134" s="311">
        <v>17.75</v>
      </c>
      <c r="K134" s="311">
        <v>1514.125</v>
      </c>
      <c r="L134" s="312">
        <v>85.837160302717578</v>
      </c>
      <c r="M134" s="311">
        <f t="shared" ref="M134:O134" si="88">AVERAGE(M122:M133)</f>
        <v>18</v>
      </c>
      <c r="N134" s="311">
        <f t="shared" si="88"/>
        <v>1250.2864810687372</v>
      </c>
      <c r="O134" s="312">
        <f t="shared" si="88"/>
        <v>69.659398306166608</v>
      </c>
      <c r="P134" s="93">
        <f t="shared" ref="P134:P144" si="89">M134-J134</f>
        <v>0.25</v>
      </c>
      <c r="Q134" s="189">
        <f t="shared" ref="Q134:Q144" si="90">O134-L134</f>
        <v>-16.17776199655097</v>
      </c>
      <c r="R134" s="313">
        <f t="shared" ref="R134:R144" si="91">O134/L134</f>
        <v>0.81152962260753181</v>
      </c>
      <c r="S134" s="659"/>
      <c r="T134" s="92"/>
      <c r="U134" s="92"/>
      <c r="V134" s="65"/>
      <c r="W134" s="65"/>
      <c r="X134" s="95"/>
      <c r="Y134" s="95"/>
      <c r="Z134" s="145">
        <f>SUM(Z122:Z133)</f>
        <v>0</v>
      </c>
      <c r="AA134" s="145">
        <f>SUM(AA122:AA133)</f>
        <v>0</v>
      </c>
      <c r="AB134" s="644"/>
      <c r="AC134" s="644"/>
      <c r="AD134" s="146">
        <f>SUM(AD122:AD133)</f>
        <v>0</v>
      </c>
      <c r="AE134" s="146">
        <f>SUM(AE122:AE133)</f>
        <v>0</v>
      </c>
      <c r="AF134" s="89">
        <f t="shared" si="63"/>
        <v>-263.8385189312628</v>
      </c>
      <c r="AG134" s="91">
        <f t="shared" si="64"/>
        <v>0.82574852212910899</v>
      </c>
      <c r="AH134" s="662"/>
    </row>
    <row r="135" spans="1:34" ht="18" customHeight="1">
      <c r="A135" s="647" t="s">
        <v>232</v>
      </c>
      <c r="B135" s="65" t="s">
        <v>251</v>
      </c>
      <c r="C135" s="97"/>
      <c r="D135" s="168" t="s">
        <v>151</v>
      </c>
      <c r="E135" s="169"/>
      <c r="F135" s="82">
        <v>53.68</v>
      </c>
      <c r="G135" s="100">
        <v>1098</v>
      </c>
      <c r="H135" s="314">
        <f t="shared" ref="H135:H146" si="92">F135*G135</f>
        <v>58940.639999999999</v>
      </c>
      <c r="I135" s="97"/>
      <c r="J135" s="86">
        <v>16</v>
      </c>
      <c r="K135" s="100">
        <v>1500</v>
      </c>
      <c r="L135" s="131">
        <v>93.75</v>
      </c>
      <c r="M135" s="155">
        <v>16</v>
      </c>
      <c r="N135" s="100">
        <f t="shared" ref="N135:N144" si="93">G135/W135*60</f>
        <v>1317.6000000000004</v>
      </c>
      <c r="O135" s="157">
        <f t="shared" ref="O135:O144" si="94">N135/M135</f>
        <v>82.350000000000023</v>
      </c>
      <c r="P135" s="96">
        <f t="shared" si="89"/>
        <v>0</v>
      </c>
      <c r="Q135" s="132">
        <f t="shared" si="90"/>
        <v>-11.399999999999977</v>
      </c>
      <c r="R135" s="133">
        <f t="shared" si="91"/>
        <v>0.87840000000000029</v>
      </c>
      <c r="S135" s="651">
        <f>R147</f>
        <v>0.87414704349671668</v>
      </c>
      <c r="T135" s="315">
        <v>0.5</v>
      </c>
      <c r="U135" s="92">
        <v>0.53472222222222221</v>
      </c>
      <c r="V135" s="192">
        <v>5</v>
      </c>
      <c r="W135" s="316">
        <f t="shared" ref="W135:W147" si="95">(U135-T135)*24*60</f>
        <v>49.999999999999986</v>
      </c>
      <c r="X135" s="213"/>
      <c r="Y135" s="213"/>
      <c r="Z135" s="96"/>
      <c r="AA135" s="96"/>
      <c r="AB135" s="654"/>
      <c r="AC135" s="654"/>
      <c r="AD135" s="97"/>
      <c r="AE135" s="97"/>
      <c r="AF135" s="158">
        <f t="shared" si="63"/>
        <v>-182.39999999999964</v>
      </c>
      <c r="AG135" s="163">
        <f t="shared" si="64"/>
        <v>0.87840000000000029</v>
      </c>
      <c r="AH135" s="632">
        <f>AG147</f>
        <v>0.86600893331065221</v>
      </c>
    </row>
    <row r="136" spans="1:34" ht="20.399999999999999" customHeight="1">
      <c r="A136" s="648"/>
      <c r="B136" s="65" t="s">
        <v>251</v>
      </c>
      <c r="C136" s="97"/>
      <c r="D136" s="168" t="s">
        <v>171</v>
      </c>
      <c r="E136" s="317"/>
      <c r="F136" s="82">
        <v>57.734999999999999</v>
      </c>
      <c r="G136" s="100">
        <v>2051</v>
      </c>
      <c r="H136" s="129">
        <f t="shared" si="92"/>
        <v>118414.485</v>
      </c>
      <c r="I136" s="97"/>
      <c r="J136" s="86">
        <v>16</v>
      </c>
      <c r="K136" s="100">
        <v>1565</v>
      </c>
      <c r="L136" s="131">
        <v>97.8125</v>
      </c>
      <c r="M136" s="137">
        <v>15</v>
      </c>
      <c r="N136" s="100">
        <f t="shared" si="93"/>
        <v>1367.3333333333333</v>
      </c>
      <c r="O136" s="131">
        <f t="shared" si="94"/>
        <v>91.155555555555551</v>
      </c>
      <c r="P136" s="96">
        <f t="shared" si="89"/>
        <v>-1</v>
      </c>
      <c r="Q136" s="132">
        <f t="shared" si="90"/>
        <v>-6.6569444444444485</v>
      </c>
      <c r="R136" s="133">
        <f t="shared" si="91"/>
        <v>0.93194178203762867</v>
      </c>
      <c r="S136" s="651"/>
      <c r="T136" s="315">
        <v>0.54027777777777775</v>
      </c>
      <c r="U136" s="92">
        <v>0.60277777777777775</v>
      </c>
      <c r="V136" s="192">
        <v>8</v>
      </c>
      <c r="W136" s="85">
        <f t="shared" si="95"/>
        <v>90</v>
      </c>
      <c r="X136" s="95"/>
      <c r="Y136" s="95"/>
      <c r="Z136" s="96"/>
      <c r="AA136" s="96"/>
      <c r="AB136" s="644"/>
      <c r="AC136" s="644"/>
      <c r="AD136" s="97"/>
      <c r="AE136" s="97"/>
      <c r="AF136" s="89">
        <f t="shared" si="63"/>
        <v>-197.66666666666674</v>
      </c>
      <c r="AG136" s="170">
        <f t="shared" si="64"/>
        <v>0.87369542066027683</v>
      </c>
      <c r="AH136" s="632"/>
    </row>
    <row r="137" spans="1:34" ht="18" customHeight="1">
      <c r="A137" s="648"/>
      <c r="B137" s="65" t="s">
        <v>251</v>
      </c>
      <c r="C137" s="97"/>
      <c r="D137" s="168" t="s">
        <v>150</v>
      </c>
      <c r="E137" s="169"/>
      <c r="F137" s="82">
        <v>53.27</v>
      </c>
      <c r="G137" s="272">
        <v>305.52</v>
      </c>
      <c r="H137" s="129">
        <f t="shared" si="92"/>
        <v>16275.0504</v>
      </c>
      <c r="I137" s="289"/>
      <c r="J137" s="86">
        <v>17</v>
      </c>
      <c r="K137" s="83">
        <v>1500</v>
      </c>
      <c r="L137" s="87">
        <v>88.235294117647058</v>
      </c>
      <c r="M137" s="130">
        <v>17</v>
      </c>
      <c r="N137" s="100">
        <f t="shared" si="93"/>
        <v>1222.0800000000042</v>
      </c>
      <c r="O137" s="131">
        <f t="shared" si="94"/>
        <v>71.887058823529657</v>
      </c>
      <c r="P137" s="96">
        <f t="shared" si="89"/>
        <v>0</v>
      </c>
      <c r="Q137" s="132">
        <f t="shared" si="90"/>
        <v>-16.348235294117401</v>
      </c>
      <c r="R137" s="133">
        <f t="shared" si="91"/>
        <v>0.81472000000000278</v>
      </c>
      <c r="S137" s="651"/>
      <c r="T137" s="92">
        <v>0.61805555555555547</v>
      </c>
      <c r="U137" s="92">
        <v>0.6284722222222221</v>
      </c>
      <c r="V137" s="318">
        <v>22</v>
      </c>
      <c r="W137" s="85">
        <f t="shared" si="95"/>
        <v>14.999999999999947</v>
      </c>
      <c r="X137" s="95">
        <v>0.60625000000000007</v>
      </c>
      <c r="Y137" s="95">
        <v>0.61527777777777781</v>
      </c>
      <c r="Z137" s="96"/>
      <c r="AA137" s="96"/>
      <c r="AB137" s="644"/>
      <c r="AC137" s="644"/>
      <c r="AD137" s="97"/>
      <c r="AE137" s="97"/>
      <c r="AF137" s="89">
        <f t="shared" si="63"/>
        <v>-277.91999999999575</v>
      </c>
      <c r="AG137" s="170">
        <f t="shared" si="64"/>
        <v>0.81472000000000289</v>
      </c>
      <c r="AH137" s="632"/>
    </row>
    <row r="138" spans="1:34" ht="18" customHeight="1">
      <c r="A138" s="648"/>
      <c r="B138" s="65" t="s">
        <v>251</v>
      </c>
      <c r="C138" s="291"/>
      <c r="D138" s="168" t="s">
        <v>172</v>
      </c>
      <c r="E138" s="169"/>
      <c r="F138" s="82">
        <v>50.67</v>
      </c>
      <c r="G138" s="100">
        <v>758</v>
      </c>
      <c r="H138" s="129">
        <f t="shared" si="92"/>
        <v>38407.86</v>
      </c>
      <c r="I138" s="97"/>
      <c r="J138" s="130">
        <v>17</v>
      </c>
      <c r="K138" s="100">
        <v>1500</v>
      </c>
      <c r="L138" s="131">
        <v>88.235294117647058</v>
      </c>
      <c r="M138" s="155">
        <v>17</v>
      </c>
      <c r="N138" s="100">
        <f t="shared" si="93"/>
        <v>1263.3333333333323</v>
      </c>
      <c r="O138" s="131">
        <f t="shared" si="94"/>
        <v>74.31372549019602</v>
      </c>
      <c r="P138" s="96">
        <f t="shared" si="89"/>
        <v>0</v>
      </c>
      <c r="Q138" s="132">
        <f t="shared" si="90"/>
        <v>-13.921568627451038</v>
      </c>
      <c r="R138" s="242">
        <f t="shared" si="91"/>
        <v>0.84222222222222154</v>
      </c>
      <c r="S138" s="651"/>
      <c r="T138" s="92">
        <v>0.70833333333333337</v>
      </c>
      <c r="U138" s="92">
        <v>0.73333333333333339</v>
      </c>
      <c r="V138" s="318">
        <v>5</v>
      </c>
      <c r="W138" s="85">
        <f t="shared" si="95"/>
        <v>36.000000000000028</v>
      </c>
      <c r="X138" s="95"/>
      <c r="Y138" s="95"/>
      <c r="Z138" s="96"/>
      <c r="AA138" s="96"/>
      <c r="AB138" s="644"/>
      <c r="AC138" s="644"/>
      <c r="AD138" s="97"/>
      <c r="AE138" s="97"/>
      <c r="AF138" s="89">
        <f t="shared" si="63"/>
        <v>-236.66666666666765</v>
      </c>
      <c r="AG138" s="170">
        <f t="shared" si="64"/>
        <v>0.84222222222222154</v>
      </c>
      <c r="AH138" s="632"/>
    </row>
    <row r="139" spans="1:34" ht="18" customHeight="1">
      <c r="A139" s="648"/>
      <c r="B139" s="65" t="s">
        <v>251</v>
      </c>
      <c r="C139" s="219"/>
      <c r="D139" s="80" t="s">
        <v>173</v>
      </c>
      <c r="E139" s="81"/>
      <c r="F139" s="82">
        <v>54.09</v>
      </c>
      <c r="G139" s="100">
        <v>942</v>
      </c>
      <c r="H139" s="129">
        <f t="shared" si="92"/>
        <v>50952.780000000006</v>
      </c>
      <c r="I139" s="97"/>
      <c r="J139" s="86">
        <v>18</v>
      </c>
      <c r="K139" s="83">
        <v>1500</v>
      </c>
      <c r="L139" s="87">
        <v>83.333333333333329</v>
      </c>
      <c r="M139" s="155">
        <v>18</v>
      </c>
      <c r="N139" s="100">
        <f t="shared" si="93"/>
        <v>1256</v>
      </c>
      <c r="O139" s="131">
        <f t="shared" si="94"/>
        <v>69.777777777777771</v>
      </c>
      <c r="P139" s="96">
        <f t="shared" si="89"/>
        <v>0</v>
      </c>
      <c r="Q139" s="132">
        <f t="shared" si="90"/>
        <v>-13.555555555555557</v>
      </c>
      <c r="R139" s="133">
        <f t="shared" si="91"/>
        <v>0.83733333333333326</v>
      </c>
      <c r="S139" s="651"/>
      <c r="T139" s="92">
        <v>0.73819444444444449</v>
      </c>
      <c r="U139" s="92">
        <v>0.76944444444444449</v>
      </c>
      <c r="V139" s="319">
        <v>7</v>
      </c>
      <c r="W139" s="85">
        <f t="shared" si="95"/>
        <v>45</v>
      </c>
      <c r="X139" s="95"/>
      <c r="Y139" s="95"/>
      <c r="Z139" s="96"/>
      <c r="AA139" s="96"/>
      <c r="AB139" s="654"/>
      <c r="AC139" s="654"/>
      <c r="AD139" s="97"/>
      <c r="AE139" s="97"/>
      <c r="AF139" s="89">
        <f t="shared" si="63"/>
        <v>-244</v>
      </c>
      <c r="AG139" s="170">
        <f t="shared" si="64"/>
        <v>0.83733333333333337</v>
      </c>
      <c r="AH139" s="632"/>
    </row>
    <row r="140" spans="1:34" ht="18" customHeight="1">
      <c r="A140" s="649"/>
      <c r="B140" s="65" t="s">
        <v>251</v>
      </c>
      <c r="C140" s="219"/>
      <c r="D140" s="320" t="s">
        <v>178</v>
      </c>
      <c r="E140" s="169"/>
      <c r="F140" s="82">
        <v>50.92</v>
      </c>
      <c r="G140" s="100">
        <v>1897</v>
      </c>
      <c r="H140" s="129">
        <f t="shared" si="92"/>
        <v>96595.24</v>
      </c>
      <c r="I140" s="97"/>
      <c r="J140" s="130">
        <v>17</v>
      </c>
      <c r="K140" s="100">
        <v>1440</v>
      </c>
      <c r="L140" s="131">
        <v>84.705882352941174</v>
      </c>
      <c r="M140" s="155">
        <v>16</v>
      </c>
      <c r="N140" s="100">
        <f t="shared" si="93"/>
        <v>1308.2758620689654</v>
      </c>
      <c r="O140" s="131">
        <f t="shared" si="94"/>
        <v>81.767241379310335</v>
      </c>
      <c r="P140" s="96">
        <f t="shared" si="89"/>
        <v>-1</v>
      </c>
      <c r="Q140" s="132">
        <f t="shared" si="90"/>
        <v>-2.9386409736308394</v>
      </c>
      <c r="R140" s="242">
        <f t="shared" si="91"/>
        <v>0.96530771072796928</v>
      </c>
      <c r="S140" s="652"/>
      <c r="T140" s="107">
        <v>0.77500000000000002</v>
      </c>
      <c r="U140" s="321">
        <v>0.8354166666666667</v>
      </c>
      <c r="V140" s="322">
        <v>8</v>
      </c>
      <c r="W140" s="85">
        <f t="shared" si="95"/>
        <v>87.000000000000014</v>
      </c>
      <c r="X140" s="95"/>
      <c r="Y140" s="95"/>
      <c r="Z140" s="96"/>
      <c r="AA140" s="96"/>
      <c r="AB140" s="645"/>
      <c r="AC140" s="646"/>
      <c r="AD140" s="97"/>
      <c r="AE140" s="97"/>
      <c r="AF140" s="89">
        <f t="shared" si="63"/>
        <v>-131.72413793103465</v>
      </c>
      <c r="AG140" s="170">
        <f t="shared" si="64"/>
        <v>0.90852490421455923</v>
      </c>
      <c r="AH140" s="632"/>
    </row>
    <row r="141" spans="1:34" ht="18" customHeight="1">
      <c r="A141" s="649"/>
      <c r="B141" s="65" t="s">
        <v>251</v>
      </c>
      <c r="C141" s="219"/>
      <c r="D141" s="80" t="s">
        <v>177</v>
      </c>
      <c r="E141" s="323"/>
      <c r="F141" s="82">
        <v>50.29</v>
      </c>
      <c r="G141" s="100">
        <v>1299</v>
      </c>
      <c r="H141" s="129">
        <f t="shared" si="92"/>
        <v>65326.71</v>
      </c>
      <c r="I141" s="97"/>
      <c r="J141" s="86">
        <v>18</v>
      </c>
      <c r="K141" s="83">
        <v>1440</v>
      </c>
      <c r="L141" s="87">
        <v>80</v>
      </c>
      <c r="M141" s="155">
        <v>18</v>
      </c>
      <c r="N141" s="100">
        <f t="shared" si="93"/>
        <v>1257.0967741935494</v>
      </c>
      <c r="O141" s="131">
        <f t="shared" si="94"/>
        <v>69.838709677419416</v>
      </c>
      <c r="P141" s="96">
        <f t="shared" si="89"/>
        <v>0</v>
      </c>
      <c r="Q141" s="132">
        <f t="shared" si="90"/>
        <v>-10.161290322580584</v>
      </c>
      <c r="R141" s="133">
        <f t="shared" si="91"/>
        <v>0.87298387096774266</v>
      </c>
      <c r="S141" s="652"/>
      <c r="T141" s="107">
        <v>0.85138888888888897</v>
      </c>
      <c r="U141" s="321">
        <v>0.89444444444444449</v>
      </c>
      <c r="V141" s="98">
        <v>23</v>
      </c>
      <c r="W141" s="85">
        <f t="shared" si="95"/>
        <v>61.999999999999943</v>
      </c>
      <c r="X141" s="95">
        <v>0.83888888888888891</v>
      </c>
      <c r="Y141" s="95">
        <v>0.84861111111111109</v>
      </c>
      <c r="Z141" s="96"/>
      <c r="AA141" s="96"/>
      <c r="AB141" s="655"/>
      <c r="AC141" s="656"/>
      <c r="AD141" s="97"/>
      <c r="AE141" s="97"/>
      <c r="AF141" s="89">
        <f t="shared" si="63"/>
        <v>-182.90322580645056</v>
      </c>
      <c r="AG141" s="170">
        <f t="shared" si="64"/>
        <v>0.87298387096774266</v>
      </c>
      <c r="AH141" s="632"/>
    </row>
    <row r="142" spans="1:34" ht="18" customHeight="1">
      <c r="A142" s="649"/>
      <c r="B142" s="65" t="s">
        <v>251</v>
      </c>
      <c r="C142" s="219"/>
      <c r="D142" s="80" t="s">
        <v>174</v>
      </c>
      <c r="E142" s="323"/>
      <c r="F142" s="82">
        <v>50.67</v>
      </c>
      <c r="G142" s="100">
        <v>939</v>
      </c>
      <c r="H142" s="129">
        <f t="shared" si="92"/>
        <v>47579.130000000005</v>
      </c>
      <c r="I142" s="97"/>
      <c r="J142" s="130">
        <v>18</v>
      </c>
      <c r="K142" s="100">
        <v>1440</v>
      </c>
      <c r="L142" s="131">
        <v>80</v>
      </c>
      <c r="M142" s="155">
        <v>19</v>
      </c>
      <c r="N142" s="100">
        <f t="shared" si="93"/>
        <v>1280.4545454545455</v>
      </c>
      <c r="O142" s="131">
        <f t="shared" si="94"/>
        <v>67.392344497607652</v>
      </c>
      <c r="P142" s="96">
        <f t="shared" si="89"/>
        <v>1</v>
      </c>
      <c r="Q142" s="132">
        <f t="shared" si="90"/>
        <v>-12.607655502392348</v>
      </c>
      <c r="R142" s="133">
        <f t="shared" si="91"/>
        <v>0.84240430622009566</v>
      </c>
      <c r="S142" s="652"/>
      <c r="T142" s="107">
        <v>0.9</v>
      </c>
      <c r="U142" s="321">
        <v>0.93055555555555558</v>
      </c>
      <c r="V142" s="98">
        <v>8</v>
      </c>
      <c r="W142" s="85">
        <f t="shared" si="95"/>
        <v>44</v>
      </c>
      <c r="X142" s="95"/>
      <c r="Y142" s="95"/>
      <c r="Z142" s="96"/>
      <c r="AA142" s="96"/>
      <c r="AB142" s="645"/>
      <c r="AC142" s="646"/>
      <c r="AD142" s="97"/>
      <c r="AE142" s="97"/>
      <c r="AF142" s="89">
        <f t="shared" si="63"/>
        <v>-159.5454545454545</v>
      </c>
      <c r="AG142" s="170">
        <f t="shared" si="64"/>
        <v>0.88920454545454553</v>
      </c>
      <c r="AH142" s="632"/>
    </row>
    <row r="143" spans="1:34" ht="18" customHeight="1">
      <c r="A143" s="649"/>
      <c r="B143" s="65" t="s">
        <v>251</v>
      </c>
      <c r="C143" s="324"/>
      <c r="D143" s="168" t="s">
        <v>176</v>
      </c>
      <c r="E143" s="169"/>
      <c r="F143" s="82">
        <v>50.49</v>
      </c>
      <c r="G143" s="100">
        <v>1167</v>
      </c>
      <c r="H143" s="129">
        <f t="shared" si="92"/>
        <v>58921.83</v>
      </c>
      <c r="I143" s="97"/>
      <c r="J143" s="86">
        <v>15</v>
      </c>
      <c r="K143" s="83">
        <v>1440</v>
      </c>
      <c r="L143" s="87">
        <v>96</v>
      </c>
      <c r="M143" s="155">
        <v>15</v>
      </c>
      <c r="N143" s="100">
        <f t="shared" si="93"/>
        <v>1273.0909090909099</v>
      </c>
      <c r="O143" s="131">
        <f t="shared" si="94"/>
        <v>84.872727272727332</v>
      </c>
      <c r="P143" s="96">
        <f t="shared" si="89"/>
        <v>0</v>
      </c>
      <c r="Q143" s="132">
        <f t="shared" si="90"/>
        <v>-11.127272727272668</v>
      </c>
      <c r="R143" s="242">
        <f t="shared" si="91"/>
        <v>0.8840909090909097</v>
      </c>
      <c r="S143" s="652"/>
      <c r="T143" s="107">
        <v>0.93541666666666667</v>
      </c>
      <c r="U143" s="321">
        <v>0.97361111111111109</v>
      </c>
      <c r="V143" s="98">
        <v>7</v>
      </c>
      <c r="W143" s="85">
        <f t="shared" si="95"/>
        <v>54.999999999999964</v>
      </c>
      <c r="X143" s="95"/>
      <c r="Y143" s="95"/>
      <c r="Z143" s="96"/>
      <c r="AA143" s="96"/>
      <c r="AB143" s="645"/>
      <c r="AC143" s="646"/>
      <c r="AD143" s="97"/>
      <c r="AE143" s="97"/>
      <c r="AF143" s="89">
        <f t="shared" si="63"/>
        <v>-166.90909090909008</v>
      </c>
      <c r="AG143" s="170">
        <f t="shared" si="64"/>
        <v>0.8840909090909097</v>
      </c>
      <c r="AH143" s="632"/>
    </row>
    <row r="144" spans="1:34" ht="18" customHeight="1">
      <c r="A144" s="649"/>
      <c r="B144" s="65" t="s">
        <v>251</v>
      </c>
      <c r="C144" s="219"/>
      <c r="D144" s="80" t="s">
        <v>245</v>
      </c>
      <c r="E144" s="323"/>
      <c r="F144" s="82">
        <v>48.36</v>
      </c>
      <c r="G144" s="100">
        <v>579.29999999999995</v>
      </c>
      <c r="H144" s="129">
        <f t="shared" si="92"/>
        <v>28014.947999999997</v>
      </c>
      <c r="I144" s="97">
        <v>2</v>
      </c>
      <c r="J144" s="130">
        <v>18</v>
      </c>
      <c r="K144" s="100">
        <v>1440</v>
      </c>
      <c r="L144" s="131">
        <v>80</v>
      </c>
      <c r="M144" s="137">
        <v>18</v>
      </c>
      <c r="N144" s="100">
        <f t="shared" si="93"/>
        <v>1241.3571428571399</v>
      </c>
      <c r="O144" s="131">
        <f t="shared" si="94"/>
        <v>68.964285714285552</v>
      </c>
      <c r="P144" s="96">
        <f t="shared" si="89"/>
        <v>0</v>
      </c>
      <c r="Q144" s="132">
        <f t="shared" si="90"/>
        <v>-11.035714285714448</v>
      </c>
      <c r="R144" s="133">
        <f t="shared" si="91"/>
        <v>0.86205357142856942</v>
      </c>
      <c r="S144" s="652"/>
      <c r="T144" s="107">
        <v>0.97847222222222219</v>
      </c>
      <c r="U144" s="321">
        <v>0.99791666666666667</v>
      </c>
      <c r="V144" s="98">
        <v>7</v>
      </c>
      <c r="W144" s="85">
        <f t="shared" si="95"/>
        <v>28.00000000000006</v>
      </c>
      <c r="X144" s="95"/>
      <c r="Y144" s="95"/>
      <c r="Z144" s="96"/>
      <c r="AA144" s="96"/>
      <c r="AB144" s="645"/>
      <c r="AC144" s="646"/>
      <c r="AD144" s="97"/>
      <c r="AE144" s="97"/>
      <c r="AF144" s="89">
        <f t="shared" si="63"/>
        <v>-198.64285714286007</v>
      </c>
      <c r="AG144" s="170">
        <f t="shared" si="64"/>
        <v>0.86205357142856942</v>
      </c>
      <c r="AH144" s="632"/>
    </row>
    <row r="145" spans="1:34" ht="18" customHeight="1">
      <c r="A145" s="649"/>
      <c r="B145" s="65">
        <v>0</v>
      </c>
      <c r="C145" s="219"/>
      <c r="D145" s="80"/>
      <c r="E145" s="323"/>
      <c r="F145" s="82" t="s">
        <v>253</v>
      </c>
      <c r="G145" s="100"/>
      <c r="H145" s="129">
        <f t="shared" si="92"/>
        <v>0</v>
      </c>
      <c r="I145" s="97"/>
      <c r="J145" s="130"/>
      <c r="K145" s="100"/>
      <c r="L145" s="131"/>
      <c r="M145" s="137"/>
      <c r="N145" s="100"/>
      <c r="O145" s="131"/>
      <c r="P145" s="96"/>
      <c r="Q145" s="132"/>
      <c r="R145" s="133"/>
      <c r="S145" s="652"/>
      <c r="T145" s="107"/>
      <c r="U145" s="321"/>
      <c r="V145" s="98"/>
      <c r="W145" s="85">
        <f t="shared" si="95"/>
        <v>0</v>
      </c>
      <c r="X145" s="95"/>
      <c r="Y145" s="95"/>
      <c r="Z145" s="96"/>
      <c r="AA145" s="96"/>
      <c r="AB145" s="645"/>
      <c r="AC145" s="646"/>
      <c r="AD145" s="97"/>
      <c r="AE145" s="97"/>
      <c r="AF145" s="89">
        <f t="shared" si="63"/>
        <v>0</v>
      </c>
      <c r="AG145" s="170" t="e">
        <f t="shared" si="64"/>
        <v>#DIV/0!</v>
      </c>
      <c r="AH145" s="632"/>
    </row>
    <row r="146" spans="1:34" ht="18" customHeight="1">
      <c r="A146" s="649"/>
      <c r="B146" s="213">
        <v>0</v>
      </c>
      <c r="C146" s="324"/>
      <c r="D146" s="325"/>
      <c r="E146" s="323"/>
      <c r="F146" s="82" t="s">
        <v>253</v>
      </c>
      <c r="G146" s="100"/>
      <c r="H146" s="129">
        <f t="shared" si="92"/>
        <v>0</v>
      </c>
      <c r="I146" s="97"/>
      <c r="J146" s="130"/>
      <c r="K146" s="100"/>
      <c r="L146" s="131"/>
      <c r="M146" s="137"/>
      <c r="N146" s="100"/>
      <c r="O146" s="131"/>
      <c r="P146" s="96"/>
      <c r="Q146" s="132"/>
      <c r="R146" s="133"/>
      <c r="S146" s="652"/>
      <c r="T146" s="107"/>
      <c r="U146" s="321"/>
      <c r="V146" s="98"/>
      <c r="W146" s="85">
        <f t="shared" si="95"/>
        <v>0</v>
      </c>
      <c r="X146" s="95"/>
      <c r="Y146" s="95"/>
      <c r="Z146" s="96"/>
      <c r="AA146" s="96"/>
      <c r="AB146" s="645"/>
      <c r="AC146" s="646"/>
      <c r="AD146" s="97"/>
      <c r="AE146" s="97"/>
      <c r="AF146" s="96"/>
      <c r="AG146" s="133"/>
      <c r="AH146" s="632"/>
    </row>
    <row r="147" spans="1:34" ht="18" customHeight="1">
      <c r="A147" s="650"/>
      <c r="B147" s="326">
        <v>0</v>
      </c>
      <c r="C147" s="138" t="s">
        <v>23</v>
      </c>
      <c r="D147" s="630" t="s">
        <v>220</v>
      </c>
      <c r="E147" s="630"/>
      <c r="F147" s="327"/>
      <c r="G147" s="140"/>
      <c r="H147" s="141"/>
      <c r="I147" s="142"/>
      <c r="J147" s="140">
        <v>17</v>
      </c>
      <c r="K147" s="140">
        <v>1476.5</v>
      </c>
      <c r="L147" s="143">
        <v>87.207230392156859</v>
      </c>
      <c r="M147" s="311">
        <f t="shared" ref="M147:O147" si="96">AVERAGE(M135:M146)</f>
        <v>16.899999999999999</v>
      </c>
      <c r="N147" s="311">
        <f t="shared" si="96"/>
        <v>1278.6621900331779</v>
      </c>
      <c r="O147" s="312">
        <f t="shared" si="96"/>
        <v>76.231942618840932</v>
      </c>
      <c r="P147" s="93">
        <f t="shared" ref="P147:P150" si="97">M147-J147</f>
        <v>-0.10000000000000142</v>
      </c>
      <c r="Q147" s="189">
        <f t="shared" ref="Q147:Q150" si="98">O147-L147</f>
        <v>-10.975287773315927</v>
      </c>
      <c r="R147" s="328">
        <f t="shared" ref="R147:R150" si="99">O147/L147</f>
        <v>0.87414704349671668</v>
      </c>
      <c r="S147" s="653"/>
      <c r="T147" s="107"/>
      <c r="U147" s="107"/>
      <c r="V147" s="98"/>
      <c r="W147" s="85">
        <f t="shared" si="95"/>
        <v>0</v>
      </c>
      <c r="X147" s="95"/>
      <c r="Y147" s="95"/>
      <c r="Z147" s="145">
        <f>SUM(Z135:Z146)</f>
        <v>0</v>
      </c>
      <c r="AA147" s="145">
        <f>SUM(AA135:AA146)</f>
        <v>0</v>
      </c>
      <c r="AB147" s="637"/>
      <c r="AC147" s="637"/>
      <c r="AD147" s="146">
        <f>SUM(AD135:AD146)</f>
        <v>0</v>
      </c>
      <c r="AE147" s="146">
        <f>SUM(AE135:AE146)</f>
        <v>0</v>
      </c>
      <c r="AF147" s="266">
        <f t="shared" si="63"/>
        <v>-197.83780996682208</v>
      </c>
      <c r="AG147" s="329">
        <f t="shared" si="64"/>
        <v>0.86600893331065221</v>
      </c>
      <c r="AH147" s="632"/>
    </row>
    <row r="148" spans="1:34" ht="18" customHeight="1">
      <c r="A148" s="638" t="s">
        <v>233</v>
      </c>
      <c r="B148" s="97" t="s">
        <v>251</v>
      </c>
      <c r="C148" s="126"/>
      <c r="D148" s="228" t="s">
        <v>161</v>
      </c>
      <c r="E148" s="81"/>
      <c r="F148" s="183">
        <v>57.73</v>
      </c>
      <c r="G148" s="100">
        <v>927</v>
      </c>
      <c r="H148" s="129">
        <f t="shared" ref="H148:H172" si="100">F148*G148</f>
        <v>53515.71</v>
      </c>
      <c r="I148" s="330"/>
      <c r="J148" s="130">
        <v>18</v>
      </c>
      <c r="K148" s="100">
        <v>1440</v>
      </c>
      <c r="L148" s="131">
        <v>80</v>
      </c>
      <c r="M148" s="155">
        <v>18</v>
      </c>
      <c r="N148" s="83">
        <f>G148/W148*60</f>
        <v>1183.4042553191491</v>
      </c>
      <c r="O148" s="87">
        <f>N148/M148</f>
        <v>65.744680851063833</v>
      </c>
      <c r="P148" s="89">
        <f t="shared" si="97"/>
        <v>0</v>
      </c>
      <c r="Q148" s="90">
        <f t="shared" si="98"/>
        <v>-14.255319148936167</v>
      </c>
      <c r="R148" s="91">
        <f t="shared" si="99"/>
        <v>0.82180851063829796</v>
      </c>
      <c r="S148" s="639">
        <f>R160</f>
        <v>0.80687761516762868</v>
      </c>
      <c r="T148" s="315">
        <v>0.70833333333333337</v>
      </c>
      <c r="U148" s="92">
        <v>0.74097222222222225</v>
      </c>
      <c r="V148" s="65">
        <v>5</v>
      </c>
      <c r="W148" s="85">
        <f>(U148-T148)*24*60</f>
        <v>46.999999999999993</v>
      </c>
      <c r="X148" s="95"/>
      <c r="Y148" s="95"/>
      <c r="Z148" s="96"/>
      <c r="AA148" s="96"/>
      <c r="AB148" s="641"/>
      <c r="AC148" s="642"/>
      <c r="AD148" s="97"/>
      <c r="AE148" s="97"/>
      <c r="AF148" s="89">
        <f t="shared" si="63"/>
        <v>-256.59574468085088</v>
      </c>
      <c r="AG148" s="170">
        <f t="shared" si="64"/>
        <v>0.82180851063829796</v>
      </c>
      <c r="AH148" s="632">
        <f>AG160</f>
        <v>0.79259694286211013</v>
      </c>
    </row>
    <row r="149" spans="1:34" ht="18" customHeight="1">
      <c r="A149" s="638"/>
      <c r="B149" s="97" t="s">
        <v>251</v>
      </c>
      <c r="C149" s="289"/>
      <c r="D149" s="320" t="s">
        <v>140</v>
      </c>
      <c r="E149" s="103"/>
      <c r="F149" s="183">
        <v>53.68</v>
      </c>
      <c r="G149" s="100">
        <v>1295</v>
      </c>
      <c r="H149" s="129">
        <f t="shared" si="100"/>
        <v>69515.600000000006</v>
      </c>
      <c r="I149" s="330"/>
      <c r="J149" s="130">
        <v>20</v>
      </c>
      <c r="K149" s="100">
        <v>1500</v>
      </c>
      <c r="L149" s="131">
        <v>75</v>
      </c>
      <c r="M149" s="155">
        <v>19</v>
      </c>
      <c r="N149" s="83">
        <f>G149/W149*60</f>
        <v>1126.0869565217406</v>
      </c>
      <c r="O149" s="87">
        <f>N149/M149</f>
        <v>59.267734553775824</v>
      </c>
      <c r="P149" s="89">
        <f t="shared" si="97"/>
        <v>-1</v>
      </c>
      <c r="Q149" s="90">
        <f t="shared" si="98"/>
        <v>-15.732265446224176</v>
      </c>
      <c r="R149" s="91">
        <f t="shared" si="99"/>
        <v>0.79023646071701104</v>
      </c>
      <c r="S149" s="640"/>
      <c r="T149" s="315">
        <v>0.74652777777777779</v>
      </c>
      <c r="U149" s="92">
        <v>0.7944444444444444</v>
      </c>
      <c r="V149" s="65">
        <v>8</v>
      </c>
      <c r="W149" s="85">
        <f t="shared" ref="W149:W151" si="101">(U149-T149)*24*60</f>
        <v>68.999999999999915</v>
      </c>
      <c r="X149" s="95"/>
      <c r="Y149" s="95"/>
      <c r="Z149" s="96"/>
      <c r="AA149" s="96"/>
      <c r="AB149" s="644"/>
      <c r="AC149" s="644"/>
      <c r="AD149" s="97"/>
      <c r="AE149" s="97"/>
      <c r="AF149" s="89">
        <f t="shared" si="63"/>
        <v>-373.9130434782594</v>
      </c>
      <c r="AG149" s="170">
        <f t="shared" si="64"/>
        <v>0.75072463768116038</v>
      </c>
      <c r="AH149" s="643"/>
    </row>
    <row r="150" spans="1:34" ht="16.25" customHeight="1">
      <c r="A150" s="638"/>
      <c r="B150" s="97" t="s">
        <v>251</v>
      </c>
      <c r="C150" s="289"/>
      <c r="D150" s="231" t="s">
        <v>160</v>
      </c>
      <c r="E150" s="103"/>
      <c r="F150" s="183">
        <v>58.17</v>
      </c>
      <c r="G150" s="100">
        <v>1976</v>
      </c>
      <c r="H150" s="129">
        <f t="shared" si="100"/>
        <v>114943.92</v>
      </c>
      <c r="I150" s="330"/>
      <c r="J150" s="130">
        <v>18</v>
      </c>
      <c r="K150" s="100">
        <v>1385</v>
      </c>
      <c r="L150" s="131">
        <v>76.944444444444443</v>
      </c>
      <c r="M150" s="155">
        <v>18</v>
      </c>
      <c r="N150" s="83">
        <f>G150/W150*60</f>
        <v>1118.4905660377365</v>
      </c>
      <c r="O150" s="87">
        <f>N150/M150</f>
        <v>62.138364779874252</v>
      </c>
      <c r="P150" s="89">
        <f t="shared" si="97"/>
        <v>0</v>
      </c>
      <c r="Q150" s="90">
        <f t="shared" si="98"/>
        <v>-14.806079664570191</v>
      </c>
      <c r="R150" s="91">
        <f t="shared" si="99"/>
        <v>0.80757441591172319</v>
      </c>
      <c r="S150" s="640"/>
      <c r="T150" s="315">
        <v>0.80972222222222223</v>
      </c>
      <c r="U150" s="92">
        <v>0.8833333333333333</v>
      </c>
      <c r="V150" s="65">
        <v>22</v>
      </c>
      <c r="W150" s="85">
        <f t="shared" si="101"/>
        <v>105.99999999999994</v>
      </c>
      <c r="X150" s="283">
        <v>0.79861111111111116</v>
      </c>
      <c r="Y150" s="283">
        <v>0.80902777777777779</v>
      </c>
      <c r="Z150" s="284"/>
      <c r="AA150" s="284">
        <v>1</v>
      </c>
      <c r="AB150" s="644"/>
      <c r="AC150" s="644"/>
      <c r="AD150" s="97"/>
      <c r="AE150" s="97"/>
      <c r="AF150" s="89">
        <f t="shared" si="63"/>
        <v>-266.50943396226353</v>
      </c>
      <c r="AG150" s="170">
        <f t="shared" si="64"/>
        <v>0.80757441591172308</v>
      </c>
      <c r="AH150" s="643"/>
    </row>
    <row r="151" spans="1:34" s="286" customFormat="1" ht="18" customHeight="1">
      <c r="A151" s="638"/>
      <c r="B151" s="97">
        <v>0</v>
      </c>
      <c r="C151" s="289"/>
      <c r="D151" s="102"/>
      <c r="E151" s="103"/>
      <c r="F151" s="183" t="s">
        <v>253</v>
      </c>
      <c r="G151" s="100"/>
      <c r="H151" s="129">
        <f t="shared" si="100"/>
        <v>0</v>
      </c>
      <c r="I151" s="330"/>
      <c r="J151" s="130"/>
      <c r="K151" s="100"/>
      <c r="L151" s="131"/>
      <c r="M151" s="155"/>
      <c r="N151" s="83"/>
      <c r="O151" s="87"/>
      <c r="P151" s="89"/>
      <c r="Q151" s="90"/>
      <c r="R151" s="91"/>
      <c r="S151" s="640"/>
      <c r="T151" s="315"/>
      <c r="U151" s="92"/>
      <c r="V151" s="65"/>
      <c r="W151" s="85">
        <f t="shared" si="101"/>
        <v>0</v>
      </c>
      <c r="X151" s="283"/>
      <c r="Y151" s="283"/>
      <c r="Z151" s="284"/>
      <c r="AA151" s="284"/>
      <c r="AB151" s="633"/>
      <c r="AC151" s="633"/>
      <c r="AD151" s="289"/>
      <c r="AE151" s="289"/>
      <c r="AF151" s="89">
        <f t="shared" si="63"/>
        <v>0</v>
      </c>
      <c r="AG151" s="170" t="e">
        <f t="shared" si="64"/>
        <v>#DIV/0!</v>
      </c>
      <c r="AH151" s="643"/>
    </row>
    <row r="152" spans="1:34" s="286" customFormat="1" ht="18" customHeight="1">
      <c r="A152" s="638"/>
      <c r="B152" s="97">
        <v>0</v>
      </c>
      <c r="C152" s="289"/>
      <c r="D152" s="320"/>
      <c r="E152" s="103"/>
      <c r="F152" s="183" t="s">
        <v>253</v>
      </c>
      <c r="G152" s="100"/>
      <c r="H152" s="129">
        <f t="shared" si="100"/>
        <v>0</v>
      </c>
      <c r="I152" s="330"/>
      <c r="J152" s="130"/>
      <c r="K152" s="100"/>
      <c r="L152" s="131"/>
      <c r="M152" s="155"/>
      <c r="N152" s="83"/>
      <c r="O152" s="87"/>
      <c r="P152" s="89"/>
      <c r="Q152" s="90"/>
      <c r="R152" s="91"/>
      <c r="S152" s="640"/>
      <c r="T152" s="331"/>
      <c r="U152" s="107"/>
      <c r="V152" s="105"/>
      <c r="W152" s="85"/>
      <c r="X152" s="287"/>
      <c r="Y152" s="287"/>
      <c r="Z152" s="284"/>
      <c r="AA152" s="284"/>
      <c r="AB152" s="633"/>
      <c r="AC152" s="633"/>
      <c r="AD152" s="289"/>
      <c r="AE152" s="289"/>
      <c r="AF152" s="89">
        <f t="shared" si="63"/>
        <v>0</v>
      </c>
      <c r="AG152" s="170" t="e">
        <f t="shared" si="64"/>
        <v>#DIV/0!</v>
      </c>
      <c r="AH152" s="643"/>
    </row>
    <row r="153" spans="1:34" s="286" customFormat="1" ht="18" customHeight="1">
      <c r="A153" s="638"/>
      <c r="B153" s="97">
        <v>0</v>
      </c>
      <c r="C153" s="289"/>
      <c r="D153" s="320"/>
      <c r="E153" s="103"/>
      <c r="F153" s="183" t="s">
        <v>253</v>
      </c>
      <c r="G153" s="100"/>
      <c r="H153" s="129">
        <f t="shared" si="100"/>
        <v>0</v>
      </c>
      <c r="I153" s="330"/>
      <c r="J153" s="130"/>
      <c r="K153" s="100"/>
      <c r="L153" s="131"/>
      <c r="M153" s="261"/>
      <c r="N153" s="83"/>
      <c r="O153" s="87"/>
      <c r="P153" s="89"/>
      <c r="Q153" s="90"/>
      <c r="R153" s="91"/>
      <c r="S153" s="640"/>
      <c r="T153" s="331"/>
      <c r="U153" s="107"/>
      <c r="V153" s="105"/>
      <c r="W153" s="85">
        <f t="shared" ref="W153:W159" si="102">(U153-T153)*24*60</f>
        <v>0</v>
      </c>
      <c r="X153" s="287"/>
      <c r="Y153" s="287"/>
      <c r="Z153" s="284"/>
      <c r="AA153" s="284"/>
      <c r="AB153" s="633"/>
      <c r="AC153" s="633"/>
      <c r="AD153" s="289"/>
      <c r="AE153" s="289"/>
      <c r="AF153" s="89">
        <f t="shared" si="63"/>
        <v>0</v>
      </c>
      <c r="AG153" s="170" t="e">
        <f t="shared" si="64"/>
        <v>#DIV/0!</v>
      </c>
      <c r="AH153" s="643"/>
    </row>
    <row r="154" spans="1:34" s="286" customFormat="1" ht="18" customHeight="1">
      <c r="A154" s="638"/>
      <c r="B154" s="97">
        <v>0</v>
      </c>
      <c r="C154" s="289"/>
      <c r="D154" s="320"/>
      <c r="E154" s="103"/>
      <c r="F154" s="183" t="s">
        <v>253</v>
      </c>
      <c r="G154" s="100"/>
      <c r="H154" s="129">
        <f t="shared" si="100"/>
        <v>0</v>
      </c>
      <c r="I154" s="330"/>
      <c r="J154" s="332"/>
      <c r="K154" s="299"/>
      <c r="L154" s="87"/>
      <c r="M154" s="261"/>
      <c r="N154" s="234"/>
      <c r="O154" s="292"/>
      <c r="P154" s="333"/>
      <c r="Q154" s="119"/>
      <c r="R154" s="174"/>
      <c r="S154" s="640"/>
      <c r="T154" s="331"/>
      <c r="U154" s="107"/>
      <c r="V154" s="105"/>
      <c r="W154" s="334">
        <f t="shared" si="102"/>
        <v>0</v>
      </c>
      <c r="X154" s="287"/>
      <c r="Y154" s="287"/>
      <c r="Z154" s="284"/>
      <c r="AA154" s="284"/>
      <c r="AB154" s="633"/>
      <c r="AC154" s="633"/>
      <c r="AD154" s="289"/>
      <c r="AE154" s="289"/>
      <c r="AF154" s="89">
        <f t="shared" si="63"/>
        <v>0</v>
      </c>
      <c r="AG154" s="170" t="e">
        <f t="shared" si="64"/>
        <v>#DIV/0!</v>
      </c>
      <c r="AH154" s="643"/>
    </row>
    <row r="155" spans="1:34" s="286" customFormat="1" ht="18" customHeight="1">
      <c r="A155" s="638"/>
      <c r="B155" s="97">
        <v>0</v>
      </c>
      <c r="C155" s="289"/>
      <c r="D155" s="320"/>
      <c r="E155" s="103"/>
      <c r="F155" s="183" t="s">
        <v>253</v>
      </c>
      <c r="G155" s="100"/>
      <c r="H155" s="129">
        <f t="shared" si="100"/>
        <v>0</v>
      </c>
      <c r="I155" s="330"/>
      <c r="J155" s="332"/>
      <c r="K155" s="299"/>
      <c r="L155" s="87"/>
      <c r="M155" s="261"/>
      <c r="N155" s="234"/>
      <c r="O155" s="292"/>
      <c r="P155" s="333"/>
      <c r="Q155" s="119"/>
      <c r="R155" s="174"/>
      <c r="S155" s="640"/>
      <c r="T155" s="331"/>
      <c r="U155" s="107"/>
      <c r="V155" s="105"/>
      <c r="W155" s="334">
        <f t="shared" si="102"/>
        <v>0</v>
      </c>
      <c r="X155" s="287"/>
      <c r="Y155" s="287"/>
      <c r="Z155" s="284"/>
      <c r="AA155" s="284"/>
      <c r="AB155" s="633"/>
      <c r="AC155" s="633"/>
      <c r="AD155" s="289"/>
      <c r="AE155" s="289"/>
      <c r="AF155" s="335"/>
      <c r="AG155" s="174"/>
      <c r="AH155" s="643"/>
    </row>
    <row r="156" spans="1:34" s="286" customFormat="1" ht="18" customHeight="1">
      <c r="A156" s="638"/>
      <c r="B156" s="289">
        <v>0</v>
      </c>
      <c r="C156" s="289"/>
      <c r="D156" s="320"/>
      <c r="E156" s="103"/>
      <c r="F156" s="183" t="s">
        <v>253</v>
      </c>
      <c r="G156" s="100"/>
      <c r="H156" s="129">
        <f t="shared" si="100"/>
        <v>0</v>
      </c>
      <c r="I156" s="330"/>
      <c r="J156" s="332"/>
      <c r="K156" s="299"/>
      <c r="L156" s="87"/>
      <c r="M156" s="261"/>
      <c r="N156" s="234"/>
      <c r="O156" s="292"/>
      <c r="P156" s="333"/>
      <c r="Q156" s="119"/>
      <c r="R156" s="174"/>
      <c r="S156" s="640"/>
      <c r="T156" s="331"/>
      <c r="U156" s="107"/>
      <c r="V156" s="105"/>
      <c r="W156" s="334">
        <f t="shared" si="102"/>
        <v>0</v>
      </c>
      <c r="X156" s="287"/>
      <c r="Y156" s="287"/>
      <c r="Z156" s="284"/>
      <c r="AA156" s="284"/>
      <c r="AB156" s="633"/>
      <c r="AC156" s="633"/>
      <c r="AD156" s="289"/>
      <c r="AE156" s="289"/>
      <c r="AF156" s="335"/>
      <c r="AG156" s="174"/>
      <c r="AH156" s="643"/>
    </row>
    <row r="157" spans="1:34" s="286" customFormat="1" ht="18" customHeight="1">
      <c r="A157" s="638"/>
      <c r="B157" s="289">
        <v>0</v>
      </c>
      <c r="C157" s="289"/>
      <c r="D157" s="320"/>
      <c r="E157" s="103"/>
      <c r="F157" s="308" t="s">
        <v>253</v>
      </c>
      <c r="G157" s="100"/>
      <c r="H157" s="298">
        <f t="shared" si="100"/>
        <v>0</v>
      </c>
      <c r="I157" s="330"/>
      <c r="J157" s="332"/>
      <c r="K157" s="299"/>
      <c r="L157" s="87"/>
      <c r="M157" s="261"/>
      <c r="N157" s="234"/>
      <c r="O157" s="292"/>
      <c r="P157" s="333"/>
      <c r="Q157" s="119"/>
      <c r="R157" s="174"/>
      <c r="S157" s="640"/>
      <c r="T157" s="331"/>
      <c r="U157" s="107"/>
      <c r="V157" s="105"/>
      <c r="W157" s="334">
        <f t="shared" si="102"/>
        <v>0</v>
      </c>
      <c r="X157" s="287"/>
      <c r="Y157" s="287"/>
      <c r="Z157" s="284"/>
      <c r="AA157" s="284"/>
      <c r="AB157" s="633"/>
      <c r="AC157" s="633"/>
      <c r="AD157" s="289"/>
      <c r="AE157" s="289"/>
      <c r="AF157" s="335"/>
      <c r="AG157" s="174"/>
      <c r="AH157" s="643"/>
    </row>
    <row r="158" spans="1:34" s="286" customFormat="1" ht="18" customHeight="1">
      <c r="A158" s="638"/>
      <c r="B158" s="289">
        <v>0</v>
      </c>
      <c r="C158" s="289"/>
      <c r="D158" s="320"/>
      <c r="E158" s="103"/>
      <c r="F158" s="308" t="s">
        <v>253</v>
      </c>
      <c r="G158" s="100"/>
      <c r="H158" s="298">
        <f t="shared" si="100"/>
        <v>0</v>
      </c>
      <c r="I158" s="330"/>
      <c r="J158" s="332"/>
      <c r="K158" s="299"/>
      <c r="L158" s="87"/>
      <c r="M158" s="261"/>
      <c r="N158" s="234"/>
      <c r="O158" s="292"/>
      <c r="P158" s="333"/>
      <c r="Q158" s="119"/>
      <c r="R158" s="174"/>
      <c r="S158" s="640"/>
      <c r="T158" s="331"/>
      <c r="U158" s="107"/>
      <c r="V158" s="105"/>
      <c r="W158" s="334">
        <f t="shared" si="102"/>
        <v>0</v>
      </c>
      <c r="X158" s="287"/>
      <c r="Y158" s="287"/>
      <c r="Z158" s="284"/>
      <c r="AA158" s="284"/>
      <c r="AB158" s="633"/>
      <c r="AC158" s="633"/>
      <c r="AD158" s="289"/>
      <c r="AE158" s="289"/>
      <c r="AF158" s="335"/>
      <c r="AG158" s="174"/>
      <c r="AH158" s="643"/>
    </row>
    <row r="159" spans="1:34" s="286" customFormat="1" ht="18" customHeight="1">
      <c r="A159" s="638"/>
      <c r="B159" s="289">
        <v>0</v>
      </c>
      <c r="C159" s="289"/>
      <c r="D159" s="320"/>
      <c r="E159" s="103"/>
      <c r="F159" s="308" t="s">
        <v>253</v>
      </c>
      <c r="G159" s="100"/>
      <c r="H159" s="298">
        <f t="shared" si="100"/>
        <v>0</v>
      </c>
      <c r="I159" s="330"/>
      <c r="J159" s="332"/>
      <c r="K159" s="234"/>
      <c r="L159" s="179"/>
      <c r="M159" s="137"/>
      <c r="N159" s="234"/>
      <c r="O159" s="292"/>
      <c r="P159" s="333"/>
      <c r="Q159" s="119"/>
      <c r="R159" s="174"/>
      <c r="S159" s="640"/>
      <c r="T159" s="331"/>
      <c r="U159" s="107"/>
      <c r="V159" s="105"/>
      <c r="W159" s="336">
        <f t="shared" si="102"/>
        <v>0</v>
      </c>
      <c r="X159" s="287"/>
      <c r="Y159" s="287"/>
      <c r="Z159" s="284"/>
      <c r="AA159" s="284"/>
      <c r="AB159" s="633"/>
      <c r="AC159" s="633"/>
      <c r="AD159" s="289"/>
      <c r="AE159" s="289"/>
      <c r="AF159" s="335"/>
      <c r="AG159" s="174"/>
      <c r="AH159" s="643"/>
    </row>
    <row r="160" spans="1:34" ht="18" customHeight="1">
      <c r="A160" s="638"/>
      <c r="B160" s="337">
        <v>0</v>
      </c>
      <c r="C160" s="338" t="s">
        <v>24</v>
      </c>
      <c r="D160" s="634" t="s">
        <v>220</v>
      </c>
      <c r="E160" s="635"/>
      <c r="F160" s="113"/>
      <c r="G160" s="264"/>
      <c r="H160" s="263"/>
      <c r="I160" s="116"/>
      <c r="J160" s="339">
        <v>18.666666666666668</v>
      </c>
      <c r="K160" s="339">
        <v>1441.6666666666667</v>
      </c>
      <c r="L160" s="340">
        <v>77.314814814814824</v>
      </c>
      <c r="M160" s="339">
        <f t="shared" ref="M160:O160" si="103">AVERAGE(M148:M159)</f>
        <v>18.333333333333332</v>
      </c>
      <c r="N160" s="339">
        <f t="shared" si="103"/>
        <v>1142.6605926262089</v>
      </c>
      <c r="O160" s="340">
        <f t="shared" si="103"/>
        <v>62.383593394904636</v>
      </c>
      <c r="P160" s="118">
        <f t="shared" ref="P160:P165" si="104">M160-J160</f>
        <v>-0.3333333333333357</v>
      </c>
      <c r="Q160" s="119">
        <f t="shared" ref="Q160:Q165" si="105">O160-L160</f>
        <v>-14.931221419910187</v>
      </c>
      <c r="R160" s="341">
        <f>O160/L160</f>
        <v>0.80687761516762868</v>
      </c>
      <c r="S160" s="640"/>
      <c r="T160" s="342"/>
      <c r="U160" s="342"/>
      <c r="V160" s="252"/>
      <c r="W160" s="252"/>
      <c r="X160" s="253"/>
      <c r="Y160" s="253"/>
      <c r="Z160" s="123">
        <f>SUM(Z148:Z159)</f>
        <v>0</v>
      </c>
      <c r="AA160" s="123">
        <f>SUM(AA148:AA159)</f>
        <v>1</v>
      </c>
      <c r="AB160" s="636"/>
      <c r="AC160" s="637"/>
      <c r="AD160" s="124">
        <f>SUM(AD148:AD159)</f>
        <v>0</v>
      </c>
      <c r="AE160" s="124">
        <f>SUM(AE148:AE159)</f>
        <v>0</v>
      </c>
      <c r="AF160" s="118">
        <f t="shared" si="63"/>
        <v>-299.00607404045786</v>
      </c>
      <c r="AG160" s="174">
        <f t="shared" si="64"/>
        <v>0.79259694286211013</v>
      </c>
      <c r="AH160" s="643"/>
    </row>
    <row r="161" spans="1:36" ht="18" customHeight="1">
      <c r="A161" s="631" t="s">
        <v>235</v>
      </c>
      <c r="B161" s="126" t="s">
        <v>250</v>
      </c>
      <c r="C161" s="126"/>
      <c r="D161" s="168" t="s">
        <v>179</v>
      </c>
      <c r="E161" s="169"/>
      <c r="F161" s="180">
        <v>34.229999999999997</v>
      </c>
      <c r="G161" s="100">
        <v>2692</v>
      </c>
      <c r="H161" s="129">
        <f t="shared" ref="H161:H170" si="106">F161*G161</f>
        <v>92147.159999999989</v>
      </c>
      <c r="I161" s="97"/>
      <c r="J161" s="130">
        <v>11</v>
      </c>
      <c r="K161" s="100">
        <v>2250</v>
      </c>
      <c r="L161" s="131">
        <v>204.54545454545453</v>
      </c>
      <c r="M161" s="130">
        <v>11</v>
      </c>
      <c r="N161" s="100">
        <f t="shared" ref="N161:N165" si="107">G161/W161*60</f>
        <v>2243.3333333333321</v>
      </c>
      <c r="O161" s="131">
        <f t="shared" ref="O161:O165" si="108">N161/M161</f>
        <v>203.93939393939382</v>
      </c>
      <c r="P161" s="96">
        <f t="shared" si="104"/>
        <v>0</v>
      </c>
      <c r="Q161" s="132">
        <f t="shared" si="105"/>
        <v>-0.60606060606070855</v>
      </c>
      <c r="R161" s="133">
        <f t="shared" ref="R161:R165" si="109">O161/L161</f>
        <v>0.9970370370370365</v>
      </c>
      <c r="S161" s="632">
        <f>R173</f>
        <v>0.93552576042154723</v>
      </c>
      <c r="T161" s="134">
        <v>0.16666666666666666</v>
      </c>
      <c r="U161" s="134">
        <v>0.21666666666666667</v>
      </c>
      <c r="V161" s="97">
        <v>5</v>
      </c>
      <c r="W161" s="135">
        <f t="shared" ref="W161:W165" si="110">(U161-T161)*24*60</f>
        <v>72.000000000000028</v>
      </c>
      <c r="X161" s="136"/>
      <c r="Y161" s="136"/>
      <c r="Z161" s="96"/>
      <c r="AA161" s="96"/>
      <c r="AB161" s="629"/>
      <c r="AC161" s="629"/>
      <c r="AD161" s="97"/>
      <c r="AE161" s="97"/>
      <c r="AF161" s="96">
        <f t="shared" si="63"/>
        <v>-6.6666666666678793</v>
      </c>
      <c r="AG161" s="133">
        <f t="shared" si="64"/>
        <v>0.9970370370370365</v>
      </c>
      <c r="AH161" s="632">
        <f>AG173</f>
        <v>0.93885554101712354</v>
      </c>
    </row>
    <row r="162" spans="1:36" ht="18" customHeight="1">
      <c r="A162" s="631"/>
      <c r="B162" s="126" t="s">
        <v>250</v>
      </c>
      <c r="C162" s="126"/>
      <c r="D162" s="168" t="s">
        <v>180</v>
      </c>
      <c r="E162" s="169"/>
      <c r="F162" s="180">
        <v>34.229999999999997</v>
      </c>
      <c r="G162" s="100">
        <v>3455</v>
      </c>
      <c r="H162" s="129">
        <f t="shared" si="106"/>
        <v>118264.65</v>
      </c>
      <c r="I162" s="97"/>
      <c r="J162" s="130">
        <v>12</v>
      </c>
      <c r="K162" s="100">
        <v>2250</v>
      </c>
      <c r="L162" s="131">
        <v>187.5</v>
      </c>
      <c r="M162" s="130">
        <v>12</v>
      </c>
      <c r="N162" s="100">
        <f t="shared" si="107"/>
        <v>2205.3191489361698</v>
      </c>
      <c r="O162" s="131">
        <f t="shared" si="108"/>
        <v>183.7765957446808</v>
      </c>
      <c r="P162" s="96">
        <f t="shared" si="104"/>
        <v>0</v>
      </c>
      <c r="Q162" s="132">
        <f t="shared" si="105"/>
        <v>-3.7234042553191955</v>
      </c>
      <c r="R162" s="133">
        <f t="shared" si="109"/>
        <v>0.98014184397163095</v>
      </c>
      <c r="S162" s="632"/>
      <c r="T162" s="134">
        <v>0.22222222222222224</v>
      </c>
      <c r="U162" s="134">
        <v>0.28750000000000003</v>
      </c>
      <c r="V162" s="97">
        <v>8</v>
      </c>
      <c r="W162" s="135">
        <f t="shared" si="110"/>
        <v>94.000000000000028</v>
      </c>
      <c r="X162" s="136"/>
      <c r="Y162" s="136"/>
      <c r="Z162" s="96"/>
      <c r="AA162" s="96"/>
      <c r="AB162" s="629"/>
      <c r="AC162" s="629"/>
      <c r="AD162" s="97"/>
      <c r="AE162" s="97"/>
      <c r="AF162" s="96">
        <f t="shared" si="63"/>
        <v>-44.680851063830232</v>
      </c>
      <c r="AG162" s="133">
        <f t="shared" si="64"/>
        <v>0.98014184397163095</v>
      </c>
      <c r="AH162" s="632"/>
    </row>
    <row r="163" spans="1:36" ht="18" customHeight="1">
      <c r="A163" s="631"/>
      <c r="B163" s="126" t="s">
        <v>250</v>
      </c>
      <c r="C163" s="126"/>
      <c r="D163" s="317" t="s">
        <v>182</v>
      </c>
      <c r="E163" s="317"/>
      <c r="F163" s="180">
        <v>34.229999999999997</v>
      </c>
      <c r="G163" s="100">
        <v>4182</v>
      </c>
      <c r="H163" s="129">
        <f t="shared" si="106"/>
        <v>143149.85999999999</v>
      </c>
      <c r="I163" s="97"/>
      <c r="J163" s="130">
        <v>11</v>
      </c>
      <c r="K163" s="100">
        <v>2250</v>
      </c>
      <c r="L163" s="131">
        <v>204.54545454545453</v>
      </c>
      <c r="M163" s="130">
        <v>11</v>
      </c>
      <c r="N163" s="100">
        <f t="shared" si="107"/>
        <v>2181.9130434782614</v>
      </c>
      <c r="O163" s="131">
        <f t="shared" si="108"/>
        <v>198.35573122529649</v>
      </c>
      <c r="P163" s="96">
        <f t="shared" si="104"/>
        <v>0</v>
      </c>
      <c r="Q163" s="132">
        <f t="shared" si="105"/>
        <v>-6.1897233201580377</v>
      </c>
      <c r="R163" s="133">
        <f t="shared" si="109"/>
        <v>0.96973913043478288</v>
      </c>
      <c r="S163" s="632"/>
      <c r="T163" s="134">
        <v>0.30277777777777781</v>
      </c>
      <c r="U163" s="134">
        <v>0.38263888888888892</v>
      </c>
      <c r="V163" s="97">
        <v>22</v>
      </c>
      <c r="W163" s="135">
        <f t="shared" si="110"/>
        <v>114.99999999999999</v>
      </c>
      <c r="X163" s="136">
        <v>0.29097222222222224</v>
      </c>
      <c r="Y163" s="136">
        <v>0.3</v>
      </c>
      <c r="Z163" s="96"/>
      <c r="AA163" s="96"/>
      <c r="AB163" s="629"/>
      <c r="AC163" s="629"/>
      <c r="AD163" s="97"/>
      <c r="AE163" s="97"/>
      <c r="AF163" s="96">
        <f t="shared" si="63"/>
        <v>-68.086956521738557</v>
      </c>
      <c r="AG163" s="133">
        <f t="shared" si="64"/>
        <v>0.96973913043478288</v>
      </c>
      <c r="AH163" s="632"/>
    </row>
    <row r="164" spans="1:36" ht="18" customHeight="1">
      <c r="A164" s="631"/>
      <c r="B164" s="126" t="s">
        <v>250</v>
      </c>
      <c r="C164" s="126"/>
      <c r="D164" s="343" t="s">
        <v>181</v>
      </c>
      <c r="E164" s="343"/>
      <c r="F164" s="180">
        <v>35.83</v>
      </c>
      <c r="G164" s="100">
        <v>5636</v>
      </c>
      <c r="H164" s="129">
        <f t="shared" si="106"/>
        <v>201937.88</v>
      </c>
      <c r="I164" s="97"/>
      <c r="J164" s="130">
        <v>9</v>
      </c>
      <c r="K164" s="100">
        <v>2796</v>
      </c>
      <c r="L164" s="131">
        <v>307.7</v>
      </c>
      <c r="M164" s="130">
        <v>9</v>
      </c>
      <c r="N164" s="100">
        <f t="shared" si="107"/>
        <v>2254.3999999999996</v>
      </c>
      <c r="O164" s="131">
        <f t="shared" si="108"/>
        <v>250.48888888888885</v>
      </c>
      <c r="P164" s="96">
        <f t="shared" si="104"/>
        <v>0</v>
      </c>
      <c r="Q164" s="132">
        <f t="shared" si="105"/>
        <v>-57.211111111111137</v>
      </c>
      <c r="R164" s="133">
        <f t="shared" si="109"/>
        <v>0.81406853717545946</v>
      </c>
      <c r="S164" s="632"/>
      <c r="T164" s="134">
        <v>0.42291666666666666</v>
      </c>
      <c r="U164" s="134">
        <v>0.52708333333333335</v>
      </c>
      <c r="V164" s="97">
        <v>5</v>
      </c>
      <c r="W164" s="135">
        <f t="shared" si="110"/>
        <v>150.00000000000003</v>
      </c>
      <c r="X164" s="136"/>
      <c r="Y164" s="136"/>
      <c r="Z164" s="96"/>
      <c r="AA164" s="96"/>
      <c r="AB164" s="629"/>
      <c r="AC164" s="629"/>
      <c r="AD164" s="97"/>
      <c r="AE164" s="97"/>
      <c r="AF164" s="96">
        <f t="shared" si="63"/>
        <v>-541.60000000000036</v>
      </c>
      <c r="AG164" s="133">
        <f t="shared" si="64"/>
        <v>0.80629470672389114</v>
      </c>
      <c r="AH164" s="632"/>
    </row>
    <row r="165" spans="1:36" ht="18" customHeight="1">
      <c r="A165" s="631"/>
      <c r="B165" s="126" t="s">
        <v>250</v>
      </c>
      <c r="C165" s="127"/>
      <c r="D165" s="168" t="s">
        <v>121</v>
      </c>
      <c r="E165" s="169"/>
      <c r="F165" s="128">
        <v>36.409999999999997</v>
      </c>
      <c r="G165" s="100">
        <v>4854</v>
      </c>
      <c r="H165" s="129">
        <f t="shared" si="106"/>
        <v>176734.13999999998</v>
      </c>
      <c r="I165" s="97">
        <v>2</v>
      </c>
      <c r="J165" s="130">
        <v>9</v>
      </c>
      <c r="K165" s="100">
        <v>2250</v>
      </c>
      <c r="L165" s="131">
        <v>250</v>
      </c>
      <c r="M165" s="130">
        <v>9</v>
      </c>
      <c r="N165" s="100">
        <f t="shared" si="107"/>
        <v>2189.7744360902252</v>
      </c>
      <c r="O165" s="131">
        <f t="shared" si="108"/>
        <v>243.30827067669168</v>
      </c>
      <c r="P165" s="96">
        <f t="shared" si="104"/>
        <v>0</v>
      </c>
      <c r="Q165" s="132">
        <f t="shared" si="105"/>
        <v>-6.6917293233083228</v>
      </c>
      <c r="R165" s="133">
        <f t="shared" si="109"/>
        <v>0.97323308270676667</v>
      </c>
      <c r="S165" s="632"/>
      <c r="T165" s="134">
        <v>0.53194444444444444</v>
      </c>
      <c r="U165" s="134">
        <v>0.62430555555555556</v>
      </c>
      <c r="V165" s="97">
        <v>7</v>
      </c>
      <c r="W165" s="135">
        <f t="shared" si="110"/>
        <v>133</v>
      </c>
      <c r="X165" s="136"/>
      <c r="Y165" s="136"/>
      <c r="Z165" s="96"/>
      <c r="AA165" s="96"/>
      <c r="AB165" s="629"/>
      <c r="AC165" s="629"/>
      <c r="AD165" s="97"/>
      <c r="AE165" s="97"/>
      <c r="AF165" s="96">
        <f t="shared" si="63"/>
        <v>-60.225563909774792</v>
      </c>
      <c r="AG165" s="133">
        <f t="shared" si="64"/>
        <v>0.97323308270676678</v>
      </c>
      <c r="AH165" s="632"/>
    </row>
    <row r="166" spans="1:36" ht="18" customHeight="1">
      <c r="A166" s="631"/>
      <c r="B166" s="126">
        <v>0</v>
      </c>
      <c r="C166" s="126"/>
      <c r="D166" s="168"/>
      <c r="E166" s="169"/>
      <c r="F166" s="180" t="s">
        <v>253</v>
      </c>
      <c r="G166" s="100"/>
      <c r="H166" s="129">
        <f t="shared" si="106"/>
        <v>0</v>
      </c>
      <c r="I166" s="97"/>
      <c r="J166" s="130"/>
      <c r="K166" s="100"/>
      <c r="L166" s="131"/>
      <c r="M166" s="130"/>
      <c r="N166" s="100"/>
      <c r="O166" s="131"/>
      <c r="P166" s="96"/>
      <c r="Q166" s="132"/>
      <c r="R166" s="133"/>
      <c r="S166" s="632"/>
      <c r="T166" s="134"/>
      <c r="U166" s="134"/>
      <c r="V166" s="97"/>
      <c r="W166" s="135"/>
      <c r="X166" s="136"/>
      <c r="Y166" s="136"/>
      <c r="Z166" s="96"/>
      <c r="AA166" s="96"/>
      <c r="AB166" s="629"/>
      <c r="AC166" s="629"/>
      <c r="AD166" s="97"/>
      <c r="AE166" s="97"/>
      <c r="AF166" s="96">
        <f t="shared" si="63"/>
        <v>0</v>
      </c>
      <c r="AG166" s="133" t="e">
        <f t="shared" si="64"/>
        <v>#DIV/0!</v>
      </c>
      <c r="AH166" s="632"/>
    </row>
    <row r="167" spans="1:36" ht="18" customHeight="1">
      <c r="A167" s="631"/>
      <c r="B167" s="126">
        <v>0</v>
      </c>
      <c r="C167" s="126"/>
      <c r="D167" s="320"/>
      <c r="E167" s="103"/>
      <c r="F167" s="180" t="s">
        <v>253</v>
      </c>
      <c r="G167" s="100"/>
      <c r="H167" s="129">
        <f t="shared" si="106"/>
        <v>0</v>
      </c>
      <c r="I167" s="97"/>
      <c r="J167" s="130"/>
      <c r="K167" s="100"/>
      <c r="L167" s="131"/>
      <c r="M167" s="130"/>
      <c r="N167" s="100"/>
      <c r="O167" s="131"/>
      <c r="P167" s="96"/>
      <c r="Q167" s="132"/>
      <c r="R167" s="133"/>
      <c r="S167" s="632"/>
      <c r="T167" s="134"/>
      <c r="U167" s="134"/>
      <c r="V167" s="97"/>
      <c r="W167" s="135"/>
      <c r="X167" s="136"/>
      <c r="Y167" s="136"/>
      <c r="Z167" s="96"/>
      <c r="AA167" s="96"/>
      <c r="AB167" s="629"/>
      <c r="AC167" s="629"/>
      <c r="AD167" s="97"/>
      <c r="AE167" s="97"/>
      <c r="AF167" s="96">
        <f t="shared" si="63"/>
        <v>0</v>
      </c>
      <c r="AG167" s="133" t="e">
        <f t="shared" si="64"/>
        <v>#DIV/0!</v>
      </c>
      <c r="AH167" s="632"/>
    </row>
    <row r="168" spans="1:36" ht="18" customHeight="1">
      <c r="A168" s="631"/>
      <c r="B168" s="126">
        <v>0</v>
      </c>
      <c r="C168" s="126"/>
      <c r="D168" s="320"/>
      <c r="E168" s="103"/>
      <c r="F168" s="180" t="s">
        <v>253</v>
      </c>
      <c r="G168" s="100"/>
      <c r="H168" s="129">
        <f t="shared" si="106"/>
        <v>0</v>
      </c>
      <c r="I168" s="97"/>
      <c r="J168" s="130"/>
      <c r="K168" s="100"/>
      <c r="L168" s="131"/>
      <c r="M168" s="130"/>
      <c r="N168" s="100"/>
      <c r="O168" s="131"/>
      <c r="P168" s="96"/>
      <c r="Q168" s="132"/>
      <c r="R168" s="133"/>
      <c r="S168" s="632"/>
      <c r="T168" s="134"/>
      <c r="U168" s="134"/>
      <c r="V168" s="97"/>
      <c r="W168" s="135"/>
      <c r="X168" s="136"/>
      <c r="Y168" s="136"/>
      <c r="Z168" s="96"/>
      <c r="AA168" s="96"/>
      <c r="AB168" s="629"/>
      <c r="AC168" s="629"/>
      <c r="AD168" s="97"/>
      <c r="AE168" s="97"/>
      <c r="AF168" s="96">
        <f t="shared" si="63"/>
        <v>0</v>
      </c>
      <c r="AG168" s="133" t="e">
        <f t="shared" si="64"/>
        <v>#DIV/0!</v>
      </c>
      <c r="AH168" s="632"/>
    </row>
    <row r="169" spans="1:36" ht="18" customHeight="1">
      <c r="A169" s="631"/>
      <c r="B169" s="126">
        <v>0</v>
      </c>
      <c r="C169" s="126"/>
      <c r="D169" s="320"/>
      <c r="E169" s="103"/>
      <c r="F169" s="180" t="s">
        <v>253</v>
      </c>
      <c r="G169" s="100"/>
      <c r="H169" s="129">
        <f t="shared" si="106"/>
        <v>0</v>
      </c>
      <c r="I169" s="97"/>
      <c r="J169" s="130"/>
      <c r="K169" s="100"/>
      <c r="L169" s="131"/>
      <c r="M169" s="130"/>
      <c r="N169" s="100"/>
      <c r="O169" s="131"/>
      <c r="P169" s="96"/>
      <c r="Q169" s="132"/>
      <c r="R169" s="133"/>
      <c r="S169" s="632"/>
      <c r="T169" s="134"/>
      <c r="U169" s="134"/>
      <c r="V169" s="97" t="s">
        <v>59</v>
      </c>
      <c r="W169" s="135">
        <f>(U169-T169)*24*60</f>
        <v>0</v>
      </c>
      <c r="X169" s="136"/>
      <c r="Y169" s="136"/>
      <c r="Z169" s="96"/>
      <c r="AA169" s="96"/>
      <c r="AB169" s="629"/>
      <c r="AC169" s="629"/>
      <c r="AD169" s="97"/>
      <c r="AE169" s="97"/>
      <c r="AF169" s="96">
        <f t="shared" si="63"/>
        <v>0</v>
      </c>
      <c r="AG169" s="133" t="e">
        <f t="shared" si="64"/>
        <v>#DIV/0!</v>
      </c>
      <c r="AH169" s="632"/>
    </row>
    <row r="170" spans="1:36" ht="18" customHeight="1">
      <c r="A170" s="631"/>
      <c r="B170" s="126">
        <v>0</v>
      </c>
      <c r="C170" s="126"/>
      <c r="D170" s="320"/>
      <c r="E170" s="103"/>
      <c r="F170" s="180" t="s">
        <v>253</v>
      </c>
      <c r="G170" s="100"/>
      <c r="H170" s="129">
        <f t="shared" si="106"/>
        <v>0</v>
      </c>
      <c r="I170" s="97"/>
      <c r="J170" s="130"/>
      <c r="K170" s="100"/>
      <c r="L170" s="131"/>
      <c r="M170" s="130"/>
      <c r="N170" s="100"/>
      <c r="O170" s="131"/>
      <c r="P170" s="96"/>
      <c r="Q170" s="132"/>
      <c r="R170" s="133"/>
      <c r="S170" s="632"/>
      <c r="T170" s="134"/>
      <c r="U170" s="134"/>
      <c r="V170" s="97"/>
      <c r="W170" s="135">
        <f>(U170-T170)*24*60</f>
        <v>0</v>
      </c>
      <c r="X170" s="136"/>
      <c r="Y170" s="136"/>
      <c r="Z170" s="96"/>
      <c r="AA170" s="96"/>
      <c r="AB170" s="629"/>
      <c r="AC170" s="629"/>
      <c r="AD170" s="97"/>
      <c r="AE170" s="97"/>
      <c r="AF170" s="96">
        <f t="shared" si="63"/>
        <v>0</v>
      </c>
      <c r="AG170" s="133" t="e">
        <f t="shared" si="64"/>
        <v>#DIV/0!</v>
      </c>
      <c r="AH170" s="632"/>
    </row>
    <row r="171" spans="1:36" ht="18" customHeight="1">
      <c r="A171" s="631"/>
      <c r="B171" s="126">
        <v>0</v>
      </c>
      <c r="C171" s="126"/>
      <c r="D171" s="320"/>
      <c r="E171" s="103"/>
      <c r="F171" s="180" t="s">
        <v>253</v>
      </c>
      <c r="G171" s="100"/>
      <c r="H171" s="129">
        <f t="shared" si="100"/>
        <v>0</v>
      </c>
      <c r="I171" s="97"/>
      <c r="J171" s="130"/>
      <c r="K171" s="100"/>
      <c r="L171" s="131"/>
      <c r="M171" s="130"/>
      <c r="N171" s="100"/>
      <c r="O171" s="131"/>
      <c r="P171" s="96"/>
      <c r="Q171" s="132"/>
      <c r="R171" s="133"/>
      <c r="S171" s="632"/>
      <c r="T171" s="134"/>
      <c r="U171" s="134"/>
      <c r="V171" s="97"/>
      <c r="W171" s="135">
        <f>(U171-T171)*24*60</f>
        <v>0</v>
      </c>
      <c r="X171" s="136"/>
      <c r="Y171" s="136"/>
      <c r="Z171" s="96"/>
      <c r="AA171" s="96"/>
      <c r="AB171" s="629"/>
      <c r="AC171" s="629"/>
      <c r="AD171" s="97"/>
      <c r="AE171" s="97"/>
      <c r="AF171" s="96"/>
      <c r="AG171" s="133"/>
      <c r="AH171" s="632"/>
    </row>
    <row r="172" spans="1:36" ht="18" customHeight="1">
      <c r="A172" s="631"/>
      <c r="B172" s="126">
        <v>0</v>
      </c>
      <c r="C172" s="126"/>
      <c r="D172" s="320"/>
      <c r="E172" s="103"/>
      <c r="F172" s="180" t="s">
        <v>253</v>
      </c>
      <c r="G172" s="100"/>
      <c r="H172" s="129">
        <f t="shared" si="100"/>
        <v>0</v>
      </c>
      <c r="I172" s="97"/>
      <c r="J172" s="130"/>
      <c r="K172" s="100"/>
      <c r="L172" s="131"/>
      <c r="M172" s="130"/>
      <c r="N172" s="100"/>
      <c r="O172" s="131"/>
      <c r="P172" s="96"/>
      <c r="Q172" s="132"/>
      <c r="R172" s="133"/>
      <c r="S172" s="632"/>
      <c r="T172" s="134"/>
      <c r="U172" s="134"/>
      <c r="V172" s="97"/>
      <c r="W172" s="135">
        <f>(U172-T172)*24*60</f>
        <v>0</v>
      </c>
      <c r="X172" s="136"/>
      <c r="Y172" s="136"/>
      <c r="Z172" s="96"/>
      <c r="AA172" s="96"/>
      <c r="AB172" s="629"/>
      <c r="AC172" s="629"/>
      <c r="AD172" s="97"/>
      <c r="AE172" s="97"/>
      <c r="AF172" s="96"/>
      <c r="AG172" s="133"/>
      <c r="AH172" s="632"/>
    </row>
    <row r="173" spans="1:36" ht="18" customHeight="1">
      <c r="A173" s="631"/>
      <c r="B173" s="126">
        <v>0</v>
      </c>
      <c r="C173" s="138" t="s">
        <v>25</v>
      </c>
      <c r="D173" s="630" t="s">
        <v>220</v>
      </c>
      <c r="E173" s="630"/>
      <c r="F173" s="139"/>
      <c r="G173" s="140"/>
      <c r="H173" s="141"/>
      <c r="I173" s="142"/>
      <c r="J173" s="140">
        <v>10.4</v>
      </c>
      <c r="K173" s="140">
        <v>2359.1999999999998</v>
      </c>
      <c r="L173" s="143">
        <v>230.85818181818181</v>
      </c>
      <c r="M173" s="140">
        <f t="shared" ref="M173:O173" si="111">AVERAGE(M161:M172)</f>
        <v>10.4</v>
      </c>
      <c r="N173" s="140">
        <f t="shared" si="111"/>
        <v>2214.9479923675976</v>
      </c>
      <c r="O173" s="143">
        <f t="shared" si="111"/>
        <v>215.97377609499034</v>
      </c>
      <c r="P173" s="96">
        <f>M173-J173</f>
        <v>0</v>
      </c>
      <c r="Q173" s="132">
        <f>O173-L173</f>
        <v>-14.884405723191463</v>
      </c>
      <c r="R173" s="144">
        <f>O173/L173</f>
        <v>0.93552576042154723</v>
      </c>
      <c r="S173" s="632"/>
      <c r="T173" s="134"/>
      <c r="U173" s="134"/>
      <c r="V173" s="100"/>
      <c r="W173" s="100"/>
      <c r="X173" s="131"/>
      <c r="Y173" s="131"/>
      <c r="Z173" s="145">
        <f>SUM(Z161:Z172)</f>
        <v>0</v>
      </c>
      <c r="AA173" s="145">
        <f>SUM(AA161:AA172)</f>
        <v>0</v>
      </c>
      <c r="AB173" s="629"/>
      <c r="AC173" s="629"/>
      <c r="AD173" s="146">
        <f>SUM(AD161:AD172)</f>
        <v>0</v>
      </c>
      <c r="AE173" s="146">
        <f>SUM(AE161:AE172)</f>
        <v>0</v>
      </c>
      <c r="AF173" s="96">
        <f t="shared" si="63"/>
        <v>-144.25200763240218</v>
      </c>
      <c r="AG173" s="133">
        <f t="shared" si="64"/>
        <v>0.93885554101712354</v>
      </c>
      <c r="AH173" s="632"/>
    </row>
    <row r="174" spans="1:36">
      <c r="AJ174" s="345" t="s">
        <v>183</v>
      </c>
    </row>
    <row r="175" spans="1:36">
      <c r="AJ175" s="345" t="s">
        <v>184</v>
      </c>
    </row>
    <row r="176" spans="1:36">
      <c r="AJ176" s="345" t="s">
        <v>236</v>
      </c>
    </row>
    <row r="177" spans="23:36">
      <c r="W177" s="70"/>
      <c r="AJ177" s="345" t="s">
        <v>185</v>
      </c>
    </row>
    <row r="178" spans="23:36">
      <c r="W178" s="70"/>
      <c r="AJ178" s="345" t="s">
        <v>186</v>
      </c>
    </row>
    <row r="179" spans="23:36">
      <c r="W179" s="70"/>
      <c r="AJ179" s="345" t="s">
        <v>187</v>
      </c>
    </row>
    <row r="180" spans="23:36">
      <c r="W180" s="70"/>
      <c r="AJ180" s="345" t="s">
        <v>188</v>
      </c>
    </row>
    <row r="181" spans="23:36">
      <c r="W181" s="70"/>
      <c r="AJ181" s="345" t="s">
        <v>189</v>
      </c>
    </row>
    <row r="182" spans="23:36">
      <c r="W182" s="70"/>
      <c r="AJ182" s="345" t="s">
        <v>190</v>
      </c>
    </row>
    <row r="183" spans="23:36">
      <c r="W183" s="70"/>
      <c r="AJ183" s="345" t="s">
        <v>191</v>
      </c>
    </row>
    <row r="184" spans="23:36">
      <c r="W184" s="70"/>
      <c r="AJ184" s="345" t="s">
        <v>192</v>
      </c>
    </row>
    <row r="185" spans="23:36">
      <c r="W185" s="70"/>
      <c r="AJ185" s="345" t="s">
        <v>237</v>
      </c>
    </row>
    <row r="186" spans="23:36">
      <c r="W186" s="70"/>
      <c r="AJ186" s="345" t="s">
        <v>238</v>
      </c>
    </row>
  </sheetData>
  <mergeCells count="255">
    <mergeCell ref="M1:O2"/>
    <mergeCell ref="P1:S2"/>
    <mergeCell ref="T1:Y2"/>
    <mergeCell ref="AB1:AC2"/>
    <mergeCell ref="AF1:AH2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AF3:AF4"/>
    <mergeCell ref="AG3:AG4"/>
    <mergeCell ref="AH3:AH4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1" type="noConversion"/>
  <conditionalFormatting sqref="Q147 AF147 Q173 AF173 AF123 Q30 AF121 Q121 Q95 AF95 AF43 Q43 AF134 Q134 AF17:AF19 AF136 AF32 Q82 AF82 Q154:Q159 AF125 Q17:Q18 AF155:AF159 AF21 AF25 AF27 AF29 AF5:AF12 AF23 AF57:AF70 Q57:Q70 Q13">
    <cfRule type="cellIs" dxfId="3701" priority="3702" operator="lessThan">
      <formula>0</formula>
    </cfRule>
  </conditionalFormatting>
  <conditionalFormatting sqref="AH57 AH70 S43 S123 S95 AH95 S5:S9 AH5:AH9 S134 AH17:AH18 S17:S18 S32 S82 AH82 S57:S70">
    <cfRule type="cellIs" dxfId="3700" priority="3701" operator="lessThan">
      <formula>0.8</formula>
    </cfRule>
  </conditionalFormatting>
  <conditionalFormatting sqref="R147 R173 R30 R121 R95 R43 R134 R82 R154:R159 R17:R18 R57:R70 R13">
    <cfRule type="cellIs" dxfId="3699" priority="3699" operator="lessThan">
      <formula>0.8</formula>
    </cfRule>
    <cfRule type="cellIs" dxfId="3698" priority="3700" operator="greaterThan">
      <formula>1</formula>
    </cfRule>
  </conditionalFormatting>
  <conditionalFormatting sqref="R147 AG147 R173 AG173 AG123 R30 AG121 R121 R95 AG95 AG43 R43 AG134 R134 AG17:AG19 AG136 AG32 R82 AG82 R154:R159 AG125 R17:R18 AG155:AG159 AG21 AG25 AG27 AG29 AG5:AG11 AG23 AG57:AG70 R57:R70 R13">
    <cfRule type="cellIs" dxfId="3697" priority="3697" operator="greaterThan">
      <formula>1</formula>
    </cfRule>
    <cfRule type="cellIs" dxfId="3696" priority="3698" operator="lessThan">
      <formula>0.8</formula>
    </cfRule>
  </conditionalFormatting>
  <conditionalFormatting sqref="P147 P30 P121 P95 P43 P134 P82 P154:P159 P17:P18 P57:P70 P13">
    <cfRule type="cellIs" dxfId="3695" priority="3696" operator="greaterThan">
      <formula>0</formula>
    </cfRule>
  </conditionalFormatting>
  <conditionalFormatting sqref="S161">
    <cfRule type="cellIs" dxfId="3694" priority="3695" operator="lessThan">
      <formula>0.8</formula>
    </cfRule>
  </conditionalFormatting>
  <conditionalFormatting sqref="Q161:Q166">
    <cfRule type="cellIs" dxfId="3693" priority="3694" operator="lessThan">
      <formula>0</formula>
    </cfRule>
  </conditionalFormatting>
  <conditionalFormatting sqref="R161:R166">
    <cfRule type="cellIs" dxfId="3692" priority="3692" operator="lessThan">
      <formula>0.8</formula>
    </cfRule>
    <cfRule type="cellIs" dxfId="3691" priority="3693" operator="greaterThan">
      <formula>1</formula>
    </cfRule>
  </conditionalFormatting>
  <conditionalFormatting sqref="R161:R166">
    <cfRule type="cellIs" dxfId="3690" priority="3690" operator="greaterThan">
      <formula>1</formula>
    </cfRule>
    <cfRule type="cellIs" dxfId="3689" priority="3691" operator="lessThan">
      <formula>0.8</formula>
    </cfRule>
  </conditionalFormatting>
  <conditionalFormatting sqref="P161:P166">
    <cfRule type="cellIs" dxfId="3688" priority="3689" operator="greaterThan">
      <formula>0</formula>
    </cfRule>
  </conditionalFormatting>
  <conditionalFormatting sqref="Q169:Q172 AF161:AF172">
    <cfRule type="cellIs" dxfId="3687" priority="3688" operator="lessThan">
      <formula>0</formula>
    </cfRule>
  </conditionalFormatting>
  <conditionalFormatting sqref="R169:R172">
    <cfRule type="cellIs" dxfId="3686" priority="3686" operator="lessThan">
      <formula>0.8</formula>
    </cfRule>
    <cfRule type="cellIs" dxfId="3685" priority="3687" operator="greaterThan">
      <formula>1</formula>
    </cfRule>
  </conditionalFormatting>
  <conditionalFormatting sqref="R169:R172 AG161:AG172">
    <cfRule type="cellIs" dxfId="3684" priority="3684" operator="greaterThan">
      <formula>1</formula>
    </cfRule>
    <cfRule type="cellIs" dxfId="3683" priority="3685" operator="lessThan">
      <formula>0.8</formula>
    </cfRule>
  </conditionalFormatting>
  <conditionalFormatting sqref="P169:P172">
    <cfRule type="cellIs" dxfId="3682" priority="3683" operator="greaterThan">
      <formula>0</formula>
    </cfRule>
  </conditionalFormatting>
  <conditionalFormatting sqref="AF145">
    <cfRule type="cellIs" dxfId="3681" priority="3682" operator="lessThan">
      <formula>0</formula>
    </cfRule>
  </conditionalFormatting>
  <conditionalFormatting sqref="AG145">
    <cfRule type="cellIs" dxfId="3680" priority="3680" operator="greaterThan">
      <formula>1</formula>
    </cfRule>
    <cfRule type="cellIs" dxfId="3679" priority="3681" operator="lessThan">
      <formula>0.8</formula>
    </cfRule>
  </conditionalFormatting>
  <conditionalFormatting sqref="AF44:AF52">
    <cfRule type="cellIs" dxfId="3678" priority="3679" operator="lessThan">
      <formula>0</formula>
    </cfRule>
  </conditionalFormatting>
  <conditionalFormatting sqref="AG44:AG52">
    <cfRule type="cellIs" dxfId="3677" priority="3677" operator="greaterThan">
      <formula>1</formula>
    </cfRule>
    <cfRule type="cellIs" dxfId="3676" priority="3678" operator="lessThan">
      <formula>0.8</formula>
    </cfRule>
  </conditionalFormatting>
  <conditionalFormatting sqref="AF83:AF94">
    <cfRule type="cellIs" dxfId="3675" priority="3676" operator="lessThan">
      <formula>0</formula>
    </cfRule>
  </conditionalFormatting>
  <conditionalFormatting sqref="AH83">
    <cfRule type="cellIs" dxfId="3674" priority="3675" operator="lessThan">
      <formula>0.8</formula>
    </cfRule>
  </conditionalFormatting>
  <conditionalFormatting sqref="AG83:AG94">
    <cfRule type="cellIs" dxfId="3673" priority="3673" operator="greaterThan">
      <formula>1</formula>
    </cfRule>
    <cfRule type="cellIs" dxfId="3672" priority="3674" operator="lessThan">
      <formula>0.8</formula>
    </cfRule>
  </conditionalFormatting>
  <conditionalFormatting sqref="S83">
    <cfRule type="cellIs" dxfId="3671" priority="3672" operator="lessThan">
      <formula>0.8</formula>
    </cfRule>
  </conditionalFormatting>
  <conditionalFormatting sqref="AH84">
    <cfRule type="cellIs" dxfId="3670" priority="3671" operator="lessThan">
      <formula>0.8</formula>
    </cfRule>
  </conditionalFormatting>
  <conditionalFormatting sqref="S84">
    <cfRule type="cellIs" dxfId="3669" priority="3670" operator="lessThan">
      <formula>0.8</formula>
    </cfRule>
  </conditionalFormatting>
  <conditionalFormatting sqref="S90">
    <cfRule type="cellIs" dxfId="3668" priority="3669" operator="lessThan">
      <formula>0.8</formula>
    </cfRule>
  </conditionalFormatting>
  <conditionalFormatting sqref="AH90">
    <cfRule type="cellIs" dxfId="3667" priority="3668" operator="lessThan">
      <formula>0.8</formula>
    </cfRule>
  </conditionalFormatting>
  <conditionalFormatting sqref="AF122">
    <cfRule type="cellIs" dxfId="3666" priority="3667" operator="lessThan">
      <formula>0</formula>
    </cfRule>
  </conditionalFormatting>
  <conditionalFormatting sqref="S122">
    <cfRule type="cellIs" dxfId="3665" priority="3666" operator="lessThan">
      <formula>0.8</formula>
    </cfRule>
  </conditionalFormatting>
  <conditionalFormatting sqref="AG122">
    <cfRule type="cellIs" dxfId="3664" priority="3664" operator="greaterThan">
      <formula>1</formula>
    </cfRule>
    <cfRule type="cellIs" dxfId="3663" priority="3665" operator="lessThan">
      <formula>0.8</formula>
    </cfRule>
  </conditionalFormatting>
  <conditionalFormatting sqref="P162:P168">
    <cfRule type="cellIs" dxfId="3662" priority="3658" operator="greaterThan">
      <formula>0</formula>
    </cfRule>
  </conditionalFormatting>
  <conditionalFormatting sqref="R162:R168">
    <cfRule type="cellIs" dxfId="3661" priority="3661" operator="lessThan">
      <formula>0.8</formula>
    </cfRule>
    <cfRule type="cellIs" dxfId="3660" priority="3662" operator="greaterThan">
      <formula>1</formula>
    </cfRule>
  </conditionalFormatting>
  <conditionalFormatting sqref="R162:R168">
    <cfRule type="cellIs" dxfId="3659" priority="3659" operator="greaterThan">
      <formula>1</formula>
    </cfRule>
    <cfRule type="cellIs" dxfId="3658" priority="3660" operator="lessThan">
      <formula>0.8</formula>
    </cfRule>
  </conditionalFormatting>
  <conditionalFormatting sqref="Q162:Q168">
    <cfRule type="cellIs" dxfId="3657" priority="3663" operator="lessThan">
      <formula>0</formula>
    </cfRule>
  </conditionalFormatting>
  <conditionalFormatting sqref="P132:P133">
    <cfRule type="cellIs" dxfId="3656" priority="3651" operator="greaterThan">
      <formula>0</formula>
    </cfRule>
  </conditionalFormatting>
  <conditionalFormatting sqref="AF124 Q132:Q133 AF126:AF133">
    <cfRule type="cellIs" dxfId="3655" priority="3657" operator="lessThan">
      <formula>0</formula>
    </cfRule>
  </conditionalFormatting>
  <conditionalFormatting sqref="S124:S133">
    <cfRule type="cellIs" dxfId="3654" priority="3656" operator="lessThan">
      <formula>0.8</formula>
    </cfRule>
  </conditionalFormatting>
  <conditionalFormatting sqref="R132:R133">
    <cfRule type="cellIs" dxfId="3653" priority="3654" operator="lessThan">
      <formula>0.8</formula>
    </cfRule>
    <cfRule type="cellIs" dxfId="3652" priority="3655" operator="greaterThan">
      <formula>1</formula>
    </cfRule>
  </conditionalFormatting>
  <conditionalFormatting sqref="AG124 R132:R133 AG126:AG133">
    <cfRule type="cellIs" dxfId="3651" priority="3652" operator="greaterThan">
      <formula>1</formula>
    </cfRule>
    <cfRule type="cellIs" dxfId="3650" priority="3653" operator="lessThan">
      <formula>0.8</formula>
    </cfRule>
  </conditionalFormatting>
  <conditionalFormatting sqref="AF112 AF115">
    <cfRule type="cellIs" dxfId="3649" priority="3650" operator="lessThan">
      <formula>0</formula>
    </cfRule>
  </conditionalFormatting>
  <conditionalFormatting sqref="AG112 AG115">
    <cfRule type="cellIs" dxfId="3648" priority="3648" operator="greaterThan">
      <formula>1</formula>
    </cfRule>
    <cfRule type="cellIs" dxfId="3647" priority="3649" operator="lessThan">
      <formula>0.8</formula>
    </cfRule>
  </conditionalFormatting>
  <conditionalFormatting sqref="AF111 AF114 AF117">
    <cfRule type="cellIs" dxfId="3646" priority="3647" operator="lessThan">
      <formula>0</formula>
    </cfRule>
  </conditionalFormatting>
  <conditionalFormatting sqref="AH109">
    <cfRule type="cellIs" dxfId="3645" priority="3646" operator="lessThan">
      <formula>0.8</formula>
    </cfRule>
  </conditionalFormatting>
  <conditionalFormatting sqref="AG111 AG114 AG117">
    <cfRule type="cellIs" dxfId="3644" priority="3644" operator="greaterThan">
      <formula>1</formula>
    </cfRule>
    <cfRule type="cellIs" dxfId="3643" priority="3645" operator="lessThan">
      <formula>0.8</formula>
    </cfRule>
  </conditionalFormatting>
  <conditionalFormatting sqref="R160 AG160">
    <cfRule type="cellIs" dxfId="3642" priority="3639" operator="greaterThan">
      <formula>1</formula>
    </cfRule>
    <cfRule type="cellIs" dxfId="3641" priority="3640" operator="lessThan">
      <formula>0.8</formula>
    </cfRule>
  </conditionalFormatting>
  <conditionalFormatting sqref="R160">
    <cfRule type="cellIs" dxfId="3640" priority="3641" operator="lessThan">
      <formula>0.8</formula>
    </cfRule>
    <cfRule type="cellIs" dxfId="3639" priority="3642" operator="greaterThan">
      <formula>1</formula>
    </cfRule>
  </conditionalFormatting>
  <conditionalFormatting sqref="P160">
    <cfRule type="cellIs" dxfId="3638" priority="3638" operator="greaterThan">
      <formula>0</formula>
    </cfRule>
  </conditionalFormatting>
  <conditionalFormatting sqref="AH148">
    <cfRule type="cellIs" dxfId="3637" priority="3637" operator="lessThan">
      <formula>0.8</formula>
    </cfRule>
  </conditionalFormatting>
  <conditionalFormatting sqref="Q160 AF160">
    <cfRule type="cellIs" dxfId="3636" priority="3643" operator="lessThan">
      <formula>0</formula>
    </cfRule>
  </conditionalFormatting>
  <conditionalFormatting sqref="AF148:AF154">
    <cfRule type="cellIs" dxfId="3635" priority="3636" operator="lessThan">
      <formula>0</formula>
    </cfRule>
  </conditionalFormatting>
  <conditionalFormatting sqref="S148">
    <cfRule type="cellIs" dxfId="3634" priority="3635" operator="lessThan">
      <formula>0.8</formula>
    </cfRule>
  </conditionalFormatting>
  <conditionalFormatting sqref="AG148:AG154">
    <cfRule type="cellIs" dxfId="3633" priority="3633" operator="greaterThan">
      <formula>1</formula>
    </cfRule>
    <cfRule type="cellIs" dxfId="3632" priority="3634" operator="lessThan">
      <formula>0.8</formula>
    </cfRule>
  </conditionalFormatting>
  <conditionalFormatting sqref="S86">
    <cfRule type="cellIs" dxfId="3631" priority="3632" operator="lessThan">
      <formula>0.8</formula>
    </cfRule>
  </conditionalFormatting>
  <conditionalFormatting sqref="S88 AH88">
    <cfRule type="cellIs" dxfId="3630" priority="3627" operator="lessThan">
      <formula>0.8</formula>
    </cfRule>
  </conditionalFormatting>
  <conditionalFormatting sqref="AH86">
    <cfRule type="cellIs" dxfId="3629" priority="3631" operator="lessThan">
      <formula>0.8</formula>
    </cfRule>
  </conditionalFormatting>
  <conditionalFormatting sqref="S87">
    <cfRule type="cellIs" dxfId="3628" priority="3630" operator="lessThan">
      <formula>0.8</formula>
    </cfRule>
  </conditionalFormatting>
  <conditionalFormatting sqref="AH87">
    <cfRule type="cellIs" dxfId="3627" priority="3629" operator="lessThan">
      <formula>0.8</formula>
    </cfRule>
  </conditionalFormatting>
  <conditionalFormatting sqref="S89 AH89">
    <cfRule type="cellIs" dxfId="3626" priority="3628" operator="lessThan">
      <formula>0.8</formula>
    </cfRule>
  </conditionalFormatting>
  <conditionalFormatting sqref="AF31">
    <cfRule type="cellIs" dxfId="3625" priority="3626" operator="lessThan">
      <formula>0</formula>
    </cfRule>
  </conditionalFormatting>
  <conditionalFormatting sqref="AH31 S31">
    <cfRule type="cellIs" dxfId="3624" priority="3625" operator="lessThan">
      <formula>0.8</formula>
    </cfRule>
  </conditionalFormatting>
  <conditionalFormatting sqref="AG31">
    <cfRule type="cellIs" dxfId="3623" priority="3623" operator="greaterThan">
      <formula>1</formula>
    </cfRule>
    <cfRule type="cellIs" dxfId="3622" priority="3624" operator="lessThan">
      <formula>0.8</formula>
    </cfRule>
  </conditionalFormatting>
  <conditionalFormatting sqref="AF135">
    <cfRule type="cellIs" dxfId="3621" priority="3622" operator="lessThan">
      <formula>0</formula>
    </cfRule>
  </conditionalFormatting>
  <conditionalFormatting sqref="AH135 S135">
    <cfRule type="cellIs" dxfId="3620" priority="3621" operator="lessThan">
      <formula>0.8</formula>
    </cfRule>
  </conditionalFormatting>
  <conditionalFormatting sqref="AG135">
    <cfRule type="cellIs" dxfId="3619" priority="3619" operator="greaterThan">
      <formula>1</formula>
    </cfRule>
    <cfRule type="cellIs" dxfId="3618" priority="3620" operator="lessThan">
      <formula>0.8</formula>
    </cfRule>
  </conditionalFormatting>
  <conditionalFormatting sqref="AF110 AF113 AF116">
    <cfRule type="cellIs" dxfId="3617" priority="3618" operator="lessThan">
      <formula>0</formula>
    </cfRule>
  </conditionalFormatting>
  <conditionalFormatting sqref="AG110 AG113 AG116">
    <cfRule type="cellIs" dxfId="3616" priority="3616" operator="greaterThan">
      <formula>1</formula>
    </cfRule>
    <cfRule type="cellIs" dxfId="3615" priority="3617" operator="lessThan">
      <formula>0.8</formula>
    </cfRule>
  </conditionalFormatting>
  <conditionalFormatting sqref="AF108 Q108">
    <cfRule type="cellIs" dxfId="3614" priority="3615" operator="lessThan">
      <formula>0</formula>
    </cfRule>
  </conditionalFormatting>
  <conditionalFormatting sqref="R108">
    <cfRule type="cellIs" dxfId="3613" priority="3613" operator="lessThan">
      <formula>0.8</formula>
    </cfRule>
    <cfRule type="cellIs" dxfId="3612" priority="3614" operator="greaterThan">
      <formula>1</formula>
    </cfRule>
  </conditionalFormatting>
  <conditionalFormatting sqref="AG108 R108">
    <cfRule type="cellIs" dxfId="3611" priority="3611" operator="greaterThan">
      <formula>1</formula>
    </cfRule>
    <cfRule type="cellIs" dxfId="3610" priority="3612" operator="lessThan">
      <formula>0.8</formula>
    </cfRule>
  </conditionalFormatting>
  <conditionalFormatting sqref="P108">
    <cfRule type="cellIs" dxfId="3609" priority="3610" operator="greaterThan">
      <formula>0</formula>
    </cfRule>
  </conditionalFormatting>
  <conditionalFormatting sqref="AH97">
    <cfRule type="cellIs" dxfId="3608" priority="3605" operator="lessThan">
      <formula>0.8</formula>
    </cfRule>
  </conditionalFormatting>
  <conditionalFormatting sqref="AG96">
    <cfRule type="cellIs" dxfId="3607" priority="3607" operator="greaterThan">
      <formula>1</formula>
    </cfRule>
    <cfRule type="cellIs" dxfId="3606" priority="3608" operator="lessThan">
      <formula>0.8</formula>
    </cfRule>
  </conditionalFormatting>
  <conditionalFormatting sqref="AF96">
    <cfRule type="cellIs" dxfId="3605" priority="3609" operator="lessThan">
      <formula>0</formula>
    </cfRule>
  </conditionalFormatting>
  <conditionalFormatting sqref="AG97">
    <cfRule type="cellIs" dxfId="3604" priority="3603" operator="greaterThan">
      <formula>1</formula>
    </cfRule>
    <cfRule type="cellIs" dxfId="3603" priority="3604" operator="lessThan">
      <formula>0.8</formula>
    </cfRule>
  </conditionalFormatting>
  <conditionalFormatting sqref="AF97">
    <cfRule type="cellIs" dxfId="3602" priority="3606" operator="lessThan">
      <formula>0</formula>
    </cfRule>
  </conditionalFormatting>
  <conditionalFormatting sqref="AF71 AF73 AF75 AF77 AF79">
    <cfRule type="cellIs" dxfId="3601" priority="3600" operator="lessThan">
      <formula>0</formula>
    </cfRule>
  </conditionalFormatting>
  <conditionalFormatting sqref="S71 AH71">
    <cfRule type="cellIs" dxfId="3600" priority="3599" operator="lessThan">
      <formula>0.8</formula>
    </cfRule>
  </conditionalFormatting>
  <conditionalFormatting sqref="AG71 AG73 AG75 AG77 AG79">
    <cfRule type="cellIs" dxfId="3599" priority="3597" operator="greaterThan">
      <formula>1</formula>
    </cfRule>
    <cfRule type="cellIs" dxfId="3598" priority="3598" operator="lessThan">
      <formula>0.8</formula>
    </cfRule>
  </conditionalFormatting>
  <conditionalFormatting sqref="AF72 AF74 AF76 AF78 AF80">
    <cfRule type="cellIs" dxfId="3597" priority="3596" operator="lessThan">
      <formula>0</formula>
    </cfRule>
  </conditionalFormatting>
  <conditionalFormatting sqref="S72 AH72">
    <cfRule type="cellIs" dxfId="3596" priority="3595" operator="lessThan">
      <formula>0.8</formula>
    </cfRule>
  </conditionalFormatting>
  <conditionalFormatting sqref="S11">
    <cfRule type="cellIs" dxfId="3595" priority="3602" operator="lessThan">
      <formula>0.8</formula>
    </cfRule>
  </conditionalFormatting>
  <conditionalFormatting sqref="S10">
    <cfRule type="cellIs" dxfId="3594" priority="3601" operator="lessThan">
      <formula>0.8</formula>
    </cfRule>
  </conditionalFormatting>
  <conditionalFormatting sqref="AG72 AG74 AG76 AG78 AG80">
    <cfRule type="cellIs" dxfId="3593" priority="3593" operator="greaterThan">
      <formula>1</formula>
    </cfRule>
    <cfRule type="cellIs" dxfId="3592" priority="3594" operator="lessThan">
      <formula>0.8</formula>
    </cfRule>
  </conditionalFormatting>
  <conditionalFormatting sqref="AF13:AF16 Q15:Q16">
    <cfRule type="cellIs" dxfId="3591" priority="3592" operator="lessThan">
      <formula>0</formula>
    </cfRule>
  </conditionalFormatting>
  <conditionalFormatting sqref="R15:R16">
    <cfRule type="cellIs" dxfId="3590" priority="3590" operator="lessThan">
      <formula>0.8</formula>
    </cfRule>
    <cfRule type="cellIs" dxfId="3589" priority="3591" operator="greaterThan">
      <formula>1</formula>
    </cfRule>
  </conditionalFormatting>
  <conditionalFormatting sqref="AG12:AG16 R15:R16">
    <cfRule type="cellIs" dxfId="3588" priority="3588" operator="greaterThan">
      <formula>1</formula>
    </cfRule>
    <cfRule type="cellIs" dxfId="3587" priority="3589" operator="lessThan">
      <formula>0.8</formula>
    </cfRule>
  </conditionalFormatting>
  <conditionalFormatting sqref="P15:P16">
    <cfRule type="cellIs" dxfId="3586" priority="3587" operator="greaterThan">
      <formula>0</formula>
    </cfRule>
  </conditionalFormatting>
  <conditionalFormatting sqref="AF98 AF100 AF102 AF104">
    <cfRule type="cellIs" dxfId="3585" priority="3586" operator="lessThan">
      <formula>0</formula>
    </cfRule>
  </conditionalFormatting>
  <conditionalFormatting sqref="AH98">
    <cfRule type="cellIs" dxfId="3584" priority="3585" operator="lessThan">
      <formula>0.8</formula>
    </cfRule>
  </conditionalFormatting>
  <conditionalFormatting sqref="AG98 AG100 AG102 AG104">
    <cfRule type="cellIs" dxfId="3583" priority="3583" operator="greaterThan">
      <formula>1</formula>
    </cfRule>
    <cfRule type="cellIs" dxfId="3582" priority="3584" operator="lessThan">
      <formula>0.8</formula>
    </cfRule>
  </conditionalFormatting>
  <conditionalFormatting sqref="AF20 AF22 AF24 AF26 AF28">
    <cfRule type="cellIs" dxfId="3581" priority="3582" operator="lessThan">
      <formula>0</formula>
    </cfRule>
  </conditionalFormatting>
  <conditionalFormatting sqref="AG20 AG22 AG24 AG26 AG28">
    <cfRule type="cellIs" dxfId="3580" priority="3580" operator="greaterThan">
      <formula>1</formula>
    </cfRule>
    <cfRule type="cellIs" dxfId="3579" priority="3581" operator="lessThan">
      <formula>0.8</formula>
    </cfRule>
  </conditionalFormatting>
  <conditionalFormatting sqref="AF33">
    <cfRule type="cellIs" dxfId="3578" priority="3579" operator="lessThan">
      <formula>0</formula>
    </cfRule>
  </conditionalFormatting>
  <conditionalFormatting sqref="AG33">
    <cfRule type="cellIs" dxfId="3577" priority="3577" operator="greaterThan">
      <formula>1</formula>
    </cfRule>
    <cfRule type="cellIs" dxfId="3576" priority="3578" operator="lessThan">
      <formula>0.8</formula>
    </cfRule>
  </conditionalFormatting>
  <conditionalFormatting sqref="P41:P42">
    <cfRule type="cellIs" dxfId="3575" priority="3571" operator="greaterThan">
      <formula>0</formula>
    </cfRule>
  </conditionalFormatting>
  <conditionalFormatting sqref="Q41:Q42 AF34:AF42">
    <cfRule type="cellIs" dxfId="3574" priority="3576" operator="lessThan">
      <formula>0</formula>
    </cfRule>
  </conditionalFormatting>
  <conditionalFormatting sqref="R41:R42">
    <cfRule type="cellIs" dxfId="3573" priority="3574" operator="lessThan">
      <formula>0.8</formula>
    </cfRule>
    <cfRule type="cellIs" dxfId="3572" priority="3575" operator="greaterThan">
      <formula>1</formula>
    </cfRule>
  </conditionalFormatting>
  <conditionalFormatting sqref="R41:R42 AG34:AG42">
    <cfRule type="cellIs" dxfId="3571" priority="3572" operator="greaterThan">
      <formula>1</formula>
    </cfRule>
    <cfRule type="cellIs" dxfId="3570" priority="3573" operator="lessThan">
      <formula>0.8</formula>
    </cfRule>
  </conditionalFormatting>
  <conditionalFormatting sqref="AF137:AF144">
    <cfRule type="cellIs" dxfId="3569" priority="3570" operator="lessThan">
      <formula>0</formula>
    </cfRule>
  </conditionalFormatting>
  <conditionalFormatting sqref="AH137 S137">
    <cfRule type="cellIs" dxfId="3568" priority="3569" operator="lessThan">
      <formula>0.8</formula>
    </cfRule>
  </conditionalFormatting>
  <conditionalFormatting sqref="AG137:AG144">
    <cfRule type="cellIs" dxfId="3567" priority="3567" operator="greaterThan">
      <formula>1</formula>
    </cfRule>
    <cfRule type="cellIs" dxfId="3566" priority="3568" operator="lessThan">
      <formula>0.8</formula>
    </cfRule>
  </conditionalFormatting>
  <conditionalFormatting sqref="AF53:AF55">
    <cfRule type="cellIs" dxfId="3565" priority="3566" operator="lessThan">
      <formula>0</formula>
    </cfRule>
  </conditionalFormatting>
  <conditionalFormatting sqref="AG53:AG55">
    <cfRule type="cellIs" dxfId="3564" priority="3564" operator="greaterThan">
      <formula>1</formula>
    </cfRule>
    <cfRule type="cellIs" dxfId="3563" priority="3565" operator="lessThan">
      <formula>0.8</formula>
    </cfRule>
  </conditionalFormatting>
  <conditionalFormatting sqref="AF56 Q56">
    <cfRule type="cellIs" dxfId="3562" priority="3563" operator="lessThan">
      <formula>0</formula>
    </cfRule>
  </conditionalFormatting>
  <conditionalFormatting sqref="R56">
    <cfRule type="cellIs" dxfId="3561" priority="3561" operator="lessThan">
      <formula>0.8</formula>
    </cfRule>
    <cfRule type="cellIs" dxfId="3560" priority="3562" operator="greaterThan">
      <formula>1</formula>
    </cfRule>
  </conditionalFormatting>
  <conditionalFormatting sqref="AG56 R56">
    <cfRule type="cellIs" dxfId="3559" priority="3559" operator="greaterThan">
      <formula>1</formula>
    </cfRule>
    <cfRule type="cellIs" dxfId="3558" priority="3560" operator="lessThan">
      <formula>0.8</formula>
    </cfRule>
  </conditionalFormatting>
  <conditionalFormatting sqref="P56">
    <cfRule type="cellIs" dxfId="3557" priority="3558" operator="greaterThan">
      <formula>0</formula>
    </cfRule>
  </conditionalFormatting>
  <conditionalFormatting sqref="P52:P55">
    <cfRule type="cellIs" dxfId="3556" priority="3552" operator="greaterThan">
      <formula>0</formula>
    </cfRule>
  </conditionalFormatting>
  <conditionalFormatting sqref="Q52:Q55">
    <cfRule type="cellIs" dxfId="3555" priority="3557" operator="lessThan">
      <formula>0</formula>
    </cfRule>
  </conditionalFormatting>
  <conditionalFormatting sqref="R52:R55">
    <cfRule type="cellIs" dxfId="3554" priority="3555" operator="lessThan">
      <formula>0.8</formula>
    </cfRule>
    <cfRule type="cellIs" dxfId="3553" priority="3556" operator="greaterThan">
      <formula>1</formula>
    </cfRule>
  </conditionalFormatting>
  <conditionalFormatting sqref="R52:R55">
    <cfRule type="cellIs" dxfId="3552" priority="3553" operator="greaterThan">
      <formula>1</formula>
    </cfRule>
    <cfRule type="cellIs" dxfId="3551" priority="3554" operator="lessThan">
      <formula>0.8</formula>
    </cfRule>
  </conditionalFormatting>
  <conditionalFormatting sqref="P80:P81">
    <cfRule type="cellIs" dxfId="3550" priority="3546" operator="greaterThan">
      <formula>0</formula>
    </cfRule>
  </conditionalFormatting>
  <conditionalFormatting sqref="AF81 Q80:Q81">
    <cfRule type="cellIs" dxfId="3549" priority="3551" operator="lessThan">
      <formula>0</formula>
    </cfRule>
  </conditionalFormatting>
  <conditionalFormatting sqref="R80:R81">
    <cfRule type="cellIs" dxfId="3548" priority="3549" operator="lessThan">
      <formula>0.8</formula>
    </cfRule>
    <cfRule type="cellIs" dxfId="3547" priority="3550" operator="greaterThan">
      <formula>1</formula>
    </cfRule>
  </conditionalFormatting>
  <conditionalFormatting sqref="AG81 R80:R81">
    <cfRule type="cellIs" dxfId="3546" priority="3547" operator="greaterThan">
      <formula>1</formula>
    </cfRule>
    <cfRule type="cellIs" dxfId="3545" priority="3548" operator="lessThan">
      <formula>0.8</formula>
    </cfRule>
  </conditionalFormatting>
  <conditionalFormatting sqref="AH85">
    <cfRule type="cellIs" dxfId="3544" priority="3545" operator="lessThan">
      <formula>0.8</formula>
    </cfRule>
  </conditionalFormatting>
  <conditionalFormatting sqref="S85">
    <cfRule type="cellIs" dxfId="3543" priority="3544" operator="lessThan">
      <formula>0.8</formula>
    </cfRule>
  </conditionalFormatting>
  <conditionalFormatting sqref="AF99 AF101 AF103">
    <cfRule type="cellIs" dxfId="3542" priority="3543" operator="lessThan">
      <formula>0</formula>
    </cfRule>
  </conditionalFormatting>
  <conditionalFormatting sqref="AG99 AG101 AG103">
    <cfRule type="cellIs" dxfId="3541" priority="3541" operator="greaterThan">
      <formula>1</formula>
    </cfRule>
    <cfRule type="cellIs" dxfId="3540" priority="3542" operator="lessThan">
      <formula>0.8</formula>
    </cfRule>
  </conditionalFormatting>
  <conditionalFormatting sqref="AF105:AF107">
    <cfRule type="cellIs" dxfId="3539" priority="3540" operator="lessThan">
      <formula>0</formula>
    </cfRule>
  </conditionalFormatting>
  <conditionalFormatting sqref="AH100:AH107">
    <cfRule type="cellIs" dxfId="3538" priority="3539" operator="lessThan">
      <formula>0.8</formula>
    </cfRule>
  </conditionalFormatting>
  <conditionalFormatting sqref="AG105:AG107">
    <cfRule type="cellIs" dxfId="3537" priority="3537" operator="greaterThan">
      <formula>1</formula>
    </cfRule>
    <cfRule type="cellIs" dxfId="3536" priority="3538" operator="lessThan">
      <formula>0.8</formula>
    </cfRule>
  </conditionalFormatting>
  <conditionalFormatting sqref="P106:P107">
    <cfRule type="cellIs" dxfId="3535" priority="3531" operator="greaterThan">
      <formula>0</formula>
    </cfRule>
  </conditionalFormatting>
  <conditionalFormatting sqref="Q106:Q107">
    <cfRule type="cellIs" dxfId="3534" priority="3536" operator="lessThan">
      <formula>0</formula>
    </cfRule>
  </conditionalFormatting>
  <conditionalFormatting sqref="R106:R107">
    <cfRule type="cellIs" dxfId="3533" priority="3534" operator="lessThan">
      <formula>0.8</formula>
    </cfRule>
    <cfRule type="cellIs" dxfId="3532" priority="3535" operator="greaterThan">
      <formula>1</formula>
    </cfRule>
  </conditionalFormatting>
  <conditionalFormatting sqref="R106:R107">
    <cfRule type="cellIs" dxfId="3531" priority="3532" operator="greaterThan">
      <formula>1</formula>
    </cfRule>
    <cfRule type="cellIs" dxfId="3530" priority="3533" operator="lessThan">
      <formula>0.8</formula>
    </cfRule>
  </conditionalFormatting>
  <conditionalFormatting sqref="AF109">
    <cfRule type="cellIs" dxfId="3529" priority="3530" operator="lessThan">
      <formula>0</formula>
    </cfRule>
  </conditionalFormatting>
  <conditionalFormatting sqref="S109">
    <cfRule type="cellIs" dxfId="3528" priority="3529" operator="lessThan">
      <formula>0.8</formula>
    </cfRule>
  </conditionalFormatting>
  <conditionalFormatting sqref="AG109">
    <cfRule type="cellIs" dxfId="3527" priority="3527" operator="greaterThan">
      <formula>1</formula>
    </cfRule>
    <cfRule type="cellIs" dxfId="3526" priority="3528" operator="lessThan">
      <formula>0.8</formula>
    </cfRule>
  </conditionalFormatting>
  <conditionalFormatting sqref="S150">
    <cfRule type="cellIs" dxfId="3525" priority="3526" operator="lessThan">
      <formula>0.8</formula>
    </cfRule>
  </conditionalFormatting>
  <conditionalFormatting sqref="AH150">
    <cfRule type="cellIs" dxfId="3524" priority="3525" operator="lessThan">
      <formula>0.8</formula>
    </cfRule>
  </conditionalFormatting>
  <conditionalFormatting sqref="S149">
    <cfRule type="cellIs" dxfId="3523" priority="3524" operator="lessThan">
      <formula>0.8</formula>
    </cfRule>
  </conditionalFormatting>
  <conditionalFormatting sqref="Q26:Q29">
    <cfRule type="cellIs" dxfId="3522" priority="3523" operator="lessThan">
      <formula>0</formula>
    </cfRule>
  </conditionalFormatting>
  <conditionalFormatting sqref="S21:S29 AH21:AH29">
    <cfRule type="cellIs" dxfId="3521" priority="3522" operator="lessThan">
      <formula>0.8</formula>
    </cfRule>
  </conditionalFormatting>
  <conditionalFormatting sqref="R26:R29">
    <cfRule type="cellIs" dxfId="3520" priority="3520" operator="lessThan">
      <formula>0.8</formula>
    </cfRule>
    <cfRule type="cellIs" dxfId="3519" priority="3521" operator="greaterThan">
      <formula>1</formula>
    </cfRule>
  </conditionalFormatting>
  <conditionalFormatting sqref="R26:R29">
    <cfRule type="cellIs" dxfId="3518" priority="3518" operator="greaterThan">
      <formula>1</formula>
    </cfRule>
    <cfRule type="cellIs" dxfId="3517" priority="3519" operator="lessThan">
      <formula>0.8</formula>
    </cfRule>
  </conditionalFormatting>
  <conditionalFormatting sqref="P26:P29">
    <cfRule type="cellIs" dxfId="3516" priority="3517" operator="greaterThan">
      <formula>0</formula>
    </cfRule>
  </conditionalFormatting>
  <conditionalFormatting sqref="AH91 S91">
    <cfRule type="cellIs" dxfId="3515" priority="3516" operator="lessThan">
      <formula>0.8</formula>
    </cfRule>
  </conditionalFormatting>
  <conditionalFormatting sqref="P92:P94">
    <cfRule type="cellIs" dxfId="3514" priority="3510" operator="greaterThan">
      <formula>0</formula>
    </cfRule>
  </conditionalFormatting>
  <conditionalFormatting sqref="Q92:Q94">
    <cfRule type="cellIs" dxfId="3513" priority="3515" operator="lessThan">
      <formula>0</formula>
    </cfRule>
  </conditionalFormatting>
  <conditionalFormatting sqref="R92:R94">
    <cfRule type="cellIs" dxfId="3512" priority="3513" operator="lessThan">
      <formula>0.8</formula>
    </cfRule>
    <cfRule type="cellIs" dxfId="3511" priority="3514" operator="greaterThan">
      <formula>1</formula>
    </cfRule>
  </conditionalFormatting>
  <conditionalFormatting sqref="R92:R94">
    <cfRule type="cellIs" dxfId="3510" priority="3511" operator="greaterThan">
      <formula>1</formula>
    </cfRule>
    <cfRule type="cellIs" dxfId="3509" priority="3512" operator="lessThan">
      <formula>0.8</formula>
    </cfRule>
  </conditionalFormatting>
  <conditionalFormatting sqref="AF146 Q145:Q146">
    <cfRule type="cellIs" dxfId="3508" priority="3509" operator="lessThan">
      <formula>0</formula>
    </cfRule>
  </conditionalFormatting>
  <conditionalFormatting sqref="AH139:AH146 S139:S146">
    <cfRule type="cellIs" dxfId="3507" priority="3508" operator="lessThan">
      <formula>0.8</formula>
    </cfRule>
  </conditionalFormatting>
  <conditionalFormatting sqref="R145:R146">
    <cfRule type="cellIs" dxfId="3506" priority="3506" operator="lessThan">
      <formula>0.8</formula>
    </cfRule>
    <cfRule type="cellIs" dxfId="3505" priority="3507" operator="greaterThan">
      <formula>1</formula>
    </cfRule>
  </conditionalFormatting>
  <conditionalFormatting sqref="AG146 R145:R146">
    <cfRule type="cellIs" dxfId="3504" priority="3504" operator="greaterThan">
      <formula>1</formula>
    </cfRule>
    <cfRule type="cellIs" dxfId="3503" priority="3505" operator="lessThan">
      <formula>0.8</formula>
    </cfRule>
  </conditionalFormatting>
  <conditionalFormatting sqref="P145:P146">
    <cfRule type="cellIs" dxfId="3502" priority="3503" operator="greaterThan">
      <formula>0</formula>
    </cfRule>
  </conditionalFormatting>
  <conditionalFormatting sqref="Q119:Q120">
    <cfRule type="cellIs" dxfId="3501" priority="3502" operator="lessThan">
      <formula>0</formula>
    </cfRule>
  </conditionalFormatting>
  <conditionalFormatting sqref="R119:R120">
    <cfRule type="cellIs" dxfId="3500" priority="3500" operator="lessThan">
      <formula>0.8</formula>
    </cfRule>
    <cfRule type="cellIs" dxfId="3499" priority="3501" operator="greaterThan">
      <formula>1</formula>
    </cfRule>
  </conditionalFormatting>
  <conditionalFormatting sqref="R119:R120">
    <cfRule type="cellIs" dxfId="3498" priority="3498" operator="greaterThan">
      <formula>1</formula>
    </cfRule>
    <cfRule type="cellIs" dxfId="3497" priority="3499" operator="lessThan">
      <formula>0.8</formula>
    </cfRule>
  </conditionalFormatting>
  <conditionalFormatting sqref="P119:P120">
    <cfRule type="cellIs" dxfId="3496" priority="3497" operator="greaterThan">
      <formula>0</formula>
    </cfRule>
  </conditionalFormatting>
  <conditionalFormatting sqref="AF118:AF120">
    <cfRule type="cellIs" dxfId="3495" priority="3496" operator="lessThan">
      <formula>0</formula>
    </cfRule>
  </conditionalFormatting>
  <conditionalFormatting sqref="AG118:AG120">
    <cfRule type="cellIs" dxfId="3494" priority="3494" operator="greaterThan">
      <formula>1</formula>
    </cfRule>
    <cfRule type="cellIs" dxfId="3493" priority="3495" operator="lessThan">
      <formula>0.8</formula>
    </cfRule>
  </conditionalFormatting>
  <conditionalFormatting sqref="S44:S56">
    <cfRule type="cellIs" dxfId="3492" priority="3493" operator="lessThan">
      <formula>0.8</formula>
    </cfRule>
  </conditionalFormatting>
  <conditionalFormatting sqref="S108">
    <cfRule type="cellIs" dxfId="3491" priority="3492" operator="lessThan">
      <formula>0.8</formula>
    </cfRule>
  </conditionalFormatting>
  <conditionalFormatting sqref="S96">
    <cfRule type="cellIs" dxfId="3490" priority="3491" operator="lessThan">
      <formula>0.8</formula>
    </cfRule>
  </conditionalFormatting>
  <conditionalFormatting sqref="S97">
    <cfRule type="cellIs" dxfId="3489" priority="3490" operator="lessThan">
      <formula>0.8</formula>
    </cfRule>
  </conditionalFormatting>
  <conditionalFormatting sqref="S103">
    <cfRule type="cellIs" dxfId="3488" priority="3489" operator="lessThan">
      <formula>0.8</formula>
    </cfRule>
  </conditionalFormatting>
  <conditionalFormatting sqref="S99">
    <cfRule type="cellIs" dxfId="3487" priority="3488" operator="lessThan">
      <formula>0.8</formula>
    </cfRule>
  </conditionalFormatting>
  <conditionalFormatting sqref="S101">
    <cfRule type="cellIs" dxfId="3486" priority="3485" operator="lessThan">
      <formula>0.8</formula>
    </cfRule>
  </conditionalFormatting>
  <conditionalFormatting sqref="S100">
    <cfRule type="cellIs" dxfId="3485" priority="3487" operator="lessThan">
      <formula>0.8</formula>
    </cfRule>
  </conditionalFormatting>
  <conditionalFormatting sqref="S102">
    <cfRule type="cellIs" dxfId="3484" priority="3486" operator="lessThan">
      <formula>0.8</formula>
    </cfRule>
  </conditionalFormatting>
  <conditionalFormatting sqref="S98">
    <cfRule type="cellIs" dxfId="3483" priority="3484" operator="lessThan">
      <formula>0.8</formula>
    </cfRule>
  </conditionalFormatting>
  <conditionalFormatting sqref="S104">
    <cfRule type="cellIs" dxfId="3482" priority="3483" operator="lessThan">
      <formula>0.8</formula>
    </cfRule>
  </conditionalFormatting>
  <conditionalFormatting sqref="P118">
    <cfRule type="cellIs" dxfId="3481" priority="3477" operator="greaterThan">
      <formula>0</formula>
    </cfRule>
  </conditionalFormatting>
  <conditionalFormatting sqref="Q118">
    <cfRule type="cellIs" dxfId="3480" priority="3482" operator="lessThan">
      <formula>0</formula>
    </cfRule>
  </conditionalFormatting>
  <conditionalFormatting sqref="R118">
    <cfRule type="cellIs" dxfId="3479" priority="3480" operator="lessThan">
      <formula>0.8</formula>
    </cfRule>
    <cfRule type="cellIs" dxfId="3478" priority="3481" operator="greaterThan">
      <formula>1</formula>
    </cfRule>
  </conditionalFormatting>
  <conditionalFormatting sqref="R118">
    <cfRule type="cellIs" dxfId="3477" priority="3478" operator="greaterThan">
      <formula>1</formula>
    </cfRule>
    <cfRule type="cellIs" dxfId="3476" priority="3479" operator="lessThan">
      <formula>0.8</formula>
    </cfRule>
  </conditionalFormatting>
  <conditionalFormatting sqref="Q162:Q166">
    <cfRule type="cellIs" dxfId="3475" priority="3476" operator="lessThan">
      <formula>0</formula>
    </cfRule>
  </conditionalFormatting>
  <conditionalFormatting sqref="R162:R166">
    <cfRule type="cellIs" dxfId="3474" priority="3474" operator="lessThan">
      <formula>0.8</formula>
    </cfRule>
    <cfRule type="cellIs" dxfId="3473" priority="3475" operator="greaterThan">
      <formula>1</formula>
    </cfRule>
  </conditionalFormatting>
  <conditionalFormatting sqref="R162:R166">
    <cfRule type="cellIs" dxfId="3472" priority="3472" operator="greaterThan">
      <formula>1</formula>
    </cfRule>
    <cfRule type="cellIs" dxfId="3471" priority="3473" operator="lessThan">
      <formula>0.8</formula>
    </cfRule>
  </conditionalFormatting>
  <conditionalFormatting sqref="P162:P166">
    <cfRule type="cellIs" dxfId="3470" priority="3471" operator="greaterThan">
      <formula>0</formula>
    </cfRule>
  </conditionalFormatting>
  <conditionalFormatting sqref="P167:P168">
    <cfRule type="cellIs" dxfId="3469" priority="3465" operator="greaterThan">
      <formula>0</formula>
    </cfRule>
  </conditionalFormatting>
  <conditionalFormatting sqref="R167:R168">
    <cfRule type="cellIs" dxfId="3468" priority="3468" operator="lessThan">
      <formula>0.8</formula>
    </cfRule>
    <cfRule type="cellIs" dxfId="3467" priority="3469" operator="greaterThan">
      <formula>1</formula>
    </cfRule>
  </conditionalFormatting>
  <conditionalFormatting sqref="R167:R168">
    <cfRule type="cellIs" dxfId="3466" priority="3466" operator="greaterThan">
      <formula>1</formula>
    </cfRule>
    <cfRule type="cellIs" dxfId="3465" priority="3467" operator="lessThan">
      <formula>0.8</formula>
    </cfRule>
  </conditionalFormatting>
  <conditionalFormatting sqref="Q167:Q168">
    <cfRule type="cellIs" dxfId="3464" priority="3470" operator="lessThan">
      <formula>0</formula>
    </cfRule>
  </conditionalFormatting>
  <conditionalFormatting sqref="Q117">
    <cfRule type="cellIs" dxfId="3463" priority="3464" operator="lessThan">
      <formula>0</formula>
    </cfRule>
  </conditionalFormatting>
  <conditionalFormatting sqref="R117">
    <cfRule type="cellIs" dxfId="3462" priority="3462" operator="lessThan">
      <formula>0.8</formula>
    </cfRule>
    <cfRule type="cellIs" dxfId="3461" priority="3463" operator="greaterThan">
      <formula>1</formula>
    </cfRule>
  </conditionalFormatting>
  <conditionalFormatting sqref="R117">
    <cfRule type="cellIs" dxfId="3460" priority="3460" operator="greaterThan">
      <formula>1</formula>
    </cfRule>
    <cfRule type="cellIs" dxfId="3459" priority="3461" operator="lessThan">
      <formula>0.8</formula>
    </cfRule>
  </conditionalFormatting>
  <conditionalFormatting sqref="P117">
    <cfRule type="cellIs" dxfId="3458" priority="3459" operator="greaterThan">
      <formula>0</formula>
    </cfRule>
  </conditionalFormatting>
  <conditionalFormatting sqref="Q117">
    <cfRule type="cellIs" dxfId="3457" priority="3458" operator="lessThan">
      <formula>0</formula>
    </cfRule>
  </conditionalFormatting>
  <conditionalFormatting sqref="R117">
    <cfRule type="cellIs" dxfId="3456" priority="3456" operator="lessThan">
      <formula>0.8</formula>
    </cfRule>
    <cfRule type="cellIs" dxfId="3455" priority="3457" operator="greaterThan">
      <formula>1</formula>
    </cfRule>
  </conditionalFormatting>
  <conditionalFormatting sqref="R117">
    <cfRule type="cellIs" dxfId="3454" priority="3454" operator="greaterThan">
      <formula>1</formula>
    </cfRule>
    <cfRule type="cellIs" dxfId="3453" priority="3455" operator="lessThan">
      <formula>0.8</formula>
    </cfRule>
  </conditionalFormatting>
  <conditionalFormatting sqref="P117">
    <cfRule type="cellIs" dxfId="3452" priority="3453" operator="greaterThan">
      <formula>0</formula>
    </cfRule>
  </conditionalFormatting>
  <conditionalFormatting sqref="P117">
    <cfRule type="cellIs" dxfId="3451" priority="3447" operator="greaterThan">
      <formula>0</formula>
    </cfRule>
  </conditionalFormatting>
  <conditionalFormatting sqref="Q117">
    <cfRule type="cellIs" dxfId="3450" priority="3452" operator="lessThan">
      <formula>0</formula>
    </cfRule>
  </conditionalFormatting>
  <conditionalFormatting sqref="R117">
    <cfRule type="cellIs" dxfId="3449" priority="3450" operator="lessThan">
      <formula>0.8</formula>
    </cfRule>
    <cfRule type="cellIs" dxfId="3448" priority="3451" operator="greaterThan">
      <formula>1</formula>
    </cfRule>
  </conditionalFormatting>
  <conditionalFormatting sqref="R117">
    <cfRule type="cellIs" dxfId="3447" priority="3448" operator="greaterThan">
      <formula>1</formula>
    </cfRule>
    <cfRule type="cellIs" dxfId="3446" priority="3449" operator="lessThan">
      <formula>0.8</formula>
    </cfRule>
  </conditionalFormatting>
  <conditionalFormatting sqref="P117">
    <cfRule type="cellIs" dxfId="3445" priority="3441" operator="greaterThan">
      <formula>0</formula>
    </cfRule>
  </conditionalFormatting>
  <conditionalFormatting sqref="Q117">
    <cfRule type="cellIs" dxfId="3444" priority="3446" operator="lessThan">
      <formula>0</formula>
    </cfRule>
  </conditionalFormatting>
  <conditionalFormatting sqref="R117">
    <cfRule type="cellIs" dxfId="3443" priority="3444" operator="lessThan">
      <formula>0.8</formula>
    </cfRule>
    <cfRule type="cellIs" dxfId="3442" priority="3445" operator="greaterThan">
      <formula>1</formula>
    </cfRule>
  </conditionalFormatting>
  <conditionalFormatting sqref="R117">
    <cfRule type="cellIs" dxfId="3441" priority="3442" operator="greaterThan">
      <formula>1</formula>
    </cfRule>
    <cfRule type="cellIs" dxfId="3440" priority="3443" operator="lessThan">
      <formula>0.8</formula>
    </cfRule>
  </conditionalFormatting>
  <conditionalFormatting sqref="P117">
    <cfRule type="cellIs" dxfId="3439" priority="3435" operator="greaterThan">
      <formula>0</formula>
    </cfRule>
  </conditionalFormatting>
  <conditionalFormatting sqref="Q117">
    <cfRule type="cellIs" dxfId="3438" priority="3440" operator="lessThan">
      <formula>0</formula>
    </cfRule>
  </conditionalFormatting>
  <conditionalFormatting sqref="R117">
    <cfRule type="cellIs" dxfId="3437" priority="3438" operator="lessThan">
      <formula>0.8</formula>
    </cfRule>
    <cfRule type="cellIs" dxfId="3436" priority="3439" operator="greaterThan">
      <formula>1</formula>
    </cfRule>
  </conditionalFormatting>
  <conditionalFormatting sqref="R117">
    <cfRule type="cellIs" dxfId="3435" priority="3436" operator="greaterThan">
      <formula>1</formula>
    </cfRule>
    <cfRule type="cellIs" dxfId="3434" priority="3437" operator="lessThan">
      <formula>0.8</formula>
    </cfRule>
  </conditionalFormatting>
  <conditionalFormatting sqref="Q117">
    <cfRule type="cellIs" dxfId="3433" priority="3434" operator="lessThan">
      <formula>0</formula>
    </cfRule>
  </conditionalFormatting>
  <conditionalFormatting sqref="R117">
    <cfRule type="cellIs" dxfId="3432" priority="3432" operator="lessThan">
      <formula>0.8</formula>
    </cfRule>
    <cfRule type="cellIs" dxfId="3431" priority="3433" operator="greaterThan">
      <formula>1</formula>
    </cfRule>
  </conditionalFormatting>
  <conditionalFormatting sqref="R117">
    <cfRule type="cellIs" dxfId="3430" priority="3430" operator="greaterThan">
      <formula>1</formula>
    </cfRule>
    <cfRule type="cellIs" dxfId="3429" priority="3431" operator="lessThan">
      <formula>0.8</formula>
    </cfRule>
  </conditionalFormatting>
  <conditionalFormatting sqref="P117">
    <cfRule type="cellIs" dxfId="3428" priority="3429" operator="greaterThan">
      <formula>0</formula>
    </cfRule>
  </conditionalFormatting>
  <conditionalFormatting sqref="P117">
    <cfRule type="cellIs" dxfId="3427" priority="3423" operator="greaterThan">
      <formula>0</formula>
    </cfRule>
  </conditionalFormatting>
  <conditionalFormatting sqref="Q117">
    <cfRule type="cellIs" dxfId="3426" priority="3428" operator="lessThan">
      <formula>0</formula>
    </cfRule>
  </conditionalFormatting>
  <conditionalFormatting sqref="R117">
    <cfRule type="cellIs" dxfId="3425" priority="3426" operator="lessThan">
      <formula>0.8</formula>
    </cfRule>
    <cfRule type="cellIs" dxfId="3424" priority="3427" operator="greaterThan">
      <formula>1</formula>
    </cfRule>
  </conditionalFormatting>
  <conditionalFormatting sqref="R117">
    <cfRule type="cellIs" dxfId="3423" priority="3424" operator="greaterThan">
      <formula>1</formula>
    </cfRule>
    <cfRule type="cellIs" dxfId="3422" priority="3425" operator="lessThan">
      <formula>0.8</formula>
    </cfRule>
  </conditionalFormatting>
  <conditionalFormatting sqref="P117">
    <cfRule type="cellIs" dxfId="3421" priority="3417" operator="greaterThan">
      <formula>0</formula>
    </cfRule>
  </conditionalFormatting>
  <conditionalFormatting sqref="Q117">
    <cfRule type="cellIs" dxfId="3420" priority="3422" operator="lessThan">
      <formula>0</formula>
    </cfRule>
  </conditionalFormatting>
  <conditionalFormatting sqref="R117">
    <cfRule type="cellIs" dxfId="3419" priority="3420" operator="lessThan">
      <formula>0.8</formula>
    </cfRule>
    <cfRule type="cellIs" dxfId="3418" priority="3421" operator="greaterThan">
      <formula>1</formula>
    </cfRule>
  </conditionalFormatting>
  <conditionalFormatting sqref="R117">
    <cfRule type="cellIs" dxfId="3417" priority="3418" operator="greaterThan">
      <formula>1</formula>
    </cfRule>
    <cfRule type="cellIs" dxfId="3416" priority="3419" operator="lessThan">
      <formula>0.8</formula>
    </cfRule>
  </conditionalFormatting>
  <conditionalFormatting sqref="Q117">
    <cfRule type="cellIs" dxfId="3415" priority="3416" operator="lessThan">
      <formula>0</formula>
    </cfRule>
  </conditionalFormatting>
  <conditionalFormatting sqref="R117">
    <cfRule type="cellIs" dxfId="3414" priority="3414" operator="lessThan">
      <formula>0.8</formula>
    </cfRule>
    <cfRule type="cellIs" dxfId="3413" priority="3415" operator="greaterThan">
      <formula>1</formula>
    </cfRule>
  </conditionalFormatting>
  <conditionalFormatting sqref="R117">
    <cfRule type="cellIs" dxfId="3412" priority="3412" operator="greaterThan">
      <formula>1</formula>
    </cfRule>
    <cfRule type="cellIs" dxfId="3411" priority="3413" operator="lessThan">
      <formula>0.8</formula>
    </cfRule>
  </conditionalFormatting>
  <conditionalFormatting sqref="P117">
    <cfRule type="cellIs" dxfId="3410" priority="3411" operator="greaterThan">
      <formula>0</formula>
    </cfRule>
  </conditionalFormatting>
  <conditionalFormatting sqref="P117">
    <cfRule type="cellIs" dxfId="3409" priority="3405" operator="greaterThan">
      <formula>0</formula>
    </cfRule>
  </conditionalFormatting>
  <conditionalFormatting sqref="Q117">
    <cfRule type="cellIs" dxfId="3408" priority="3410" operator="lessThan">
      <formula>0</formula>
    </cfRule>
  </conditionalFormatting>
  <conditionalFormatting sqref="R117">
    <cfRule type="cellIs" dxfId="3407" priority="3408" operator="lessThan">
      <formula>0.8</formula>
    </cfRule>
    <cfRule type="cellIs" dxfId="3406" priority="3409" operator="greaterThan">
      <formula>1</formula>
    </cfRule>
  </conditionalFormatting>
  <conditionalFormatting sqref="R117">
    <cfRule type="cellIs" dxfId="3405" priority="3406" operator="greaterThan">
      <formula>1</formula>
    </cfRule>
    <cfRule type="cellIs" dxfId="3404" priority="3407" operator="lessThan">
      <formula>0.8</formula>
    </cfRule>
  </conditionalFormatting>
  <conditionalFormatting sqref="Q117">
    <cfRule type="cellIs" dxfId="3403" priority="3404" operator="lessThan">
      <formula>0</formula>
    </cfRule>
  </conditionalFormatting>
  <conditionalFormatting sqref="R117">
    <cfRule type="cellIs" dxfId="3402" priority="3402" operator="lessThan">
      <formula>0.8</formula>
    </cfRule>
    <cfRule type="cellIs" dxfId="3401" priority="3403" operator="greaterThan">
      <formula>1</formula>
    </cfRule>
  </conditionalFormatting>
  <conditionalFormatting sqref="R117">
    <cfRule type="cellIs" dxfId="3400" priority="3400" operator="greaterThan">
      <formula>1</formula>
    </cfRule>
    <cfRule type="cellIs" dxfId="3399" priority="3401" operator="lessThan">
      <formula>0.8</formula>
    </cfRule>
  </conditionalFormatting>
  <conditionalFormatting sqref="P117">
    <cfRule type="cellIs" dxfId="3398" priority="3399" operator="greaterThan">
      <formula>0</formula>
    </cfRule>
  </conditionalFormatting>
  <conditionalFormatting sqref="Q117">
    <cfRule type="cellIs" dxfId="3397" priority="3398" operator="lessThan">
      <formula>0</formula>
    </cfRule>
  </conditionalFormatting>
  <conditionalFormatting sqref="R117">
    <cfRule type="cellIs" dxfId="3396" priority="3396" operator="lessThan">
      <formula>0.8</formula>
    </cfRule>
    <cfRule type="cellIs" dxfId="3395" priority="3397" operator="greaterThan">
      <formula>1</formula>
    </cfRule>
  </conditionalFormatting>
  <conditionalFormatting sqref="R117">
    <cfRule type="cellIs" dxfId="3394" priority="3394" operator="greaterThan">
      <formula>1</formula>
    </cfRule>
    <cfRule type="cellIs" dxfId="3393" priority="3395" operator="lessThan">
      <formula>0.8</formula>
    </cfRule>
  </conditionalFormatting>
  <conditionalFormatting sqref="P117">
    <cfRule type="cellIs" dxfId="3392" priority="3393" operator="greaterThan">
      <formula>0</formula>
    </cfRule>
  </conditionalFormatting>
  <conditionalFormatting sqref="Q83">
    <cfRule type="cellIs" dxfId="3391" priority="3392" operator="lessThan">
      <formula>0</formula>
    </cfRule>
  </conditionalFormatting>
  <conditionalFormatting sqref="R83">
    <cfRule type="cellIs" dxfId="3390" priority="3390" operator="lessThan">
      <formula>0.8</formula>
    </cfRule>
    <cfRule type="cellIs" dxfId="3389" priority="3391" operator="greaterThan">
      <formula>1</formula>
    </cfRule>
  </conditionalFormatting>
  <conditionalFormatting sqref="R83">
    <cfRule type="cellIs" dxfId="3388" priority="3388" operator="greaterThan">
      <formula>1</formula>
    </cfRule>
    <cfRule type="cellIs" dxfId="3387" priority="3389" operator="lessThan">
      <formula>0.8</formula>
    </cfRule>
  </conditionalFormatting>
  <conditionalFormatting sqref="P83">
    <cfRule type="cellIs" dxfId="3386" priority="3387" operator="greaterThan">
      <formula>0</formula>
    </cfRule>
  </conditionalFormatting>
  <conditionalFormatting sqref="Q83">
    <cfRule type="cellIs" dxfId="3385" priority="3386" operator="lessThan">
      <formula>0</formula>
    </cfRule>
  </conditionalFormatting>
  <conditionalFormatting sqref="R83">
    <cfRule type="cellIs" dxfId="3384" priority="3384" operator="lessThan">
      <formula>0.8</formula>
    </cfRule>
    <cfRule type="cellIs" dxfId="3383" priority="3385" operator="greaterThan">
      <formula>1</formula>
    </cfRule>
  </conditionalFormatting>
  <conditionalFormatting sqref="R83">
    <cfRule type="cellIs" dxfId="3382" priority="3382" operator="greaterThan">
      <formula>1</formula>
    </cfRule>
    <cfRule type="cellIs" dxfId="3381" priority="3383" operator="lessThan">
      <formula>0.8</formula>
    </cfRule>
  </conditionalFormatting>
  <conditionalFormatting sqref="P83">
    <cfRule type="cellIs" dxfId="3380" priority="3381" operator="greaterThan">
      <formula>0</formula>
    </cfRule>
  </conditionalFormatting>
  <conditionalFormatting sqref="Q83">
    <cfRule type="cellIs" dxfId="3379" priority="3380" operator="lessThan">
      <formula>0</formula>
    </cfRule>
  </conditionalFormatting>
  <conditionalFormatting sqref="R83">
    <cfRule type="cellIs" dxfId="3378" priority="3378" operator="lessThan">
      <formula>0.8</formula>
    </cfRule>
    <cfRule type="cellIs" dxfId="3377" priority="3379" operator="greaterThan">
      <formula>1</formula>
    </cfRule>
  </conditionalFormatting>
  <conditionalFormatting sqref="R83">
    <cfRule type="cellIs" dxfId="3376" priority="3376" operator="greaterThan">
      <formula>1</formula>
    </cfRule>
    <cfRule type="cellIs" dxfId="3375" priority="3377" operator="lessThan">
      <formula>0.8</formula>
    </cfRule>
  </conditionalFormatting>
  <conditionalFormatting sqref="P83">
    <cfRule type="cellIs" dxfId="3374" priority="3375" operator="greaterThan">
      <formula>0</formula>
    </cfRule>
  </conditionalFormatting>
  <conditionalFormatting sqref="Q83">
    <cfRule type="cellIs" dxfId="3373" priority="3374" operator="lessThan">
      <formula>0</formula>
    </cfRule>
  </conditionalFormatting>
  <conditionalFormatting sqref="R83">
    <cfRule type="cellIs" dxfId="3372" priority="3372" operator="lessThan">
      <formula>0.8</formula>
    </cfRule>
    <cfRule type="cellIs" dxfId="3371" priority="3373" operator="greaterThan">
      <formula>1</formula>
    </cfRule>
  </conditionalFormatting>
  <conditionalFormatting sqref="R83">
    <cfRule type="cellIs" dxfId="3370" priority="3370" operator="greaterThan">
      <formula>1</formula>
    </cfRule>
    <cfRule type="cellIs" dxfId="3369" priority="3371" operator="lessThan">
      <formula>0.8</formula>
    </cfRule>
  </conditionalFormatting>
  <conditionalFormatting sqref="P83">
    <cfRule type="cellIs" dxfId="3368" priority="3369" operator="greaterThan">
      <formula>0</formula>
    </cfRule>
  </conditionalFormatting>
  <conditionalFormatting sqref="P83">
    <cfRule type="cellIs" dxfId="3367" priority="3363" operator="greaterThan">
      <formula>0</formula>
    </cfRule>
  </conditionalFormatting>
  <conditionalFormatting sqref="Q83">
    <cfRule type="cellIs" dxfId="3366" priority="3368" operator="lessThan">
      <formula>0</formula>
    </cfRule>
  </conditionalFormatting>
  <conditionalFormatting sqref="R83">
    <cfRule type="cellIs" dxfId="3365" priority="3366" operator="lessThan">
      <formula>0.8</formula>
    </cfRule>
    <cfRule type="cellIs" dxfId="3364" priority="3367" operator="greaterThan">
      <formula>1</formula>
    </cfRule>
  </conditionalFormatting>
  <conditionalFormatting sqref="R83">
    <cfRule type="cellIs" dxfId="3363" priority="3364" operator="greaterThan">
      <formula>1</formula>
    </cfRule>
    <cfRule type="cellIs" dxfId="3362" priority="3365" operator="lessThan">
      <formula>0.8</formula>
    </cfRule>
  </conditionalFormatting>
  <conditionalFormatting sqref="P83">
    <cfRule type="cellIs" dxfId="3361" priority="3357" operator="greaterThan">
      <formula>0</formula>
    </cfRule>
  </conditionalFormatting>
  <conditionalFormatting sqref="Q83">
    <cfRule type="cellIs" dxfId="3360" priority="3362" operator="lessThan">
      <formula>0</formula>
    </cfRule>
  </conditionalFormatting>
  <conditionalFormatting sqref="R83">
    <cfRule type="cellIs" dxfId="3359" priority="3360" operator="lessThan">
      <formula>0.8</formula>
    </cfRule>
    <cfRule type="cellIs" dxfId="3358" priority="3361" operator="greaterThan">
      <formula>1</formula>
    </cfRule>
  </conditionalFormatting>
  <conditionalFormatting sqref="R83">
    <cfRule type="cellIs" dxfId="3357" priority="3358" operator="greaterThan">
      <formula>1</formula>
    </cfRule>
    <cfRule type="cellIs" dxfId="3356" priority="3359" operator="lessThan">
      <formula>0.8</formula>
    </cfRule>
  </conditionalFormatting>
  <conditionalFormatting sqref="R83">
    <cfRule type="cellIs" dxfId="3355" priority="3354" operator="lessThan">
      <formula>0.8</formula>
    </cfRule>
    <cfRule type="cellIs" dxfId="3354" priority="3355" operator="greaterThan">
      <formula>1</formula>
    </cfRule>
  </conditionalFormatting>
  <conditionalFormatting sqref="R83">
    <cfRule type="cellIs" dxfId="3353" priority="3352" operator="greaterThan">
      <formula>1</formula>
    </cfRule>
    <cfRule type="cellIs" dxfId="3352" priority="3353" operator="lessThan">
      <formula>0.8</formula>
    </cfRule>
  </conditionalFormatting>
  <conditionalFormatting sqref="P83">
    <cfRule type="cellIs" dxfId="3351" priority="3351" operator="greaterThan">
      <formula>0</formula>
    </cfRule>
  </conditionalFormatting>
  <conditionalFormatting sqref="Q83">
    <cfRule type="cellIs" dxfId="3350" priority="3356" operator="lessThan">
      <formula>0</formula>
    </cfRule>
  </conditionalFormatting>
  <conditionalFormatting sqref="Q83">
    <cfRule type="cellIs" dxfId="3349" priority="3350" operator="lessThan">
      <formula>0</formula>
    </cfRule>
  </conditionalFormatting>
  <conditionalFormatting sqref="R83">
    <cfRule type="cellIs" dxfId="3348" priority="3348" operator="lessThan">
      <formula>0.8</formula>
    </cfRule>
    <cfRule type="cellIs" dxfId="3347" priority="3349" operator="greaterThan">
      <formula>1</formula>
    </cfRule>
  </conditionalFormatting>
  <conditionalFormatting sqref="R83">
    <cfRule type="cellIs" dxfId="3346" priority="3346" operator="greaterThan">
      <formula>1</formula>
    </cfRule>
    <cfRule type="cellIs" dxfId="3345" priority="3347" operator="lessThan">
      <formula>0.8</formula>
    </cfRule>
  </conditionalFormatting>
  <conditionalFormatting sqref="P83">
    <cfRule type="cellIs" dxfId="3344" priority="3345" operator="greaterThan">
      <formula>0</formula>
    </cfRule>
  </conditionalFormatting>
  <conditionalFormatting sqref="P83">
    <cfRule type="cellIs" dxfId="3343" priority="3339" operator="greaterThan">
      <formula>0</formula>
    </cfRule>
  </conditionalFormatting>
  <conditionalFormatting sqref="Q83">
    <cfRule type="cellIs" dxfId="3342" priority="3344" operator="lessThan">
      <formula>0</formula>
    </cfRule>
  </conditionalFormatting>
  <conditionalFormatting sqref="R83">
    <cfRule type="cellIs" dxfId="3341" priority="3342" operator="lessThan">
      <formula>0.8</formula>
    </cfRule>
    <cfRule type="cellIs" dxfId="3340" priority="3343" operator="greaterThan">
      <formula>1</formula>
    </cfRule>
  </conditionalFormatting>
  <conditionalFormatting sqref="R83">
    <cfRule type="cellIs" dxfId="3339" priority="3340" operator="greaterThan">
      <formula>1</formula>
    </cfRule>
    <cfRule type="cellIs" dxfId="3338" priority="3341" operator="lessThan">
      <formula>0.8</formula>
    </cfRule>
  </conditionalFormatting>
  <conditionalFormatting sqref="P83">
    <cfRule type="cellIs" dxfId="3337" priority="3333" operator="greaterThan">
      <formula>0</formula>
    </cfRule>
  </conditionalFormatting>
  <conditionalFormatting sqref="Q83">
    <cfRule type="cellIs" dxfId="3336" priority="3338" operator="lessThan">
      <formula>0</formula>
    </cfRule>
  </conditionalFormatting>
  <conditionalFormatting sqref="R83">
    <cfRule type="cellIs" dxfId="3335" priority="3336" operator="lessThan">
      <formula>0.8</formula>
    </cfRule>
    <cfRule type="cellIs" dxfId="3334" priority="3337" operator="greaterThan">
      <formula>1</formula>
    </cfRule>
  </conditionalFormatting>
  <conditionalFormatting sqref="R83">
    <cfRule type="cellIs" dxfId="3333" priority="3334" operator="greaterThan">
      <formula>1</formula>
    </cfRule>
    <cfRule type="cellIs" dxfId="3332" priority="3335" operator="lessThan">
      <formula>0.8</formula>
    </cfRule>
  </conditionalFormatting>
  <conditionalFormatting sqref="R83">
    <cfRule type="cellIs" dxfId="3331" priority="3330" operator="lessThan">
      <formula>0.8</formula>
    </cfRule>
    <cfRule type="cellIs" dxfId="3330" priority="3331" operator="greaterThan">
      <formula>1</formula>
    </cfRule>
  </conditionalFormatting>
  <conditionalFormatting sqref="R83">
    <cfRule type="cellIs" dxfId="3329" priority="3328" operator="greaterThan">
      <formula>1</formula>
    </cfRule>
    <cfRule type="cellIs" dxfId="3328" priority="3329" operator="lessThan">
      <formula>0.8</formula>
    </cfRule>
  </conditionalFormatting>
  <conditionalFormatting sqref="P83">
    <cfRule type="cellIs" dxfId="3327" priority="3327" operator="greaterThan">
      <formula>0</formula>
    </cfRule>
  </conditionalFormatting>
  <conditionalFormatting sqref="Q83">
    <cfRule type="cellIs" dxfId="3326" priority="3332" operator="lessThan">
      <formula>0</formula>
    </cfRule>
  </conditionalFormatting>
  <conditionalFormatting sqref="P83">
    <cfRule type="cellIs" dxfId="3325" priority="3321" operator="greaterThan">
      <formula>0</formula>
    </cfRule>
  </conditionalFormatting>
  <conditionalFormatting sqref="Q83">
    <cfRule type="cellIs" dxfId="3324" priority="3326" operator="lessThan">
      <formula>0</formula>
    </cfRule>
  </conditionalFormatting>
  <conditionalFormatting sqref="R83">
    <cfRule type="cellIs" dxfId="3323" priority="3324" operator="lessThan">
      <formula>0.8</formula>
    </cfRule>
    <cfRule type="cellIs" dxfId="3322" priority="3325" operator="greaterThan">
      <formula>1</formula>
    </cfRule>
  </conditionalFormatting>
  <conditionalFormatting sqref="R83">
    <cfRule type="cellIs" dxfId="3321" priority="3322" operator="greaterThan">
      <formula>1</formula>
    </cfRule>
    <cfRule type="cellIs" dxfId="3320" priority="3323" operator="lessThan">
      <formula>0.8</formula>
    </cfRule>
  </conditionalFormatting>
  <conditionalFormatting sqref="R83">
    <cfRule type="cellIs" dxfId="3319" priority="3318" operator="lessThan">
      <formula>0.8</formula>
    </cfRule>
    <cfRule type="cellIs" dxfId="3318" priority="3319" operator="greaterThan">
      <formula>1</formula>
    </cfRule>
  </conditionalFormatting>
  <conditionalFormatting sqref="R83">
    <cfRule type="cellIs" dxfId="3317" priority="3316" operator="greaterThan">
      <formula>1</formula>
    </cfRule>
    <cfRule type="cellIs" dxfId="3316" priority="3317" operator="lessThan">
      <formula>0.8</formula>
    </cfRule>
  </conditionalFormatting>
  <conditionalFormatting sqref="P83">
    <cfRule type="cellIs" dxfId="3315" priority="3315" operator="greaterThan">
      <formula>0</formula>
    </cfRule>
  </conditionalFormatting>
  <conditionalFormatting sqref="Q83">
    <cfRule type="cellIs" dxfId="3314" priority="3320" operator="lessThan">
      <formula>0</formula>
    </cfRule>
  </conditionalFormatting>
  <conditionalFormatting sqref="R83">
    <cfRule type="cellIs" dxfId="3313" priority="3312" operator="lessThan">
      <formula>0.8</formula>
    </cfRule>
    <cfRule type="cellIs" dxfId="3312" priority="3313" operator="greaterThan">
      <formula>1</formula>
    </cfRule>
  </conditionalFormatting>
  <conditionalFormatting sqref="R83">
    <cfRule type="cellIs" dxfId="3311" priority="3310" operator="greaterThan">
      <formula>1</formula>
    </cfRule>
    <cfRule type="cellIs" dxfId="3310" priority="3311" operator="lessThan">
      <formula>0.8</formula>
    </cfRule>
  </conditionalFormatting>
  <conditionalFormatting sqref="P83">
    <cfRule type="cellIs" dxfId="3309" priority="3309" operator="greaterThan">
      <formula>0</formula>
    </cfRule>
  </conditionalFormatting>
  <conditionalFormatting sqref="Q83">
    <cfRule type="cellIs" dxfId="3308" priority="3314" operator="lessThan">
      <formula>0</formula>
    </cfRule>
  </conditionalFormatting>
  <conditionalFormatting sqref="Q83">
    <cfRule type="cellIs" dxfId="3307" priority="3308" operator="lessThan">
      <formula>0</formula>
    </cfRule>
  </conditionalFormatting>
  <conditionalFormatting sqref="R83">
    <cfRule type="cellIs" dxfId="3306" priority="3306" operator="lessThan">
      <formula>0.8</formula>
    </cfRule>
    <cfRule type="cellIs" dxfId="3305" priority="3307" operator="greaterThan">
      <formula>1</formula>
    </cfRule>
  </conditionalFormatting>
  <conditionalFormatting sqref="R83">
    <cfRule type="cellIs" dxfId="3304" priority="3304" operator="greaterThan">
      <formula>1</formula>
    </cfRule>
    <cfRule type="cellIs" dxfId="3303" priority="3305" operator="lessThan">
      <formula>0.8</formula>
    </cfRule>
  </conditionalFormatting>
  <conditionalFormatting sqref="P83">
    <cfRule type="cellIs" dxfId="3302" priority="3303" operator="greaterThan">
      <formula>0</formula>
    </cfRule>
  </conditionalFormatting>
  <conditionalFormatting sqref="Q83">
    <cfRule type="cellIs" dxfId="3301" priority="3297" operator="lessThan">
      <formula>0</formula>
    </cfRule>
  </conditionalFormatting>
  <conditionalFormatting sqref="R83">
    <cfRule type="cellIs" dxfId="3300" priority="3301" operator="lessThan">
      <formula>0.8</formula>
    </cfRule>
    <cfRule type="cellIs" dxfId="3299" priority="3302" operator="greaterThan">
      <formula>1</formula>
    </cfRule>
  </conditionalFormatting>
  <conditionalFormatting sqref="R83">
    <cfRule type="cellIs" dxfId="3298" priority="3299" operator="greaterThan">
      <formula>1</formula>
    </cfRule>
    <cfRule type="cellIs" dxfId="3297" priority="3300" operator="lessThan">
      <formula>0.8</formula>
    </cfRule>
  </conditionalFormatting>
  <conditionalFormatting sqref="P83">
    <cfRule type="cellIs" dxfId="3296" priority="3298" operator="greaterThan">
      <formula>0</formula>
    </cfRule>
  </conditionalFormatting>
  <conditionalFormatting sqref="Q83">
    <cfRule type="cellIs" dxfId="3295" priority="3296" operator="lessThan">
      <formula>0</formula>
    </cfRule>
  </conditionalFormatting>
  <conditionalFormatting sqref="R83">
    <cfRule type="cellIs" dxfId="3294" priority="3294" operator="lessThan">
      <formula>0.8</formula>
    </cfRule>
    <cfRule type="cellIs" dxfId="3293" priority="3295" operator="greaterThan">
      <formula>1</formula>
    </cfRule>
  </conditionalFormatting>
  <conditionalFormatting sqref="R83">
    <cfRule type="cellIs" dxfId="3292" priority="3292" operator="greaterThan">
      <formula>1</formula>
    </cfRule>
    <cfRule type="cellIs" dxfId="3291" priority="3293" operator="lessThan">
      <formula>0.8</formula>
    </cfRule>
  </conditionalFormatting>
  <conditionalFormatting sqref="P83">
    <cfRule type="cellIs" dxfId="3290" priority="3291" operator="greaterThan">
      <formula>0</formula>
    </cfRule>
  </conditionalFormatting>
  <conditionalFormatting sqref="Q83">
    <cfRule type="cellIs" dxfId="3289" priority="3290" operator="lessThan">
      <formula>0</formula>
    </cfRule>
  </conditionalFormatting>
  <conditionalFormatting sqref="R83">
    <cfRule type="cellIs" dxfId="3288" priority="3288" operator="lessThan">
      <formula>0.8</formula>
    </cfRule>
    <cfRule type="cellIs" dxfId="3287" priority="3289" operator="greaterThan">
      <formula>1</formula>
    </cfRule>
  </conditionalFormatting>
  <conditionalFormatting sqref="R83">
    <cfRule type="cellIs" dxfId="3286" priority="3286" operator="greaterThan">
      <formula>1</formula>
    </cfRule>
    <cfRule type="cellIs" dxfId="3285" priority="3287" operator="lessThan">
      <formula>0.8</formula>
    </cfRule>
  </conditionalFormatting>
  <conditionalFormatting sqref="P83">
    <cfRule type="cellIs" dxfId="3284" priority="3285" operator="greaterThan">
      <formula>0</formula>
    </cfRule>
  </conditionalFormatting>
  <conditionalFormatting sqref="Q83">
    <cfRule type="cellIs" dxfId="3283" priority="3284" operator="lessThan">
      <formula>0</formula>
    </cfRule>
  </conditionalFormatting>
  <conditionalFormatting sqref="R83">
    <cfRule type="cellIs" dxfId="3282" priority="3282" operator="lessThan">
      <formula>0.8</formula>
    </cfRule>
    <cfRule type="cellIs" dxfId="3281" priority="3283" operator="greaterThan">
      <formula>1</formula>
    </cfRule>
  </conditionalFormatting>
  <conditionalFormatting sqref="R83">
    <cfRule type="cellIs" dxfId="3280" priority="3280" operator="greaterThan">
      <formula>1</formula>
    </cfRule>
    <cfRule type="cellIs" dxfId="3279" priority="3281" operator="lessThan">
      <formula>0.8</formula>
    </cfRule>
  </conditionalFormatting>
  <conditionalFormatting sqref="P83">
    <cfRule type="cellIs" dxfId="3278" priority="3279" operator="greaterThan">
      <formula>0</formula>
    </cfRule>
  </conditionalFormatting>
  <conditionalFormatting sqref="Q83">
    <cfRule type="cellIs" dxfId="3277" priority="3278" operator="lessThan">
      <formula>0</formula>
    </cfRule>
  </conditionalFormatting>
  <conditionalFormatting sqref="R83">
    <cfRule type="cellIs" dxfId="3276" priority="3276" operator="lessThan">
      <formula>0.8</formula>
    </cfRule>
    <cfRule type="cellIs" dxfId="3275" priority="3277" operator="greaterThan">
      <formula>1</formula>
    </cfRule>
  </conditionalFormatting>
  <conditionalFormatting sqref="R83">
    <cfRule type="cellIs" dxfId="3274" priority="3274" operator="greaterThan">
      <formula>1</formula>
    </cfRule>
    <cfRule type="cellIs" dxfId="3273" priority="3275" operator="lessThan">
      <formula>0.8</formula>
    </cfRule>
  </conditionalFormatting>
  <conditionalFormatting sqref="P83">
    <cfRule type="cellIs" dxfId="3272" priority="3273" operator="greaterThan">
      <formula>0</formula>
    </cfRule>
  </conditionalFormatting>
  <conditionalFormatting sqref="Q83">
    <cfRule type="cellIs" dxfId="3271" priority="3272" operator="lessThan">
      <formula>0</formula>
    </cfRule>
  </conditionalFormatting>
  <conditionalFormatting sqref="R83">
    <cfRule type="cellIs" dxfId="3270" priority="3270" operator="lessThan">
      <formula>0.8</formula>
    </cfRule>
    <cfRule type="cellIs" dxfId="3269" priority="3271" operator="greaterThan">
      <formula>1</formula>
    </cfRule>
  </conditionalFormatting>
  <conditionalFormatting sqref="R83">
    <cfRule type="cellIs" dxfId="3268" priority="3268" operator="greaterThan">
      <formula>1</formula>
    </cfRule>
    <cfRule type="cellIs" dxfId="3267" priority="3269" operator="lessThan">
      <formula>0.8</formula>
    </cfRule>
  </conditionalFormatting>
  <conditionalFormatting sqref="P83">
    <cfRule type="cellIs" dxfId="3266" priority="3267" operator="greaterThan">
      <formula>0</formula>
    </cfRule>
  </conditionalFormatting>
  <conditionalFormatting sqref="P83">
    <cfRule type="cellIs" dxfId="3265" priority="3261" operator="greaterThan">
      <formula>0</formula>
    </cfRule>
  </conditionalFormatting>
  <conditionalFormatting sqref="Q83">
    <cfRule type="cellIs" dxfId="3264" priority="3266" operator="lessThan">
      <formula>0</formula>
    </cfRule>
  </conditionalFormatting>
  <conditionalFormatting sqref="R83">
    <cfRule type="cellIs" dxfId="3263" priority="3264" operator="lessThan">
      <formula>0.8</formula>
    </cfRule>
    <cfRule type="cellIs" dxfId="3262" priority="3265" operator="greaterThan">
      <formula>1</formula>
    </cfRule>
  </conditionalFormatting>
  <conditionalFormatting sqref="R83">
    <cfRule type="cellIs" dxfId="3261" priority="3262" operator="greaterThan">
      <formula>1</formula>
    </cfRule>
    <cfRule type="cellIs" dxfId="3260" priority="3263" operator="lessThan">
      <formula>0.8</formula>
    </cfRule>
  </conditionalFormatting>
  <conditionalFormatting sqref="P83">
    <cfRule type="cellIs" dxfId="3259" priority="3255" operator="greaterThan">
      <formula>0</formula>
    </cfRule>
  </conditionalFormatting>
  <conditionalFormatting sqref="Q83">
    <cfRule type="cellIs" dxfId="3258" priority="3260" operator="lessThan">
      <formula>0</formula>
    </cfRule>
  </conditionalFormatting>
  <conditionalFormatting sqref="R83">
    <cfRule type="cellIs" dxfId="3257" priority="3258" operator="lessThan">
      <formula>0.8</formula>
    </cfRule>
    <cfRule type="cellIs" dxfId="3256" priority="3259" operator="greaterThan">
      <formula>1</formula>
    </cfRule>
  </conditionalFormatting>
  <conditionalFormatting sqref="R83">
    <cfRule type="cellIs" dxfId="3255" priority="3256" operator="greaterThan">
      <formula>1</formula>
    </cfRule>
    <cfRule type="cellIs" dxfId="3254" priority="3257" operator="lessThan">
      <formula>0.8</formula>
    </cfRule>
  </conditionalFormatting>
  <conditionalFormatting sqref="R83">
    <cfRule type="cellIs" dxfId="3253" priority="3252" operator="lessThan">
      <formula>0.8</formula>
    </cfRule>
    <cfRule type="cellIs" dxfId="3252" priority="3253" operator="greaterThan">
      <formula>1</formula>
    </cfRule>
  </conditionalFormatting>
  <conditionalFormatting sqref="R83">
    <cfRule type="cellIs" dxfId="3251" priority="3250" operator="greaterThan">
      <formula>1</formula>
    </cfRule>
    <cfRule type="cellIs" dxfId="3250" priority="3251" operator="lessThan">
      <formula>0.8</formula>
    </cfRule>
  </conditionalFormatting>
  <conditionalFormatting sqref="P83">
    <cfRule type="cellIs" dxfId="3249" priority="3249" operator="greaterThan">
      <formula>0</formula>
    </cfRule>
  </conditionalFormatting>
  <conditionalFormatting sqref="Q83">
    <cfRule type="cellIs" dxfId="3248" priority="3254" operator="lessThan">
      <formula>0</formula>
    </cfRule>
  </conditionalFormatting>
  <conditionalFormatting sqref="Q83">
    <cfRule type="cellIs" dxfId="3247" priority="3248" operator="lessThan">
      <formula>0</formula>
    </cfRule>
  </conditionalFormatting>
  <conditionalFormatting sqref="R83">
    <cfRule type="cellIs" dxfId="3246" priority="3246" operator="lessThan">
      <formula>0.8</formula>
    </cfRule>
    <cfRule type="cellIs" dxfId="3245" priority="3247" operator="greaterThan">
      <formula>1</formula>
    </cfRule>
  </conditionalFormatting>
  <conditionalFormatting sqref="R83">
    <cfRule type="cellIs" dxfId="3244" priority="3244" operator="greaterThan">
      <formula>1</formula>
    </cfRule>
    <cfRule type="cellIs" dxfId="3243" priority="3245" operator="lessThan">
      <formula>0.8</formula>
    </cfRule>
  </conditionalFormatting>
  <conditionalFormatting sqref="P83">
    <cfRule type="cellIs" dxfId="3242" priority="3243" operator="greaterThan">
      <formula>0</formula>
    </cfRule>
  </conditionalFormatting>
  <conditionalFormatting sqref="Q83">
    <cfRule type="cellIs" dxfId="3241" priority="3242" operator="lessThan">
      <formula>0</formula>
    </cfRule>
  </conditionalFormatting>
  <conditionalFormatting sqref="R83">
    <cfRule type="cellIs" dxfId="3240" priority="3240" operator="lessThan">
      <formula>0.8</formula>
    </cfRule>
    <cfRule type="cellIs" dxfId="3239" priority="3241" operator="greaterThan">
      <formula>1</formula>
    </cfRule>
  </conditionalFormatting>
  <conditionalFormatting sqref="R83">
    <cfRule type="cellIs" dxfId="3238" priority="3238" operator="greaterThan">
      <formula>1</formula>
    </cfRule>
    <cfRule type="cellIs" dxfId="3237" priority="3239" operator="lessThan">
      <formula>0.8</formula>
    </cfRule>
  </conditionalFormatting>
  <conditionalFormatting sqref="P83">
    <cfRule type="cellIs" dxfId="3236" priority="3237" operator="greaterThan">
      <formula>0</formula>
    </cfRule>
  </conditionalFormatting>
  <conditionalFormatting sqref="Q83">
    <cfRule type="cellIs" dxfId="3235" priority="3236" operator="lessThan">
      <formula>0</formula>
    </cfRule>
  </conditionalFormatting>
  <conditionalFormatting sqref="R83">
    <cfRule type="cellIs" dxfId="3234" priority="3234" operator="lessThan">
      <formula>0.8</formula>
    </cfRule>
    <cfRule type="cellIs" dxfId="3233" priority="3235" operator="greaterThan">
      <formula>1</formula>
    </cfRule>
  </conditionalFormatting>
  <conditionalFormatting sqref="R83">
    <cfRule type="cellIs" dxfId="3232" priority="3232" operator="greaterThan">
      <formula>1</formula>
    </cfRule>
    <cfRule type="cellIs" dxfId="3231" priority="3233" operator="lessThan">
      <formula>0.8</formula>
    </cfRule>
  </conditionalFormatting>
  <conditionalFormatting sqref="P83">
    <cfRule type="cellIs" dxfId="3230" priority="3231" operator="greaterThan">
      <formula>0</formula>
    </cfRule>
  </conditionalFormatting>
  <conditionalFormatting sqref="Q83">
    <cfRule type="cellIs" dxfId="3229" priority="3230" operator="lessThan">
      <formula>0</formula>
    </cfRule>
  </conditionalFormatting>
  <conditionalFormatting sqref="R83">
    <cfRule type="cellIs" dxfId="3228" priority="3228" operator="lessThan">
      <formula>0.8</formula>
    </cfRule>
    <cfRule type="cellIs" dxfId="3227" priority="3229" operator="greaterThan">
      <formula>1</formula>
    </cfRule>
  </conditionalFormatting>
  <conditionalFormatting sqref="R83">
    <cfRule type="cellIs" dxfId="3226" priority="3226" operator="greaterThan">
      <formula>1</formula>
    </cfRule>
    <cfRule type="cellIs" dxfId="3225" priority="3227" operator="lessThan">
      <formula>0.8</formula>
    </cfRule>
  </conditionalFormatting>
  <conditionalFormatting sqref="P83">
    <cfRule type="cellIs" dxfId="3224" priority="3225" operator="greaterThan">
      <formula>0</formula>
    </cfRule>
  </conditionalFormatting>
  <conditionalFormatting sqref="P83">
    <cfRule type="cellIs" dxfId="3223" priority="3219" operator="greaterThan">
      <formula>0</formula>
    </cfRule>
  </conditionalFormatting>
  <conditionalFormatting sqref="Q83">
    <cfRule type="cellIs" dxfId="3222" priority="3224" operator="lessThan">
      <formula>0</formula>
    </cfRule>
  </conditionalFormatting>
  <conditionalFormatting sqref="R83">
    <cfRule type="cellIs" dxfId="3221" priority="3222" operator="lessThan">
      <formula>0.8</formula>
    </cfRule>
    <cfRule type="cellIs" dxfId="3220" priority="3223" operator="greaterThan">
      <formula>1</formula>
    </cfRule>
  </conditionalFormatting>
  <conditionalFormatting sqref="R83">
    <cfRule type="cellIs" dxfId="3219" priority="3220" operator="greaterThan">
      <formula>1</formula>
    </cfRule>
    <cfRule type="cellIs" dxfId="3218" priority="3221" operator="lessThan">
      <formula>0.8</formula>
    </cfRule>
  </conditionalFormatting>
  <conditionalFormatting sqref="P83">
    <cfRule type="cellIs" dxfId="3217" priority="3213" operator="greaterThan">
      <formula>0</formula>
    </cfRule>
  </conditionalFormatting>
  <conditionalFormatting sqref="Q83">
    <cfRule type="cellIs" dxfId="3216" priority="3218" operator="lessThan">
      <formula>0</formula>
    </cfRule>
  </conditionalFormatting>
  <conditionalFormatting sqref="R83">
    <cfRule type="cellIs" dxfId="3215" priority="3216" operator="lessThan">
      <formula>0.8</formula>
    </cfRule>
    <cfRule type="cellIs" dxfId="3214" priority="3217" operator="greaterThan">
      <formula>1</formula>
    </cfRule>
  </conditionalFormatting>
  <conditionalFormatting sqref="R83">
    <cfRule type="cellIs" dxfId="3213" priority="3214" operator="greaterThan">
      <formula>1</formula>
    </cfRule>
    <cfRule type="cellIs" dxfId="3212" priority="3215" operator="lessThan">
      <formula>0.8</formula>
    </cfRule>
  </conditionalFormatting>
  <conditionalFormatting sqref="R83">
    <cfRule type="cellIs" dxfId="3211" priority="3210" operator="lessThan">
      <formula>0.8</formula>
    </cfRule>
    <cfRule type="cellIs" dxfId="3210" priority="3211" operator="greaterThan">
      <formula>1</formula>
    </cfRule>
  </conditionalFormatting>
  <conditionalFormatting sqref="R83">
    <cfRule type="cellIs" dxfId="3209" priority="3208" operator="greaterThan">
      <formula>1</formula>
    </cfRule>
    <cfRule type="cellIs" dxfId="3208" priority="3209" operator="lessThan">
      <formula>0.8</formula>
    </cfRule>
  </conditionalFormatting>
  <conditionalFormatting sqref="P83">
    <cfRule type="cellIs" dxfId="3207" priority="3207" operator="greaterThan">
      <formula>0</formula>
    </cfRule>
  </conditionalFormatting>
  <conditionalFormatting sqref="Q83">
    <cfRule type="cellIs" dxfId="3206" priority="3212" operator="lessThan">
      <formula>0</formula>
    </cfRule>
  </conditionalFormatting>
  <conditionalFormatting sqref="Q83">
    <cfRule type="cellIs" dxfId="3205" priority="3206" operator="lessThan">
      <formula>0</formula>
    </cfRule>
  </conditionalFormatting>
  <conditionalFormatting sqref="R83">
    <cfRule type="cellIs" dxfId="3204" priority="3204" operator="lessThan">
      <formula>0.8</formula>
    </cfRule>
    <cfRule type="cellIs" dxfId="3203" priority="3205" operator="greaterThan">
      <formula>1</formula>
    </cfRule>
  </conditionalFormatting>
  <conditionalFormatting sqref="R83">
    <cfRule type="cellIs" dxfId="3202" priority="3202" operator="greaterThan">
      <formula>1</formula>
    </cfRule>
    <cfRule type="cellIs" dxfId="3201" priority="3203" operator="lessThan">
      <formula>0.8</formula>
    </cfRule>
  </conditionalFormatting>
  <conditionalFormatting sqref="P83">
    <cfRule type="cellIs" dxfId="3200" priority="3201" operator="greaterThan">
      <formula>0</formula>
    </cfRule>
  </conditionalFormatting>
  <conditionalFormatting sqref="P83">
    <cfRule type="cellIs" dxfId="3199" priority="3195" operator="greaterThan">
      <formula>0</formula>
    </cfRule>
  </conditionalFormatting>
  <conditionalFormatting sqref="Q83">
    <cfRule type="cellIs" dxfId="3198" priority="3200" operator="lessThan">
      <formula>0</formula>
    </cfRule>
  </conditionalFormatting>
  <conditionalFormatting sqref="R83">
    <cfRule type="cellIs" dxfId="3197" priority="3198" operator="lessThan">
      <formula>0.8</formula>
    </cfRule>
    <cfRule type="cellIs" dxfId="3196" priority="3199" operator="greaterThan">
      <formula>1</formula>
    </cfRule>
  </conditionalFormatting>
  <conditionalFormatting sqref="R83">
    <cfRule type="cellIs" dxfId="3195" priority="3196" operator="greaterThan">
      <formula>1</formula>
    </cfRule>
    <cfRule type="cellIs" dxfId="3194" priority="3197" operator="lessThan">
      <formula>0.8</formula>
    </cfRule>
  </conditionalFormatting>
  <conditionalFormatting sqref="P83">
    <cfRule type="cellIs" dxfId="3193" priority="3189" operator="greaterThan">
      <formula>0</formula>
    </cfRule>
  </conditionalFormatting>
  <conditionalFormatting sqref="Q83">
    <cfRule type="cellIs" dxfId="3192" priority="3194" operator="lessThan">
      <formula>0</formula>
    </cfRule>
  </conditionalFormatting>
  <conditionalFormatting sqref="R83">
    <cfRule type="cellIs" dxfId="3191" priority="3192" operator="lessThan">
      <formula>0.8</formula>
    </cfRule>
    <cfRule type="cellIs" dxfId="3190" priority="3193" operator="greaterThan">
      <formula>1</formula>
    </cfRule>
  </conditionalFormatting>
  <conditionalFormatting sqref="R83">
    <cfRule type="cellIs" dxfId="3189" priority="3190" operator="greaterThan">
      <formula>1</formula>
    </cfRule>
    <cfRule type="cellIs" dxfId="3188" priority="3191" operator="lessThan">
      <formula>0.8</formula>
    </cfRule>
  </conditionalFormatting>
  <conditionalFormatting sqref="R83">
    <cfRule type="cellIs" dxfId="3187" priority="3186" operator="lessThan">
      <formula>0.8</formula>
    </cfRule>
    <cfRule type="cellIs" dxfId="3186" priority="3187" operator="greaterThan">
      <formula>1</formula>
    </cfRule>
  </conditionalFormatting>
  <conditionalFormatting sqref="R83">
    <cfRule type="cellIs" dxfId="3185" priority="3184" operator="greaterThan">
      <formula>1</formula>
    </cfRule>
    <cfRule type="cellIs" dxfId="3184" priority="3185" operator="lessThan">
      <formula>0.8</formula>
    </cfRule>
  </conditionalFormatting>
  <conditionalFormatting sqref="P83">
    <cfRule type="cellIs" dxfId="3183" priority="3183" operator="greaterThan">
      <formula>0</formula>
    </cfRule>
  </conditionalFormatting>
  <conditionalFormatting sqref="Q83">
    <cfRule type="cellIs" dxfId="3182" priority="3188" operator="lessThan">
      <formula>0</formula>
    </cfRule>
  </conditionalFormatting>
  <conditionalFormatting sqref="P83">
    <cfRule type="cellIs" dxfId="3181" priority="3177" operator="greaterThan">
      <formula>0</formula>
    </cfRule>
  </conditionalFormatting>
  <conditionalFormatting sqref="Q83">
    <cfRule type="cellIs" dxfId="3180" priority="3182" operator="lessThan">
      <formula>0</formula>
    </cfRule>
  </conditionalFormatting>
  <conditionalFormatting sqref="R83">
    <cfRule type="cellIs" dxfId="3179" priority="3180" operator="lessThan">
      <formula>0.8</formula>
    </cfRule>
    <cfRule type="cellIs" dxfId="3178" priority="3181" operator="greaterThan">
      <formula>1</formula>
    </cfRule>
  </conditionalFormatting>
  <conditionalFormatting sqref="R83">
    <cfRule type="cellIs" dxfId="3177" priority="3178" operator="greaterThan">
      <formula>1</formula>
    </cfRule>
    <cfRule type="cellIs" dxfId="3176" priority="3179" operator="lessThan">
      <formula>0.8</formula>
    </cfRule>
  </conditionalFormatting>
  <conditionalFormatting sqref="R83">
    <cfRule type="cellIs" dxfId="3175" priority="3174" operator="lessThan">
      <formula>0.8</formula>
    </cfRule>
    <cfRule type="cellIs" dxfId="3174" priority="3175" operator="greaterThan">
      <formula>1</formula>
    </cfRule>
  </conditionalFormatting>
  <conditionalFormatting sqref="R83">
    <cfRule type="cellIs" dxfId="3173" priority="3172" operator="greaterThan">
      <formula>1</formula>
    </cfRule>
    <cfRule type="cellIs" dxfId="3172" priority="3173" operator="lessThan">
      <formula>0.8</formula>
    </cfRule>
  </conditionalFormatting>
  <conditionalFormatting sqref="P83">
    <cfRule type="cellIs" dxfId="3171" priority="3171" operator="greaterThan">
      <formula>0</formula>
    </cfRule>
  </conditionalFormatting>
  <conditionalFormatting sqref="Q83">
    <cfRule type="cellIs" dxfId="3170" priority="3176" operator="lessThan">
      <formula>0</formula>
    </cfRule>
  </conditionalFormatting>
  <conditionalFormatting sqref="R83">
    <cfRule type="cellIs" dxfId="3169" priority="3168" operator="lessThan">
      <formula>0.8</formula>
    </cfRule>
    <cfRule type="cellIs" dxfId="3168" priority="3169" operator="greaterThan">
      <formula>1</formula>
    </cfRule>
  </conditionalFormatting>
  <conditionalFormatting sqref="R83">
    <cfRule type="cellIs" dxfId="3167" priority="3166" operator="greaterThan">
      <formula>1</formula>
    </cfRule>
    <cfRule type="cellIs" dxfId="3166" priority="3167" operator="lessThan">
      <formula>0.8</formula>
    </cfRule>
  </conditionalFormatting>
  <conditionalFormatting sqref="P83">
    <cfRule type="cellIs" dxfId="3165" priority="3165" operator="greaterThan">
      <formula>0</formula>
    </cfRule>
  </conditionalFormatting>
  <conditionalFormatting sqref="Q83">
    <cfRule type="cellIs" dxfId="3164" priority="3170" operator="lessThan">
      <formula>0</formula>
    </cfRule>
  </conditionalFormatting>
  <conditionalFormatting sqref="Q83">
    <cfRule type="cellIs" dxfId="3163" priority="3164" operator="lessThan">
      <formula>0</formula>
    </cfRule>
  </conditionalFormatting>
  <conditionalFormatting sqref="R83">
    <cfRule type="cellIs" dxfId="3162" priority="3162" operator="lessThan">
      <formula>0.8</formula>
    </cfRule>
    <cfRule type="cellIs" dxfId="3161" priority="3163" operator="greaterThan">
      <formula>1</formula>
    </cfRule>
  </conditionalFormatting>
  <conditionalFormatting sqref="R83">
    <cfRule type="cellIs" dxfId="3160" priority="3160" operator="greaterThan">
      <formula>1</formula>
    </cfRule>
    <cfRule type="cellIs" dxfId="3159" priority="3161" operator="lessThan">
      <formula>0.8</formula>
    </cfRule>
  </conditionalFormatting>
  <conditionalFormatting sqref="P83">
    <cfRule type="cellIs" dxfId="3158" priority="3159" operator="greaterThan">
      <formula>0</formula>
    </cfRule>
  </conditionalFormatting>
  <conditionalFormatting sqref="Q83">
    <cfRule type="cellIs" dxfId="3157" priority="3153" operator="lessThan">
      <formula>0</formula>
    </cfRule>
  </conditionalFormatting>
  <conditionalFormatting sqref="R83">
    <cfRule type="cellIs" dxfId="3156" priority="3157" operator="lessThan">
      <formula>0.8</formula>
    </cfRule>
    <cfRule type="cellIs" dxfId="3155" priority="3158" operator="greaterThan">
      <formula>1</formula>
    </cfRule>
  </conditionalFormatting>
  <conditionalFormatting sqref="R83">
    <cfRule type="cellIs" dxfId="3154" priority="3155" operator="greaterThan">
      <formula>1</formula>
    </cfRule>
    <cfRule type="cellIs" dxfId="3153" priority="3156" operator="lessThan">
      <formula>0.8</formula>
    </cfRule>
  </conditionalFormatting>
  <conditionalFormatting sqref="P83">
    <cfRule type="cellIs" dxfId="3152" priority="3154" operator="greaterThan">
      <formula>0</formula>
    </cfRule>
  </conditionalFormatting>
  <conditionalFormatting sqref="Q83">
    <cfRule type="cellIs" dxfId="3151" priority="3152" operator="lessThan">
      <formula>0</formula>
    </cfRule>
  </conditionalFormatting>
  <conditionalFormatting sqref="R83">
    <cfRule type="cellIs" dxfId="3150" priority="3150" operator="lessThan">
      <formula>0.8</formula>
    </cfRule>
    <cfRule type="cellIs" dxfId="3149" priority="3151" operator="greaterThan">
      <formula>1</formula>
    </cfRule>
  </conditionalFormatting>
  <conditionalFormatting sqref="R83">
    <cfRule type="cellIs" dxfId="3148" priority="3148" operator="greaterThan">
      <formula>1</formula>
    </cfRule>
    <cfRule type="cellIs" dxfId="3147" priority="3149" operator="lessThan">
      <formula>0.8</formula>
    </cfRule>
  </conditionalFormatting>
  <conditionalFormatting sqref="P83">
    <cfRule type="cellIs" dxfId="3146" priority="3147" operator="greaterThan">
      <formula>0</formula>
    </cfRule>
  </conditionalFormatting>
  <conditionalFormatting sqref="Q83">
    <cfRule type="cellIs" dxfId="3145" priority="3146" operator="lessThan">
      <formula>0</formula>
    </cfRule>
  </conditionalFormatting>
  <conditionalFormatting sqref="R83">
    <cfRule type="cellIs" dxfId="3144" priority="3144" operator="lessThan">
      <formula>0.8</formula>
    </cfRule>
    <cfRule type="cellIs" dxfId="3143" priority="3145" operator="greaterThan">
      <formula>1</formula>
    </cfRule>
  </conditionalFormatting>
  <conditionalFormatting sqref="R83">
    <cfRule type="cellIs" dxfId="3142" priority="3142" operator="greaterThan">
      <formula>1</formula>
    </cfRule>
    <cfRule type="cellIs" dxfId="3141" priority="3143" operator="lessThan">
      <formula>0.8</formula>
    </cfRule>
  </conditionalFormatting>
  <conditionalFormatting sqref="P83">
    <cfRule type="cellIs" dxfId="3140" priority="3141" operator="greaterThan">
      <formula>0</formula>
    </cfRule>
  </conditionalFormatting>
  <conditionalFormatting sqref="Q83">
    <cfRule type="cellIs" dxfId="3139" priority="3140" operator="lessThan">
      <formula>0</formula>
    </cfRule>
  </conditionalFormatting>
  <conditionalFormatting sqref="R83">
    <cfRule type="cellIs" dxfId="3138" priority="3138" operator="lessThan">
      <formula>0.8</formula>
    </cfRule>
    <cfRule type="cellIs" dxfId="3137" priority="3139" operator="greaterThan">
      <formula>1</formula>
    </cfRule>
  </conditionalFormatting>
  <conditionalFormatting sqref="R83">
    <cfRule type="cellIs" dxfId="3136" priority="3136" operator="greaterThan">
      <formula>1</formula>
    </cfRule>
    <cfRule type="cellIs" dxfId="3135" priority="3137" operator="lessThan">
      <formula>0.8</formula>
    </cfRule>
  </conditionalFormatting>
  <conditionalFormatting sqref="P83">
    <cfRule type="cellIs" dxfId="3134" priority="3135" operator="greaterThan">
      <formula>0</formula>
    </cfRule>
  </conditionalFormatting>
  <conditionalFormatting sqref="Q83">
    <cfRule type="cellIs" dxfId="3133" priority="3134" operator="lessThan">
      <formula>0</formula>
    </cfRule>
  </conditionalFormatting>
  <conditionalFormatting sqref="R83">
    <cfRule type="cellIs" dxfId="3132" priority="3132" operator="lessThan">
      <formula>0.8</formula>
    </cfRule>
    <cfRule type="cellIs" dxfId="3131" priority="3133" operator="greaterThan">
      <formula>1</formula>
    </cfRule>
  </conditionalFormatting>
  <conditionalFormatting sqref="R83">
    <cfRule type="cellIs" dxfId="3130" priority="3130" operator="greaterThan">
      <formula>1</formula>
    </cfRule>
    <cfRule type="cellIs" dxfId="3129" priority="3131" operator="lessThan">
      <formula>0.8</formula>
    </cfRule>
  </conditionalFormatting>
  <conditionalFormatting sqref="P83">
    <cfRule type="cellIs" dxfId="3128" priority="3129" operator="greaterThan">
      <formula>0</formula>
    </cfRule>
  </conditionalFormatting>
  <conditionalFormatting sqref="Q83">
    <cfRule type="cellIs" dxfId="3127" priority="3128" operator="lessThan">
      <formula>0</formula>
    </cfRule>
  </conditionalFormatting>
  <conditionalFormatting sqref="R83">
    <cfRule type="cellIs" dxfId="3126" priority="3126" operator="lessThan">
      <formula>0.8</formula>
    </cfRule>
    <cfRule type="cellIs" dxfId="3125" priority="3127" operator="greaterThan">
      <formula>1</formula>
    </cfRule>
  </conditionalFormatting>
  <conditionalFormatting sqref="R83">
    <cfRule type="cellIs" dxfId="3124" priority="3124" operator="greaterThan">
      <formula>1</formula>
    </cfRule>
    <cfRule type="cellIs" dxfId="3123" priority="3125" operator="lessThan">
      <formula>0.8</formula>
    </cfRule>
  </conditionalFormatting>
  <conditionalFormatting sqref="P83">
    <cfRule type="cellIs" dxfId="3122" priority="3123" operator="greaterThan">
      <formula>0</formula>
    </cfRule>
  </conditionalFormatting>
  <conditionalFormatting sqref="P83">
    <cfRule type="cellIs" dxfId="3121" priority="3117" operator="greaterThan">
      <formula>0</formula>
    </cfRule>
  </conditionalFormatting>
  <conditionalFormatting sqref="Q83">
    <cfRule type="cellIs" dxfId="3120" priority="3122" operator="lessThan">
      <formula>0</formula>
    </cfRule>
  </conditionalFormatting>
  <conditionalFormatting sqref="R83">
    <cfRule type="cellIs" dxfId="3119" priority="3120" operator="lessThan">
      <formula>0.8</formula>
    </cfRule>
    <cfRule type="cellIs" dxfId="3118" priority="3121" operator="greaterThan">
      <formula>1</formula>
    </cfRule>
  </conditionalFormatting>
  <conditionalFormatting sqref="R83">
    <cfRule type="cellIs" dxfId="3117" priority="3118" operator="greaterThan">
      <formula>1</formula>
    </cfRule>
    <cfRule type="cellIs" dxfId="3116" priority="3119" operator="lessThan">
      <formula>0.8</formula>
    </cfRule>
  </conditionalFormatting>
  <conditionalFormatting sqref="P83">
    <cfRule type="cellIs" dxfId="3115" priority="3111" operator="greaterThan">
      <formula>0</formula>
    </cfRule>
  </conditionalFormatting>
  <conditionalFormatting sqref="Q83">
    <cfRule type="cellIs" dxfId="3114" priority="3116" operator="lessThan">
      <formula>0</formula>
    </cfRule>
  </conditionalFormatting>
  <conditionalFormatting sqref="R83">
    <cfRule type="cellIs" dxfId="3113" priority="3114" operator="lessThan">
      <formula>0.8</formula>
    </cfRule>
    <cfRule type="cellIs" dxfId="3112" priority="3115" operator="greaterThan">
      <formula>1</formula>
    </cfRule>
  </conditionalFormatting>
  <conditionalFormatting sqref="R83">
    <cfRule type="cellIs" dxfId="3111" priority="3112" operator="greaterThan">
      <formula>1</formula>
    </cfRule>
    <cfRule type="cellIs" dxfId="3110" priority="3113" operator="lessThan">
      <formula>0.8</formula>
    </cfRule>
  </conditionalFormatting>
  <conditionalFormatting sqref="R83">
    <cfRule type="cellIs" dxfId="3109" priority="3108" operator="lessThan">
      <formula>0.8</formula>
    </cfRule>
    <cfRule type="cellIs" dxfId="3108" priority="3109" operator="greaterThan">
      <formula>1</formula>
    </cfRule>
  </conditionalFormatting>
  <conditionalFormatting sqref="R83">
    <cfRule type="cellIs" dxfId="3107" priority="3106" operator="greaterThan">
      <formula>1</formula>
    </cfRule>
    <cfRule type="cellIs" dxfId="3106" priority="3107" operator="lessThan">
      <formula>0.8</formula>
    </cfRule>
  </conditionalFormatting>
  <conditionalFormatting sqref="P83">
    <cfRule type="cellIs" dxfId="3105" priority="3105" operator="greaterThan">
      <formula>0</formula>
    </cfRule>
  </conditionalFormatting>
  <conditionalFormatting sqref="Q83">
    <cfRule type="cellIs" dxfId="3104" priority="3110" operator="lessThan">
      <formula>0</formula>
    </cfRule>
  </conditionalFormatting>
  <conditionalFormatting sqref="Q83">
    <cfRule type="cellIs" dxfId="3103" priority="3099" operator="lessThan">
      <formula>0</formula>
    </cfRule>
  </conditionalFormatting>
  <conditionalFormatting sqref="P83">
    <cfRule type="cellIs" dxfId="3102" priority="3100" operator="greaterThan">
      <formula>0</formula>
    </cfRule>
  </conditionalFormatting>
  <conditionalFormatting sqref="R83">
    <cfRule type="cellIs" dxfId="3101" priority="3103" operator="lessThan">
      <formula>0.8</formula>
    </cfRule>
    <cfRule type="cellIs" dxfId="3100" priority="3104" operator="greaterThan">
      <formula>1</formula>
    </cfRule>
  </conditionalFormatting>
  <conditionalFormatting sqref="R83">
    <cfRule type="cellIs" dxfId="3099" priority="3101" operator="greaterThan">
      <formula>1</formula>
    </cfRule>
    <cfRule type="cellIs" dxfId="3098" priority="3102" operator="lessThan">
      <formula>0.8</formula>
    </cfRule>
  </conditionalFormatting>
  <conditionalFormatting sqref="Q83">
    <cfRule type="cellIs" dxfId="3097" priority="3093" operator="lessThan">
      <formula>0</formula>
    </cfRule>
  </conditionalFormatting>
  <conditionalFormatting sqref="R83">
    <cfRule type="cellIs" dxfId="3096" priority="3097" operator="lessThan">
      <formula>0.8</formula>
    </cfRule>
    <cfRule type="cellIs" dxfId="3095" priority="3098" operator="greaterThan">
      <formula>1</formula>
    </cfRule>
  </conditionalFormatting>
  <conditionalFormatting sqref="R83">
    <cfRule type="cellIs" dxfId="3094" priority="3095" operator="greaterThan">
      <formula>1</formula>
    </cfRule>
    <cfRule type="cellIs" dxfId="3093" priority="3096" operator="lessThan">
      <formula>0.8</formula>
    </cfRule>
  </conditionalFormatting>
  <conditionalFormatting sqref="P83">
    <cfRule type="cellIs" dxfId="3092" priority="3094" operator="greaterThan">
      <formula>0</formula>
    </cfRule>
  </conditionalFormatting>
  <conditionalFormatting sqref="Q83">
    <cfRule type="cellIs" dxfId="3091" priority="3092" operator="lessThan">
      <formula>0</formula>
    </cfRule>
  </conditionalFormatting>
  <conditionalFormatting sqref="R83">
    <cfRule type="cellIs" dxfId="3090" priority="3090" operator="lessThan">
      <formula>0.8</formula>
    </cfRule>
    <cfRule type="cellIs" dxfId="3089" priority="3091" operator="greaterThan">
      <formula>1</formula>
    </cfRule>
  </conditionalFormatting>
  <conditionalFormatting sqref="R83">
    <cfRule type="cellIs" dxfId="3088" priority="3088" operator="greaterThan">
      <formula>1</formula>
    </cfRule>
    <cfRule type="cellIs" dxfId="3087" priority="3089" operator="lessThan">
      <formula>0.8</formula>
    </cfRule>
  </conditionalFormatting>
  <conditionalFormatting sqref="P83">
    <cfRule type="cellIs" dxfId="3086" priority="3087" operator="greaterThan">
      <formula>0</formula>
    </cfRule>
  </conditionalFormatting>
  <conditionalFormatting sqref="Q83">
    <cfRule type="cellIs" dxfId="3085" priority="3086" operator="lessThan">
      <formula>0</formula>
    </cfRule>
  </conditionalFormatting>
  <conditionalFormatting sqref="R83">
    <cfRule type="cellIs" dxfId="3084" priority="3084" operator="lessThan">
      <formula>0.8</formula>
    </cfRule>
    <cfRule type="cellIs" dxfId="3083" priority="3085" operator="greaterThan">
      <formula>1</formula>
    </cfRule>
  </conditionalFormatting>
  <conditionalFormatting sqref="R83">
    <cfRule type="cellIs" dxfId="3082" priority="3082" operator="greaterThan">
      <formula>1</formula>
    </cfRule>
    <cfRule type="cellIs" dxfId="3081" priority="3083" operator="lessThan">
      <formula>0.8</formula>
    </cfRule>
  </conditionalFormatting>
  <conditionalFormatting sqref="P83">
    <cfRule type="cellIs" dxfId="3080" priority="3081" operator="greaterThan">
      <formula>0</formula>
    </cfRule>
  </conditionalFormatting>
  <conditionalFormatting sqref="Q83">
    <cfRule type="cellIs" dxfId="3079" priority="3080" operator="lessThan">
      <formula>0</formula>
    </cfRule>
  </conditionalFormatting>
  <conditionalFormatting sqref="R83">
    <cfRule type="cellIs" dxfId="3078" priority="3078" operator="lessThan">
      <formula>0.8</formula>
    </cfRule>
    <cfRule type="cellIs" dxfId="3077" priority="3079" operator="greaterThan">
      <formula>1</formula>
    </cfRule>
  </conditionalFormatting>
  <conditionalFormatting sqref="R83">
    <cfRule type="cellIs" dxfId="3076" priority="3076" operator="greaterThan">
      <formula>1</formula>
    </cfRule>
    <cfRule type="cellIs" dxfId="3075" priority="3077" operator="lessThan">
      <formula>0.8</formula>
    </cfRule>
  </conditionalFormatting>
  <conditionalFormatting sqref="P83">
    <cfRule type="cellIs" dxfId="3074" priority="3075" operator="greaterThan">
      <formula>0</formula>
    </cfRule>
  </conditionalFormatting>
  <conditionalFormatting sqref="Q83">
    <cfRule type="cellIs" dxfId="3073" priority="3074" operator="lessThan">
      <formula>0</formula>
    </cfRule>
  </conditionalFormatting>
  <conditionalFormatting sqref="R83">
    <cfRule type="cellIs" dxfId="3072" priority="3072" operator="lessThan">
      <formula>0.8</formula>
    </cfRule>
    <cfRule type="cellIs" dxfId="3071" priority="3073" operator="greaterThan">
      <formula>1</formula>
    </cfRule>
  </conditionalFormatting>
  <conditionalFormatting sqref="R83">
    <cfRule type="cellIs" dxfId="3070" priority="3070" operator="greaterThan">
      <formula>1</formula>
    </cfRule>
    <cfRule type="cellIs" dxfId="3069" priority="3071" operator="lessThan">
      <formula>0.8</formula>
    </cfRule>
  </conditionalFormatting>
  <conditionalFormatting sqref="P83">
    <cfRule type="cellIs" dxfId="3068" priority="3069" operator="greaterThan">
      <formula>0</formula>
    </cfRule>
  </conditionalFormatting>
  <conditionalFormatting sqref="Q83">
    <cfRule type="cellIs" dxfId="3067" priority="3068" operator="lessThan">
      <formula>0</formula>
    </cfRule>
  </conditionalFormatting>
  <conditionalFormatting sqref="R83">
    <cfRule type="cellIs" dxfId="3066" priority="3066" operator="lessThan">
      <formula>0.8</formula>
    </cfRule>
    <cfRule type="cellIs" dxfId="3065" priority="3067" operator="greaterThan">
      <formula>1</formula>
    </cfRule>
  </conditionalFormatting>
  <conditionalFormatting sqref="R83">
    <cfRule type="cellIs" dxfId="3064" priority="3064" operator="greaterThan">
      <formula>1</formula>
    </cfRule>
    <cfRule type="cellIs" dxfId="3063" priority="3065" operator="lessThan">
      <formula>0.8</formula>
    </cfRule>
  </conditionalFormatting>
  <conditionalFormatting sqref="P83">
    <cfRule type="cellIs" dxfId="3062" priority="3063" operator="greaterThan">
      <formula>0</formula>
    </cfRule>
  </conditionalFormatting>
  <conditionalFormatting sqref="Q83">
    <cfRule type="cellIs" dxfId="3061" priority="3062" operator="lessThan">
      <formula>0</formula>
    </cfRule>
  </conditionalFormatting>
  <conditionalFormatting sqref="R83">
    <cfRule type="cellIs" dxfId="3060" priority="3060" operator="lessThan">
      <formula>0.8</formula>
    </cfRule>
    <cfRule type="cellIs" dxfId="3059" priority="3061" operator="greaterThan">
      <formula>1</formula>
    </cfRule>
  </conditionalFormatting>
  <conditionalFormatting sqref="R83">
    <cfRule type="cellIs" dxfId="3058" priority="3058" operator="greaterThan">
      <formula>1</formula>
    </cfRule>
    <cfRule type="cellIs" dxfId="3057" priority="3059" operator="lessThan">
      <formula>0.8</formula>
    </cfRule>
  </conditionalFormatting>
  <conditionalFormatting sqref="P83">
    <cfRule type="cellIs" dxfId="3056" priority="3057" operator="greaterThan">
      <formula>0</formula>
    </cfRule>
  </conditionalFormatting>
  <conditionalFormatting sqref="Q83">
    <cfRule type="cellIs" dxfId="3055" priority="3056" operator="lessThan">
      <formula>0</formula>
    </cfRule>
  </conditionalFormatting>
  <conditionalFormatting sqref="R83">
    <cfRule type="cellIs" dxfId="3054" priority="3054" operator="lessThan">
      <formula>0.8</formula>
    </cfRule>
    <cfRule type="cellIs" dxfId="3053" priority="3055" operator="greaterThan">
      <formula>1</formula>
    </cfRule>
  </conditionalFormatting>
  <conditionalFormatting sqref="R83">
    <cfRule type="cellIs" dxfId="3052" priority="3052" operator="greaterThan">
      <formula>1</formula>
    </cfRule>
    <cfRule type="cellIs" dxfId="3051" priority="3053" operator="lessThan">
      <formula>0.8</formula>
    </cfRule>
  </conditionalFormatting>
  <conditionalFormatting sqref="P83">
    <cfRule type="cellIs" dxfId="3050" priority="3051" operator="greaterThan">
      <formula>0</formula>
    </cfRule>
  </conditionalFormatting>
  <conditionalFormatting sqref="P83">
    <cfRule type="cellIs" dxfId="3049" priority="3045" operator="greaterThan">
      <formula>0</formula>
    </cfRule>
  </conditionalFormatting>
  <conditionalFormatting sqref="Q83">
    <cfRule type="cellIs" dxfId="3048" priority="3050" operator="lessThan">
      <formula>0</formula>
    </cfRule>
  </conditionalFormatting>
  <conditionalFormatting sqref="R83">
    <cfRule type="cellIs" dxfId="3047" priority="3048" operator="lessThan">
      <formula>0.8</formula>
    </cfRule>
    <cfRule type="cellIs" dxfId="3046" priority="3049" operator="greaterThan">
      <formula>1</formula>
    </cfRule>
  </conditionalFormatting>
  <conditionalFormatting sqref="R83">
    <cfRule type="cellIs" dxfId="3045" priority="3046" operator="greaterThan">
      <formula>1</formula>
    </cfRule>
    <cfRule type="cellIs" dxfId="3044" priority="3047" operator="lessThan">
      <formula>0.8</formula>
    </cfRule>
  </conditionalFormatting>
  <conditionalFormatting sqref="P83">
    <cfRule type="cellIs" dxfId="3043" priority="3039" operator="greaterThan">
      <formula>0</formula>
    </cfRule>
  </conditionalFormatting>
  <conditionalFormatting sqref="Q83">
    <cfRule type="cellIs" dxfId="3042" priority="3044" operator="lessThan">
      <formula>0</formula>
    </cfRule>
  </conditionalFormatting>
  <conditionalFormatting sqref="R83">
    <cfRule type="cellIs" dxfId="3041" priority="3042" operator="lessThan">
      <formula>0.8</formula>
    </cfRule>
    <cfRule type="cellIs" dxfId="3040" priority="3043" operator="greaterThan">
      <formula>1</formula>
    </cfRule>
  </conditionalFormatting>
  <conditionalFormatting sqref="R83">
    <cfRule type="cellIs" dxfId="3039" priority="3040" operator="greaterThan">
      <formula>1</formula>
    </cfRule>
    <cfRule type="cellIs" dxfId="3038" priority="3041" operator="lessThan">
      <formula>0.8</formula>
    </cfRule>
  </conditionalFormatting>
  <conditionalFormatting sqref="R83">
    <cfRule type="cellIs" dxfId="3037" priority="3036" operator="lessThan">
      <formula>0.8</formula>
    </cfRule>
    <cfRule type="cellIs" dxfId="3036" priority="3037" operator="greaterThan">
      <formula>1</formula>
    </cfRule>
  </conditionalFormatting>
  <conditionalFormatting sqref="R83">
    <cfRule type="cellIs" dxfId="3035" priority="3034" operator="greaterThan">
      <formula>1</formula>
    </cfRule>
    <cfRule type="cellIs" dxfId="3034" priority="3035" operator="lessThan">
      <formula>0.8</formula>
    </cfRule>
  </conditionalFormatting>
  <conditionalFormatting sqref="P83">
    <cfRule type="cellIs" dxfId="3033" priority="3033" operator="greaterThan">
      <formula>0</formula>
    </cfRule>
  </conditionalFormatting>
  <conditionalFormatting sqref="Q83">
    <cfRule type="cellIs" dxfId="3032" priority="3038" operator="lessThan">
      <formula>0</formula>
    </cfRule>
  </conditionalFormatting>
  <conditionalFormatting sqref="Q83">
    <cfRule type="cellIs" dxfId="3031" priority="3032" operator="lessThan">
      <formula>0</formula>
    </cfRule>
  </conditionalFormatting>
  <conditionalFormatting sqref="R83">
    <cfRule type="cellIs" dxfId="3030" priority="3030" operator="lessThan">
      <formula>0.8</formula>
    </cfRule>
    <cfRule type="cellIs" dxfId="3029" priority="3031" operator="greaterThan">
      <formula>1</formula>
    </cfRule>
  </conditionalFormatting>
  <conditionalFormatting sqref="R83">
    <cfRule type="cellIs" dxfId="3028" priority="3028" operator="greaterThan">
      <formula>1</formula>
    </cfRule>
    <cfRule type="cellIs" dxfId="3027" priority="3029" operator="lessThan">
      <formula>0.8</formula>
    </cfRule>
  </conditionalFormatting>
  <conditionalFormatting sqref="P83">
    <cfRule type="cellIs" dxfId="3026" priority="3027" operator="greaterThan">
      <formula>0</formula>
    </cfRule>
  </conditionalFormatting>
  <conditionalFormatting sqref="P83">
    <cfRule type="cellIs" dxfId="3025" priority="3021" operator="greaterThan">
      <formula>0</formula>
    </cfRule>
  </conditionalFormatting>
  <conditionalFormatting sqref="Q83">
    <cfRule type="cellIs" dxfId="3024" priority="3026" operator="lessThan">
      <formula>0</formula>
    </cfRule>
  </conditionalFormatting>
  <conditionalFormatting sqref="R83">
    <cfRule type="cellIs" dxfId="3023" priority="3024" operator="lessThan">
      <formula>0.8</formula>
    </cfRule>
    <cfRule type="cellIs" dxfId="3022" priority="3025" operator="greaterThan">
      <formula>1</formula>
    </cfRule>
  </conditionalFormatting>
  <conditionalFormatting sqref="R83">
    <cfRule type="cellIs" dxfId="3021" priority="3022" operator="greaterThan">
      <formula>1</formula>
    </cfRule>
    <cfRule type="cellIs" dxfId="3020" priority="3023" operator="lessThan">
      <formula>0.8</formula>
    </cfRule>
  </conditionalFormatting>
  <conditionalFormatting sqref="P83">
    <cfRule type="cellIs" dxfId="3019" priority="3015" operator="greaterThan">
      <formula>0</formula>
    </cfRule>
  </conditionalFormatting>
  <conditionalFormatting sqref="Q83">
    <cfRule type="cellIs" dxfId="3018" priority="3020" operator="lessThan">
      <formula>0</formula>
    </cfRule>
  </conditionalFormatting>
  <conditionalFormatting sqref="R83">
    <cfRule type="cellIs" dxfId="3017" priority="3018" operator="lessThan">
      <formula>0.8</formula>
    </cfRule>
    <cfRule type="cellIs" dxfId="3016" priority="3019" operator="greaterThan">
      <formula>1</formula>
    </cfRule>
  </conditionalFormatting>
  <conditionalFormatting sqref="R83">
    <cfRule type="cellIs" dxfId="3015" priority="3016" operator="greaterThan">
      <formula>1</formula>
    </cfRule>
    <cfRule type="cellIs" dxfId="3014" priority="3017" operator="lessThan">
      <formula>0.8</formula>
    </cfRule>
  </conditionalFormatting>
  <conditionalFormatting sqref="R83">
    <cfRule type="cellIs" dxfId="3013" priority="3012" operator="lessThan">
      <formula>0.8</formula>
    </cfRule>
    <cfRule type="cellIs" dxfId="3012" priority="3013" operator="greaterThan">
      <formula>1</formula>
    </cfRule>
  </conditionalFormatting>
  <conditionalFormatting sqref="R83">
    <cfRule type="cellIs" dxfId="3011" priority="3010" operator="greaterThan">
      <formula>1</formula>
    </cfRule>
    <cfRule type="cellIs" dxfId="3010" priority="3011" operator="lessThan">
      <formula>0.8</formula>
    </cfRule>
  </conditionalFormatting>
  <conditionalFormatting sqref="P83">
    <cfRule type="cellIs" dxfId="3009" priority="3009" operator="greaterThan">
      <formula>0</formula>
    </cfRule>
  </conditionalFormatting>
  <conditionalFormatting sqref="Q83">
    <cfRule type="cellIs" dxfId="3008" priority="3014" operator="lessThan">
      <formula>0</formula>
    </cfRule>
  </conditionalFormatting>
  <conditionalFormatting sqref="P83">
    <cfRule type="cellIs" dxfId="3007" priority="3003" operator="greaterThan">
      <formula>0</formula>
    </cfRule>
  </conditionalFormatting>
  <conditionalFormatting sqref="Q83">
    <cfRule type="cellIs" dxfId="3006" priority="3008" operator="lessThan">
      <formula>0</formula>
    </cfRule>
  </conditionalFormatting>
  <conditionalFormatting sqref="R83">
    <cfRule type="cellIs" dxfId="3005" priority="3006" operator="lessThan">
      <formula>0.8</formula>
    </cfRule>
    <cfRule type="cellIs" dxfId="3004" priority="3007" operator="greaterThan">
      <formula>1</formula>
    </cfRule>
  </conditionalFormatting>
  <conditionalFormatting sqref="R83">
    <cfRule type="cellIs" dxfId="3003" priority="3004" operator="greaterThan">
      <formula>1</formula>
    </cfRule>
    <cfRule type="cellIs" dxfId="3002" priority="3005" operator="lessThan">
      <formula>0.8</formula>
    </cfRule>
  </conditionalFormatting>
  <conditionalFormatting sqref="R83">
    <cfRule type="cellIs" dxfId="3001" priority="3000" operator="lessThan">
      <formula>0.8</formula>
    </cfRule>
    <cfRule type="cellIs" dxfId="3000" priority="3001" operator="greaterThan">
      <formula>1</formula>
    </cfRule>
  </conditionalFormatting>
  <conditionalFormatting sqref="R83">
    <cfRule type="cellIs" dxfId="2999" priority="2998" operator="greaterThan">
      <formula>1</formula>
    </cfRule>
    <cfRule type="cellIs" dxfId="2998" priority="2999" operator="lessThan">
      <formula>0.8</formula>
    </cfRule>
  </conditionalFormatting>
  <conditionalFormatting sqref="P83">
    <cfRule type="cellIs" dxfId="2997" priority="2997" operator="greaterThan">
      <formula>0</formula>
    </cfRule>
  </conditionalFormatting>
  <conditionalFormatting sqref="Q83">
    <cfRule type="cellIs" dxfId="2996" priority="3002" operator="lessThan">
      <formula>0</formula>
    </cfRule>
  </conditionalFormatting>
  <conditionalFormatting sqref="R83">
    <cfRule type="cellIs" dxfId="2995" priority="2994" operator="lessThan">
      <formula>0.8</formula>
    </cfRule>
    <cfRule type="cellIs" dxfId="2994" priority="2995" operator="greaterThan">
      <formula>1</formula>
    </cfRule>
  </conditionalFormatting>
  <conditionalFormatting sqref="R83">
    <cfRule type="cellIs" dxfId="2993" priority="2992" operator="greaterThan">
      <formula>1</formula>
    </cfRule>
    <cfRule type="cellIs" dxfId="2992" priority="2993" operator="lessThan">
      <formula>0.8</formula>
    </cfRule>
  </conditionalFormatting>
  <conditionalFormatting sqref="P83">
    <cfRule type="cellIs" dxfId="2991" priority="2991" operator="greaterThan">
      <formula>0</formula>
    </cfRule>
  </conditionalFormatting>
  <conditionalFormatting sqref="Q83">
    <cfRule type="cellIs" dxfId="2990" priority="2996" operator="lessThan">
      <formula>0</formula>
    </cfRule>
  </conditionalFormatting>
  <conditionalFormatting sqref="Q83">
    <cfRule type="cellIs" dxfId="2989" priority="2990" operator="lessThan">
      <formula>0</formula>
    </cfRule>
  </conditionalFormatting>
  <conditionalFormatting sqref="R83">
    <cfRule type="cellIs" dxfId="2988" priority="2988" operator="lessThan">
      <formula>0.8</formula>
    </cfRule>
    <cfRule type="cellIs" dxfId="2987" priority="2989" operator="greaterThan">
      <formula>1</formula>
    </cfRule>
  </conditionalFormatting>
  <conditionalFormatting sqref="R83">
    <cfRule type="cellIs" dxfId="2986" priority="2986" operator="greaterThan">
      <formula>1</formula>
    </cfRule>
    <cfRule type="cellIs" dxfId="2985" priority="2987" operator="lessThan">
      <formula>0.8</formula>
    </cfRule>
  </conditionalFormatting>
  <conditionalFormatting sqref="P83">
    <cfRule type="cellIs" dxfId="2984" priority="2985" operator="greaterThan">
      <formula>0</formula>
    </cfRule>
  </conditionalFormatting>
  <conditionalFormatting sqref="Q83">
    <cfRule type="cellIs" dxfId="2983" priority="2979" operator="lessThan">
      <formula>0</formula>
    </cfRule>
  </conditionalFormatting>
  <conditionalFormatting sqref="R83">
    <cfRule type="cellIs" dxfId="2982" priority="2983" operator="lessThan">
      <formula>0.8</formula>
    </cfRule>
    <cfRule type="cellIs" dxfId="2981" priority="2984" operator="greaterThan">
      <formula>1</formula>
    </cfRule>
  </conditionalFormatting>
  <conditionalFormatting sqref="R83">
    <cfRule type="cellIs" dxfId="2980" priority="2981" operator="greaterThan">
      <formula>1</formula>
    </cfRule>
    <cfRule type="cellIs" dxfId="2979" priority="2982" operator="lessThan">
      <formula>0.8</formula>
    </cfRule>
  </conditionalFormatting>
  <conditionalFormatting sqref="P83">
    <cfRule type="cellIs" dxfId="2978" priority="2980" operator="greaterThan">
      <formula>0</formula>
    </cfRule>
  </conditionalFormatting>
  <conditionalFormatting sqref="Q83">
    <cfRule type="cellIs" dxfId="2977" priority="2978" operator="lessThan">
      <formula>0</formula>
    </cfRule>
  </conditionalFormatting>
  <conditionalFormatting sqref="R83">
    <cfRule type="cellIs" dxfId="2976" priority="2976" operator="lessThan">
      <formula>0.8</formula>
    </cfRule>
    <cfRule type="cellIs" dxfId="2975" priority="2977" operator="greaterThan">
      <formula>1</formula>
    </cfRule>
  </conditionalFormatting>
  <conditionalFormatting sqref="R83">
    <cfRule type="cellIs" dxfId="2974" priority="2974" operator="greaterThan">
      <formula>1</formula>
    </cfRule>
    <cfRule type="cellIs" dxfId="2973" priority="2975" operator="lessThan">
      <formula>0.8</formula>
    </cfRule>
  </conditionalFormatting>
  <conditionalFormatting sqref="P83">
    <cfRule type="cellIs" dxfId="2972" priority="2973" operator="greaterThan">
      <formula>0</formula>
    </cfRule>
  </conditionalFormatting>
  <conditionalFormatting sqref="Q83">
    <cfRule type="cellIs" dxfId="2971" priority="2972" operator="lessThan">
      <formula>0</formula>
    </cfRule>
  </conditionalFormatting>
  <conditionalFormatting sqref="R83">
    <cfRule type="cellIs" dxfId="2970" priority="2970" operator="lessThan">
      <formula>0.8</formula>
    </cfRule>
    <cfRule type="cellIs" dxfId="2969" priority="2971" operator="greaterThan">
      <formula>1</formula>
    </cfRule>
  </conditionalFormatting>
  <conditionalFormatting sqref="R83">
    <cfRule type="cellIs" dxfId="2968" priority="2968" operator="greaterThan">
      <formula>1</formula>
    </cfRule>
    <cfRule type="cellIs" dxfId="2967" priority="2969" operator="lessThan">
      <formula>0.8</formula>
    </cfRule>
  </conditionalFormatting>
  <conditionalFormatting sqref="P83">
    <cfRule type="cellIs" dxfId="2966" priority="2967" operator="greaterThan">
      <formula>0</formula>
    </cfRule>
  </conditionalFormatting>
  <conditionalFormatting sqref="Q83">
    <cfRule type="cellIs" dxfId="2965" priority="2966" operator="lessThan">
      <formula>0</formula>
    </cfRule>
  </conditionalFormatting>
  <conditionalFormatting sqref="R83">
    <cfRule type="cellIs" dxfId="2964" priority="2964" operator="lessThan">
      <formula>0.8</formula>
    </cfRule>
    <cfRule type="cellIs" dxfId="2963" priority="2965" operator="greaterThan">
      <formula>1</formula>
    </cfRule>
  </conditionalFormatting>
  <conditionalFormatting sqref="R83">
    <cfRule type="cellIs" dxfId="2962" priority="2962" operator="greaterThan">
      <formula>1</formula>
    </cfRule>
    <cfRule type="cellIs" dxfId="2961" priority="2963" operator="lessThan">
      <formula>0.8</formula>
    </cfRule>
  </conditionalFormatting>
  <conditionalFormatting sqref="P83">
    <cfRule type="cellIs" dxfId="2960" priority="2961" operator="greaterThan">
      <formula>0</formula>
    </cfRule>
  </conditionalFormatting>
  <conditionalFormatting sqref="Q83">
    <cfRule type="cellIs" dxfId="2959" priority="2960" operator="lessThan">
      <formula>0</formula>
    </cfRule>
  </conditionalFormatting>
  <conditionalFormatting sqref="R83">
    <cfRule type="cellIs" dxfId="2958" priority="2958" operator="lessThan">
      <formula>0.8</formula>
    </cfRule>
    <cfRule type="cellIs" dxfId="2957" priority="2959" operator="greaterThan">
      <formula>1</formula>
    </cfRule>
  </conditionalFormatting>
  <conditionalFormatting sqref="R83">
    <cfRule type="cellIs" dxfId="2956" priority="2956" operator="greaterThan">
      <formula>1</formula>
    </cfRule>
    <cfRule type="cellIs" dxfId="2955" priority="2957" operator="lessThan">
      <formula>0.8</formula>
    </cfRule>
  </conditionalFormatting>
  <conditionalFormatting sqref="P83">
    <cfRule type="cellIs" dxfId="2954" priority="2955" operator="greaterThan">
      <formula>0</formula>
    </cfRule>
  </conditionalFormatting>
  <conditionalFormatting sqref="Q83">
    <cfRule type="cellIs" dxfId="2953" priority="2954" operator="lessThan">
      <formula>0</formula>
    </cfRule>
  </conditionalFormatting>
  <conditionalFormatting sqref="R83">
    <cfRule type="cellIs" dxfId="2952" priority="2952" operator="lessThan">
      <formula>0.8</formula>
    </cfRule>
    <cfRule type="cellIs" dxfId="2951" priority="2953" operator="greaterThan">
      <formula>1</formula>
    </cfRule>
  </conditionalFormatting>
  <conditionalFormatting sqref="R83">
    <cfRule type="cellIs" dxfId="2950" priority="2950" operator="greaterThan">
      <formula>1</formula>
    </cfRule>
    <cfRule type="cellIs" dxfId="2949" priority="2951" operator="lessThan">
      <formula>0.8</formula>
    </cfRule>
  </conditionalFormatting>
  <conditionalFormatting sqref="P83">
    <cfRule type="cellIs" dxfId="2948" priority="2949" operator="greaterThan">
      <formula>0</formula>
    </cfRule>
  </conditionalFormatting>
  <conditionalFormatting sqref="P83">
    <cfRule type="cellIs" dxfId="2947" priority="2943" operator="greaterThan">
      <formula>0</formula>
    </cfRule>
  </conditionalFormatting>
  <conditionalFormatting sqref="Q83">
    <cfRule type="cellIs" dxfId="2946" priority="2948" operator="lessThan">
      <formula>0</formula>
    </cfRule>
  </conditionalFormatting>
  <conditionalFormatting sqref="R83">
    <cfRule type="cellIs" dxfId="2945" priority="2946" operator="lessThan">
      <formula>0.8</formula>
    </cfRule>
    <cfRule type="cellIs" dxfId="2944" priority="2947" operator="greaterThan">
      <formula>1</formula>
    </cfRule>
  </conditionalFormatting>
  <conditionalFormatting sqref="R83">
    <cfRule type="cellIs" dxfId="2943" priority="2944" operator="greaterThan">
      <formula>1</formula>
    </cfRule>
    <cfRule type="cellIs" dxfId="2942" priority="2945" operator="lessThan">
      <formula>0.8</formula>
    </cfRule>
  </conditionalFormatting>
  <conditionalFormatting sqref="P83">
    <cfRule type="cellIs" dxfId="2941" priority="2937" operator="greaterThan">
      <formula>0</formula>
    </cfRule>
  </conditionalFormatting>
  <conditionalFormatting sqref="Q83">
    <cfRule type="cellIs" dxfId="2940" priority="2942" operator="lessThan">
      <formula>0</formula>
    </cfRule>
  </conditionalFormatting>
  <conditionalFormatting sqref="R83">
    <cfRule type="cellIs" dxfId="2939" priority="2940" operator="lessThan">
      <formula>0.8</formula>
    </cfRule>
    <cfRule type="cellIs" dxfId="2938" priority="2941" operator="greaterThan">
      <formula>1</formula>
    </cfRule>
  </conditionalFormatting>
  <conditionalFormatting sqref="R83">
    <cfRule type="cellIs" dxfId="2937" priority="2938" operator="greaterThan">
      <formula>1</formula>
    </cfRule>
    <cfRule type="cellIs" dxfId="2936" priority="2939" operator="lessThan">
      <formula>0.8</formula>
    </cfRule>
  </conditionalFormatting>
  <conditionalFormatting sqref="R83">
    <cfRule type="cellIs" dxfId="2935" priority="2934" operator="lessThan">
      <formula>0.8</formula>
    </cfRule>
    <cfRule type="cellIs" dxfId="2934" priority="2935" operator="greaterThan">
      <formula>1</formula>
    </cfRule>
  </conditionalFormatting>
  <conditionalFormatting sqref="R83">
    <cfRule type="cellIs" dxfId="2933" priority="2932" operator="greaterThan">
      <formula>1</formula>
    </cfRule>
    <cfRule type="cellIs" dxfId="2932" priority="2933" operator="lessThan">
      <formula>0.8</formula>
    </cfRule>
  </conditionalFormatting>
  <conditionalFormatting sqref="P83">
    <cfRule type="cellIs" dxfId="2931" priority="2931" operator="greaterThan">
      <formula>0</formula>
    </cfRule>
  </conditionalFormatting>
  <conditionalFormatting sqref="Q83">
    <cfRule type="cellIs" dxfId="2930" priority="2936" operator="lessThan">
      <formula>0</formula>
    </cfRule>
  </conditionalFormatting>
  <conditionalFormatting sqref="P123 P125:P126 P128:P129">
    <cfRule type="cellIs" dxfId="2929" priority="2925" operator="greaterThan">
      <formula>0</formula>
    </cfRule>
  </conditionalFormatting>
  <conditionalFormatting sqref="Q123 Q125:Q126 Q128:Q129">
    <cfRule type="cellIs" dxfId="2928" priority="2930" operator="lessThan">
      <formula>0</formula>
    </cfRule>
  </conditionalFormatting>
  <conditionalFormatting sqref="R123 R125:R126 R128:R129">
    <cfRule type="cellIs" dxfId="2927" priority="2928" operator="lessThan">
      <formula>0.8</formula>
    </cfRule>
    <cfRule type="cellIs" dxfId="2926" priority="2929" operator="greaterThan">
      <formula>1</formula>
    </cfRule>
  </conditionalFormatting>
  <conditionalFormatting sqref="R123 R125:R126 R128:R129">
    <cfRule type="cellIs" dxfId="2925" priority="2926" operator="greaterThan">
      <formula>1</formula>
    </cfRule>
    <cfRule type="cellIs" dxfId="2924" priority="2927" operator="lessThan">
      <formula>0.8</formula>
    </cfRule>
  </conditionalFormatting>
  <conditionalFormatting sqref="Q123 Q125:Q126 Q128:Q129">
    <cfRule type="cellIs" dxfId="2923" priority="2924" operator="lessThan">
      <formula>0</formula>
    </cfRule>
  </conditionalFormatting>
  <conditionalFormatting sqref="R123 R125:R126 R128:R129">
    <cfRule type="cellIs" dxfId="2922" priority="2922" operator="lessThan">
      <formula>0.8</formula>
    </cfRule>
    <cfRule type="cellIs" dxfId="2921" priority="2923" operator="greaterThan">
      <formula>1</formula>
    </cfRule>
  </conditionalFormatting>
  <conditionalFormatting sqref="R123 R125:R126 R128:R129">
    <cfRule type="cellIs" dxfId="2920" priority="2920" operator="greaterThan">
      <formula>1</formula>
    </cfRule>
    <cfRule type="cellIs" dxfId="2919" priority="2921" operator="lessThan">
      <formula>0.8</formula>
    </cfRule>
  </conditionalFormatting>
  <conditionalFormatting sqref="P123 P125:P126 P128:P129">
    <cfRule type="cellIs" dxfId="2918" priority="2919" operator="greaterThan">
      <formula>0</formula>
    </cfRule>
  </conditionalFormatting>
  <conditionalFormatting sqref="Q31">
    <cfRule type="cellIs" dxfId="2917" priority="2918" operator="lessThan">
      <formula>0</formula>
    </cfRule>
  </conditionalFormatting>
  <conditionalFormatting sqref="R31">
    <cfRule type="cellIs" dxfId="2916" priority="2916" operator="lessThan">
      <formula>0.8</formula>
    </cfRule>
    <cfRule type="cellIs" dxfId="2915" priority="2917" operator="greaterThan">
      <formula>1</formula>
    </cfRule>
  </conditionalFormatting>
  <conditionalFormatting sqref="R31">
    <cfRule type="cellIs" dxfId="2914" priority="2914" operator="greaterThan">
      <formula>1</formula>
    </cfRule>
    <cfRule type="cellIs" dxfId="2913" priority="2915" operator="lessThan">
      <formula>0.8</formula>
    </cfRule>
  </conditionalFormatting>
  <conditionalFormatting sqref="P31">
    <cfRule type="cellIs" dxfId="2912" priority="2913" operator="greaterThan">
      <formula>0</formula>
    </cfRule>
  </conditionalFormatting>
  <conditionalFormatting sqref="Q31">
    <cfRule type="cellIs" dxfId="2911" priority="2912" operator="lessThan">
      <formula>0</formula>
    </cfRule>
  </conditionalFormatting>
  <conditionalFormatting sqref="R31">
    <cfRule type="cellIs" dxfId="2910" priority="2910" operator="lessThan">
      <formula>0.8</formula>
    </cfRule>
    <cfRule type="cellIs" dxfId="2909" priority="2911" operator="greaterThan">
      <formula>1</formula>
    </cfRule>
  </conditionalFormatting>
  <conditionalFormatting sqref="R31">
    <cfRule type="cellIs" dxfId="2908" priority="2908" operator="greaterThan">
      <formula>1</formula>
    </cfRule>
    <cfRule type="cellIs" dxfId="2907" priority="2909" operator="lessThan">
      <formula>0.8</formula>
    </cfRule>
  </conditionalFormatting>
  <conditionalFormatting sqref="P31">
    <cfRule type="cellIs" dxfId="2906" priority="2907" operator="greaterThan">
      <formula>0</formula>
    </cfRule>
  </conditionalFormatting>
  <conditionalFormatting sqref="Q31">
    <cfRule type="cellIs" dxfId="2905" priority="2906" operator="lessThan">
      <formula>0</formula>
    </cfRule>
  </conditionalFormatting>
  <conditionalFormatting sqref="R31">
    <cfRule type="cellIs" dxfId="2904" priority="2904" operator="lessThan">
      <formula>0.8</formula>
    </cfRule>
    <cfRule type="cellIs" dxfId="2903" priority="2905" operator="greaterThan">
      <formula>1</formula>
    </cfRule>
  </conditionalFormatting>
  <conditionalFormatting sqref="R31">
    <cfRule type="cellIs" dxfId="2902" priority="2902" operator="greaterThan">
      <formula>1</formula>
    </cfRule>
    <cfRule type="cellIs" dxfId="2901" priority="2903" operator="lessThan">
      <formula>0.8</formula>
    </cfRule>
  </conditionalFormatting>
  <conditionalFormatting sqref="P31">
    <cfRule type="cellIs" dxfId="2900" priority="2901" operator="greaterThan">
      <formula>0</formula>
    </cfRule>
  </conditionalFormatting>
  <conditionalFormatting sqref="Q31">
    <cfRule type="cellIs" dxfId="2899" priority="2900" operator="lessThan">
      <formula>0</formula>
    </cfRule>
  </conditionalFormatting>
  <conditionalFormatting sqref="R31">
    <cfRule type="cellIs" dxfId="2898" priority="2898" operator="lessThan">
      <formula>0.8</formula>
    </cfRule>
    <cfRule type="cellIs" dxfId="2897" priority="2899" operator="greaterThan">
      <formula>1</formula>
    </cfRule>
  </conditionalFormatting>
  <conditionalFormatting sqref="R31">
    <cfRule type="cellIs" dxfId="2896" priority="2896" operator="greaterThan">
      <formula>1</formula>
    </cfRule>
    <cfRule type="cellIs" dxfId="2895" priority="2897" operator="lessThan">
      <formula>0.8</formula>
    </cfRule>
  </conditionalFormatting>
  <conditionalFormatting sqref="P31">
    <cfRule type="cellIs" dxfId="2894" priority="2895" operator="greaterThan">
      <formula>0</formula>
    </cfRule>
  </conditionalFormatting>
  <conditionalFormatting sqref="P31">
    <cfRule type="cellIs" dxfId="2893" priority="2889" operator="greaterThan">
      <formula>0</formula>
    </cfRule>
  </conditionalFormatting>
  <conditionalFormatting sqref="Q31">
    <cfRule type="cellIs" dxfId="2892" priority="2894" operator="lessThan">
      <formula>0</formula>
    </cfRule>
  </conditionalFormatting>
  <conditionalFormatting sqref="R31">
    <cfRule type="cellIs" dxfId="2891" priority="2892" operator="lessThan">
      <formula>0.8</formula>
    </cfRule>
    <cfRule type="cellIs" dxfId="2890" priority="2893" operator="greaterThan">
      <formula>1</formula>
    </cfRule>
  </conditionalFormatting>
  <conditionalFormatting sqref="R31">
    <cfRule type="cellIs" dxfId="2889" priority="2890" operator="greaterThan">
      <formula>1</formula>
    </cfRule>
    <cfRule type="cellIs" dxfId="2888" priority="2891" operator="lessThan">
      <formula>0.8</formula>
    </cfRule>
  </conditionalFormatting>
  <conditionalFormatting sqref="P31">
    <cfRule type="cellIs" dxfId="2887" priority="2883" operator="greaterThan">
      <formula>0</formula>
    </cfRule>
  </conditionalFormatting>
  <conditionalFormatting sqref="Q31">
    <cfRule type="cellIs" dxfId="2886" priority="2888" operator="lessThan">
      <formula>0</formula>
    </cfRule>
  </conditionalFormatting>
  <conditionalFormatting sqref="R31">
    <cfRule type="cellIs" dxfId="2885" priority="2886" operator="lessThan">
      <formula>0.8</formula>
    </cfRule>
    <cfRule type="cellIs" dxfId="2884" priority="2887" operator="greaterThan">
      <formula>1</formula>
    </cfRule>
  </conditionalFormatting>
  <conditionalFormatting sqref="R31">
    <cfRule type="cellIs" dxfId="2883" priority="2884" operator="greaterThan">
      <formula>1</formula>
    </cfRule>
    <cfRule type="cellIs" dxfId="2882" priority="2885" operator="lessThan">
      <formula>0.8</formula>
    </cfRule>
  </conditionalFormatting>
  <conditionalFormatting sqref="R31">
    <cfRule type="cellIs" dxfId="2881" priority="2880" operator="lessThan">
      <formula>0.8</formula>
    </cfRule>
    <cfRule type="cellIs" dxfId="2880" priority="2881" operator="greaterThan">
      <formula>1</formula>
    </cfRule>
  </conditionalFormatting>
  <conditionalFormatting sqref="R31">
    <cfRule type="cellIs" dxfId="2879" priority="2878" operator="greaterThan">
      <formula>1</formula>
    </cfRule>
    <cfRule type="cellIs" dxfId="2878" priority="2879" operator="lessThan">
      <formula>0.8</formula>
    </cfRule>
  </conditionalFormatting>
  <conditionalFormatting sqref="P31">
    <cfRule type="cellIs" dxfId="2877" priority="2877" operator="greaterThan">
      <formula>0</formula>
    </cfRule>
  </conditionalFormatting>
  <conditionalFormatting sqref="Q31">
    <cfRule type="cellIs" dxfId="2876" priority="2882" operator="lessThan">
      <formula>0</formula>
    </cfRule>
  </conditionalFormatting>
  <conditionalFormatting sqref="Q31">
    <cfRule type="cellIs" dxfId="2875" priority="2876" operator="lessThan">
      <formula>0</formula>
    </cfRule>
  </conditionalFormatting>
  <conditionalFormatting sqref="R31">
    <cfRule type="cellIs" dxfId="2874" priority="2874" operator="lessThan">
      <formula>0.8</formula>
    </cfRule>
    <cfRule type="cellIs" dxfId="2873" priority="2875" operator="greaterThan">
      <formula>1</formula>
    </cfRule>
  </conditionalFormatting>
  <conditionalFormatting sqref="R31">
    <cfRule type="cellIs" dxfId="2872" priority="2872" operator="greaterThan">
      <formula>1</formula>
    </cfRule>
    <cfRule type="cellIs" dxfId="2871" priority="2873" operator="lessThan">
      <formula>0.8</formula>
    </cfRule>
  </conditionalFormatting>
  <conditionalFormatting sqref="P31">
    <cfRule type="cellIs" dxfId="2870" priority="2871" operator="greaterThan">
      <formula>0</formula>
    </cfRule>
  </conditionalFormatting>
  <conditionalFormatting sqref="P31">
    <cfRule type="cellIs" dxfId="2869" priority="2865" operator="greaterThan">
      <formula>0</formula>
    </cfRule>
  </conditionalFormatting>
  <conditionalFormatting sqref="Q31">
    <cfRule type="cellIs" dxfId="2868" priority="2870" operator="lessThan">
      <formula>0</formula>
    </cfRule>
  </conditionalFormatting>
  <conditionalFormatting sqref="R31">
    <cfRule type="cellIs" dxfId="2867" priority="2868" operator="lessThan">
      <formula>0.8</formula>
    </cfRule>
    <cfRule type="cellIs" dxfId="2866" priority="2869" operator="greaterThan">
      <formula>1</formula>
    </cfRule>
  </conditionalFormatting>
  <conditionalFormatting sqref="R31">
    <cfRule type="cellIs" dxfId="2865" priority="2866" operator="greaterThan">
      <formula>1</formula>
    </cfRule>
    <cfRule type="cellIs" dxfId="2864" priority="2867" operator="lessThan">
      <formula>0.8</formula>
    </cfRule>
  </conditionalFormatting>
  <conditionalFormatting sqref="P31">
    <cfRule type="cellIs" dxfId="2863" priority="2859" operator="greaterThan">
      <formula>0</formula>
    </cfRule>
  </conditionalFormatting>
  <conditionalFormatting sqref="Q31">
    <cfRule type="cellIs" dxfId="2862" priority="2864" operator="lessThan">
      <formula>0</formula>
    </cfRule>
  </conditionalFormatting>
  <conditionalFormatting sqref="R31">
    <cfRule type="cellIs" dxfId="2861" priority="2862" operator="lessThan">
      <formula>0.8</formula>
    </cfRule>
    <cfRule type="cellIs" dxfId="2860" priority="2863" operator="greaterThan">
      <formula>1</formula>
    </cfRule>
  </conditionalFormatting>
  <conditionalFormatting sqref="R31">
    <cfRule type="cellIs" dxfId="2859" priority="2860" operator="greaterThan">
      <formula>1</formula>
    </cfRule>
    <cfRule type="cellIs" dxfId="2858" priority="2861" operator="lessThan">
      <formula>0.8</formula>
    </cfRule>
  </conditionalFormatting>
  <conditionalFormatting sqref="R31">
    <cfRule type="cellIs" dxfId="2857" priority="2856" operator="lessThan">
      <formula>0.8</formula>
    </cfRule>
    <cfRule type="cellIs" dxfId="2856" priority="2857" operator="greaterThan">
      <formula>1</formula>
    </cfRule>
  </conditionalFormatting>
  <conditionalFormatting sqref="R31">
    <cfRule type="cellIs" dxfId="2855" priority="2854" operator="greaterThan">
      <formula>1</formula>
    </cfRule>
    <cfRule type="cellIs" dxfId="2854" priority="2855" operator="lessThan">
      <formula>0.8</formula>
    </cfRule>
  </conditionalFormatting>
  <conditionalFormatting sqref="P31">
    <cfRule type="cellIs" dxfId="2853" priority="2853" operator="greaterThan">
      <formula>0</formula>
    </cfRule>
  </conditionalFormatting>
  <conditionalFormatting sqref="Q31">
    <cfRule type="cellIs" dxfId="2852" priority="2858" operator="lessThan">
      <formula>0</formula>
    </cfRule>
  </conditionalFormatting>
  <conditionalFormatting sqref="P31">
    <cfRule type="cellIs" dxfId="2851" priority="2847" operator="greaterThan">
      <formula>0</formula>
    </cfRule>
  </conditionalFormatting>
  <conditionalFormatting sqref="Q31">
    <cfRule type="cellIs" dxfId="2850" priority="2852" operator="lessThan">
      <formula>0</formula>
    </cfRule>
  </conditionalFormatting>
  <conditionalFormatting sqref="R31">
    <cfRule type="cellIs" dxfId="2849" priority="2850" operator="lessThan">
      <formula>0.8</formula>
    </cfRule>
    <cfRule type="cellIs" dxfId="2848" priority="2851" operator="greaterThan">
      <formula>1</formula>
    </cfRule>
  </conditionalFormatting>
  <conditionalFormatting sqref="R31">
    <cfRule type="cellIs" dxfId="2847" priority="2848" operator="greaterThan">
      <formula>1</formula>
    </cfRule>
    <cfRule type="cellIs" dxfId="2846" priority="2849" operator="lessThan">
      <formula>0.8</formula>
    </cfRule>
  </conditionalFormatting>
  <conditionalFormatting sqref="R31">
    <cfRule type="cellIs" dxfId="2845" priority="2844" operator="lessThan">
      <formula>0.8</formula>
    </cfRule>
    <cfRule type="cellIs" dxfId="2844" priority="2845" operator="greaterThan">
      <formula>1</formula>
    </cfRule>
  </conditionalFormatting>
  <conditionalFormatting sqref="R31">
    <cfRule type="cellIs" dxfId="2843" priority="2842" operator="greaterThan">
      <formula>1</formula>
    </cfRule>
    <cfRule type="cellIs" dxfId="2842" priority="2843" operator="lessThan">
      <formula>0.8</formula>
    </cfRule>
  </conditionalFormatting>
  <conditionalFormatting sqref="P31">
    <cfRule type="cellIs" dxfId="2841" priority="2841" operator="greaterThan">
      <formula>0</formula>
    </cfRule>
  </conditionalFormatting>
  <conditionalFormatting sqref="Q31">
    <cfRule type="cellIs" dxfId="2840" priority="2846" operator="lessThan">
      <formula>0</formula>
    </cfRule>
  </conditionalFormatting>
  <conditionalFormatting sqref="R31">
    <cfRule type="cellIs" dxfId="2839" priority="2838" operator="lessThan">
      <formula>0.8</formula>
    </cfRule>
    <cfRule type="cellIs" dxfId="2838" priority="2839" operator="greaterThan">
      <formula>1</formula>
    </cfRule>
  </conditionalFormatting>
  <conditionalFormatting sqref="R31">
    <cfRule type="cellIs" dxfId="2837" priority="2836" operator="greaterThan">
      <formula>1</formula>
    </cfRule>
    <cfRule type="cellIs" dxfId="2836" priority="2837" operator="lessThan">
      <formula>0.8</formula>
    </cfRule>
  </conditionalFormatting>
  <conditionalFormatting sqref="P31">
    <cfRule type="cellIs" dxfId="2835" priority="2835" operator="greaterThan">
      <formula>0</formula>
    </cfRule>
  </conditionalFormatting>
  <conditionalFormatting sqref="Q31">
    <cfRule type="cellIs" dxfId="2834" priority="2840" operator="lessThan">
      <formula>0</formula>
    </cfRule>
  </conditionalFormatting>
  <conditionalFormatting sqref="Q31">
    <cfRule type="cellIs" dxfId="2833" priority="2834" operator="lessThan">
      <formula>0</formula>
    </cfRule>
  </conditionalFormatting>
  <conditionalFormatting sqref="R31">
    <cfRule type="cellIs" dxfId="2832" priority="2832" operator="lessThan">
      <formula>0.8</formula>
    </cfRule>
    <cfRule type="cellIs" dxfId="2831" priority="2833" operator="greaterThan">
      <formula>1</formula>
    </cfRule>
  </conditionalFormatting>
  <conditionalFormatting sqref="R31">
    <cfRule type="cellIs" dxfId="2830" priority="2830" operator="greaterThan">
      <formula>1</formula>
    </cfRule>
    <cfRule type="cellIs" dxfId="2829" priority="2831" operator="lessThan">
      <formula>0.8</formula>
    </cfRule>
  </conditionalFormatting>
  <conditionalFormatting sqref="P31">
    <cfRule type="cellIs" dxfId="2828" priority="2829" operator="greaterThan">
      <formula>0</formula>
    </cfRule>
  </conditionalFormatting>
  <conditionalFormatting sqref="Q31">
    <cfRule type="cellIs" dxfId="2827" priority="2823" operator="lessThan">
      <formula>0</formula>
    </cfRule>
  </conditionalFormatting>
  <conditionalFormatting sqref="R31">
    <cfRule type="cellIs" dxfId="2826" priority="2827" operator="lessThan">
      <formula>0.8</formula>
    </cfRule>
    <cfRule type="cellIs" dxfId="2825" priority="2828" operator="greaterThan">
      <formula>1</formula>
    </cfRule>
  </conditionalFormatting>
  <conditionalFormatting sqref="R31">
    <cfRule type="cellIs" dxfId="2824" priority="2825" operator="greaterThan">
      <formula>1</formula>
    </cfRule>
    <cfRule type="cellIs" dxfId="2823" priority="2826" operator="lessThan">
      <formula>0.8</formula>
    </cfRule>
  </conditionalFormatting>
  <conditionalFormatting sqref="P31">
    <cfRule type="cellIs" dxfId="2822" priority="2824" operator="greaterThan">
      <formula>0</formula>
    </cfRule>
  </conditionalFormatting>
  <conditionalFormatting sqref="Q31">
    <cfRule type="cellIs" dxfId="2821" priority="2822" operator="lessThan">
      <formula>0</formula>
    </cfRule>
  </conditionalFormatting>
  <conditionalFormatting sqref="R31">
    <cfRule type="cellIs" dxfId="2820" priority="2820" operator="lessThan">
      <formula>0.8</formula>
    </cfRule>
    <cfRule type="cellIs" dxfId="2819" priority="2821" operator="greaterThan">
      <formula>1</formula>
    </cfRule>
  </conditionalFormatting>
  <conditionalFormatting sqref="R31">
    <cfRule type="cellIs" dxfId="2818" priority="2818" operator="greaterThan">
      <formula>1</formula>
    </cfRule>
    <cfRule type="cellIs" dxfId="2817" priority="2819" operator="lessThan">
      <formula>0.8</formula>
    </cfRule>
  </conditionalFormatting>
  <conditionalFormatting sqref="P31">
    <cfRule type="cellIs" dxfId="2816" priority="2817" operator="greaterThan">
      <formula>0</formula>
    </cfRule>
  </conditionalFormatting>
  <conditionalFormatting sqref="Q31">
    <cfRule type="cellIs" dxfId="2815" priority="2816" operator="lessThan">
      <formula>0</formula>
    </cfRule>
  </conditionalFormatting>
  <conditionalFormatting sqref="R31">
    <cfRule type="cellIs" dxfId="2814" priority="2814" operator="lessThan">
      <formula>0.8</formula>
    </cfRule>
    <cfRule type="cellIs" dxfId="2813" priority="2815" operator="greaterThan">
      <formula>1</formula>
    </cfRule>
  </conditionalFormatting>
  <conditionalFormatting sqref="R31">
    <cfRule type="cellIs" dxfId="2812" priority="2812" operator="greaterThan">
      <formula>1</formula>
    </cfRule>
    <cfRule type="cellIs" dxfId="2811" priority="2813" operator="lessThan">
      <formula>0.8</formula>
    </cfRule>
  </conditionalFormatting>
  <conditionalFormatting sqref="P31">
    <cfRule type="cellIs" dxfId="2810" priority="2811" operator="greaterThan">
      <formula>0</formula>
    </cfRule>
  </conditionalFormatting>
  <conditionalFormatting sqref="Q31">
    <cfRule type="cellIs" dxfId="2809" priority="2810" operator="lessThan">
      <formula>0</formula>
    </cfRule>
  </conditionalFormatting>
  <conditionalFormatting sqref="R31">
    <cfRule type="cellIs" dxfId="2808" priority="2808" operator="lessThan">
      <formula>0.8</formula>
    </cfRule>
    <cfRule type="cellIs" dxfId="2807" priority="2809" operator="greaterThan">
      <formula>1</formula>
    </cfRule>
  </conditionalFormatting>
  <conditionalFormatting sqref="R31">
    <cfRule type="cellIs" dxfId="2806" priority="2806" operator="greaterThan">
      <formula>1</formula>
    </cfRule>
    <cfRule type="cellIs" dxfId="2805" priority="2807" operator="lessThan">
      <formula>0.8</formula>
    </cfRule>
  </conditionalFormatting>
  <conditionalFormatting sqref="P31">
    <cfRule type="cellIs" dxfId="2804" priority="2805" operator="greaterThan">
      <formula>0</formula>
    </cfRule>
  </conditionalFormatting>
  <conditionalFormatting sqref="Q31">
    <cfRule type="cellIs" dxfId="2803" priority="2804" operator="lessThan">
      <formula>0</formula>
    </cfRule>
  </conditionalFormatting>
  <conditionalFormatting sqref="R31">
    <cfRule type="cellIs" dxfId="2802" priority="2802" operator="lessThan">
      <formula>0.8</formula>
    </cfRule>
    <cfRule type="cellIs" dxfId="2801" priority="2803" operator="greaterThan">
      <formula>1</formula>
    </cfRule>
  </conditionalFormatting>
  <conditionalFormatting sqref="R31">
    <cfRule type="cellIs" dxfId="2800" priority="2800" operator="greaterThan">
      <formula>1</formula>
    </cfRule>
    <cfRule type="cellIs" dxfId="2799" priority="2801" operator="lessThan">
      <formula>0.8</formula>
    </cfRule>
  </conditionalFormatting>
  <conditionalFormatting sqref="P31">
    <cfRule type="cellIs" dxfId="2798" priority="2799" operator="greaterThan">
      <formula>0</formula>
    </cfRule>
  </conditionalFormatting>
  <conditionalFormatting sqref="Q31">
    <cfRule type="cellIs" dxfId="2797" priority="2798" operator="lessThan">
      <formula>0</formula>
    </cfRule>
  </conditionalFormatting>
  <conditionalFormatting sqref="R31">
    <cfRule type="cellIs" dxfId="2796" priority="2796" operator="lessThan">
      <formula>0.8</formula>
    </cfRule>
    <cfRule type="cellIs" dxfId="2795" priority="2797" operator="greaterThan">
      <formula>1</formula>
    </cfRule>
  </conditionalFormatting>
  <conditionalFormatting sqref="R31">
    <cfRule type="cellIs" dxfId="2794" priority="2794" operator="greaterThan">
      <formula>1</formula>
    </cfRule>
    <cfRule type="cellIs" dxfId="2793" priority="2795" operator="lessThan">
      <formula>0.8</formula>
    </cfRule>
  </conditionalFormatting>
  <conditionalFormatting sqref="P31">
    <cfRule type="cellIs" dxfId="2792" priority="2793" operator="greaterThan">
      <formula>0</formula>
    </cfRule>
  </conditionalFormatting>
  <conditionalFormatting sqref="P31">
    <cfRule type="cellIs" dxfId="2791" priority="2787" operator="greaterThan">
      <formula>0</formula>
    </cfRule>
  </conditionalFormatting>
  <conditionalFormatting sqref="Q31">
    <cfRule type="cellIs" dxfId="2790" priority="2792" operator="lessThan">
      <formula>0</formula>
    </cfRule>
  </conditionalFormatting>
  <conditionalFormatting sqref="R31">
    <cfRule type="cellIs" dxfId="2789" priority="2790" operator="lessThan">
      <formula>0.8</formula>
    </cfRule>
    <cfRule type="cellIs" dxfId="2788" priority="2791" operator="greaterThan">
      <formula>1</formula>
    </cfRule>
  </conditionalFormatting>
  <conditionalFormatting sqref="R31">
    <cfRule type="cellIs" dxfId="2787" priority="2788" operator="greaterThan">
      <formula>1</formula>
    </cfRule>
    <cfRule type="cellIs" dxfId="2786" priority="2789" operator="lessThan">
      <formula>0.8</formula>
    </cfRule>
  </conditionalFormatting>
  <conditionalFormatting sqref="P31">
    <cfRule type="cellIs" dxfId="2785" priority="2781" operator="greaterThan">
      <formula>0</formula>
    </cfRule>
  </conditionalFormatting>
  <conditionalFormatting sqref="Q31">
    <cfRule type="cellIs" dxfId="2784" priority="2786" operator="lessThan">
      <formula>0</formula>
    </cfRule>
  </conditionalFormatting>
  <conditionalFormatting sqref="R31">
    <cfRule type="cellIs" dxfId="2783" priority="2784" operator="lessThan">
      <formula>0.8</formula>
    </cfRule>
    <cfRule type="cellIs" dxfId="2782" priority="2785" operator="greaterThan">
      <formula>1</formula>
    </cfRule>
  </conditionalFormatting>
  <conditionalFormatting sqref="R31">
    <cfRule type="cellIs" dxfId="2781" priority="2782" operator="greaterThan">
      <formula>1</formula>
    </cfRule>
    <cfRule type="cellIs" dxfId="2780" priority="2783" operator="lessThan">
      <formula>0.8</formula>
    </cfRule>
  </conditionalFormatting>
  <conditionalFormatting sqref="R31">
    <cfRule type="cellIs" dxfId="2779" priority="2778" operator="lessThan">
      <formula>0.8</formula>
    </cfRule>
    <cfRule type="cellIs" dxfId="2778" priority="2779" operator="greaterThan">
      <formula>1</formula>
    </cfRule>
  </conditionalFormatting>
  <conditionalFormatting sqref="R31">
    <cfRule type="cellIs" dxfId="2777" priority="2776" operator="greaterThan">
      <formula>1</formula>
    </cfRule>
    <cfRule type="cellIs" dxfId="2776" priority="2777" operator="lessThan">
      <formula>0.8</formula>
    </cfRule>
  </conditionalFormatting>
  <conditionalFormatting sqref="P31">
    <cfRule type="cellIs" dxfId="2775" priority="2775" operator="greaterThan">
      <formula>0</formula>
    </cfRule>
  </conditionalFormatting>
  <conditionalFormatting sqref="Q31">
    <cfRule type="cellIs" dxfId="2774" priority="2780" operator="lessThan">
      <formula>0</formula>
    </cfRule>
  </conditionalFormatting>
  <conditionalFormatting sqref="Q31">
    <cfRule type="cellIs" dxfId="2773" priority="2774" operator="lessThan">
      <formula>0</formula>
    </cfRule>
  </conditionalFormatting>
  <conditionalFormatting sqref="R31">
    <cfRule type="cellIs" dxfId="2772" priority="2772" operator="lessThan">
      <formula>0.8</formula>
    </cfRule>
    <cfRule type="cellIs" dxfId="2771" priority="2773" operator="greaterThan">
      <formula>1</formula>
    </cfRule>
  </conditionalFormatting>
  <conditionalFormatting sqref="R31">
    <cfRule type="cellIs" dxfId="2770" priority="2770" operator="greaterThan">
      <formula>1</formula>
    </cfRule>
    <cfRule type="cellIs" dxfId="2769" priority="2771" operator="lessThan">
      <formula>0.8</formula>
    </cfRule>
  </conditionalFormatting>
  <conditionalFormatting sqref="P31">
    <cfRule type="cellIs" dxfId="2768" priority="2769" operator="greaterThan">
      <formula>0</formula>
    </cfRule>
  </conditionalFormatting>
  <conditionalFormatting sqref="Q31">
    <cfRule type="cellIs" dxfId="2767" priority="2768" operator="lessThan">
      <formula>0</formula>
    </cfRule>
  </conditionalFormatting>
  <conditionalFormatting sqref="R31">
    <cfRule type="cellIs" dxfId="2766" priority="2766" operator="lessThan">
      <formula>0.8</formula>
    </cfRule>
    <cfRule type="cellIs" dxfId="2765" priority="2767" operator="greaterThan">
      <formula>1</formula>
    </cfRule>
  </conditionalFormatting>
  <conditionalFormatting sqref="R31">
    <cfRule type="cellIs" dxfId="2764" priority="2764" operator="greaterThan">
      <formula>1</formula>
    </cfRule>
    <cfRule type="cellIs" dxfId="2763" priority="2765" operator="lessThan">
      <formula>0.8</formula>
    </cfRule>
  </conditionalFormatting>
  <conditionalFormatting sqref="P31">
    <cfRule type="cellIs" dxfId="2762" priority="2763" operator="greaterThan">
      <formula>0</formula>
    </cfRule>
  </conditionalFormatting>
  <conditionalFormatting sqref="Q31">
    <cfRule type="cellIs" dxfId="2761" priority="2762" operator="lessThan">
      <formula>0</formula>
    </cfRule>
  </conditionalFormatting>
  <conditionalFormatting sqref="R31">
    <cfRule type="cellIs" dxfId="2760" priority="2760" operator="lessThan">
      <formula>0.8</formula>
    </cfRule>
    <cfRule type="cellIs" dxfId="2759" priority="2761" operator="greaterThan">
      <formula>1</formula>
    </cfRule>
  </conditionalFormatting>
  <conditionalFormatting sqref="R31">
    <cfRule type="cellIs" dxfId="2758" priority="2758" operator="greaterThan">
      <formula>1</formula>
    </cfRule>
    <cfRule type="cellIs" dxfId="2757" priority="2759" operator="lessThan">
      <formula>0.8</formula>
    </cfRule>
  </conditionalFormatting>
  <conditionalFormatting sqref="P31">
    <cfRule type="cellIs" dxfId="2756" priority="2757" operator="greaterThan">
      <formula>0</formula>
    </cfRule>
  </conditionalFormatting>
  <conditionalFormatting sqref="Q31">
    <cfRule type="cellIs" dxfId="2755" priority="2756" operator="lessThan">
      <formula>0</formula>
    </cfRule>
  </conditionalFormatting>
  <conditionalFormatting sqref="R31">
    <cfRule type="cellIs" dxfId="2754" priority="2754" operator="lessThan">
      <formula>0.8</formula>
    </cfRule>
    <cfRule type="cellIs" dxfId="2753" priority="2755" operator="greaterThan">
      <formula>1</formula>
    </cfRule>
  </conditionalFormatting>
  <conditionalFormatting sqref="R31">
    <cfRule type="cellIs" dxfId="2752" priority="2752" operator="greaterThan">
      <formula>1</formula>
    </cfRule>
    <cfRule type="cellIs" dxfId="2751" priority="2753" operator="lessThan">
      <formula>0.8</formula>
    </cfRule>
  </conditionalFormatting>
  <conditionalFormatting sqref="P31">
    <cfRule type="cellIs" dxfId="2750" priority="2751" operator="greaterThan">
      <formula>0</formula>
    </cfRule>
  </conditionalFormatting>
  <conditionalFormatting sqref="P31">
    <cfRule type="cellIs" dxfId="2749" priority="2745" operator="greaterThan">
      <formula>0</formula>
    </cfRule>
  </conditionalFormatting>
  <conditionalFormatting sqref="Q31">
    <cfRule type="cellIs" dxfId="2748" priority="2750" operator="lessThan">
      <formula>0</formula>
    </cfRule>
  </conditionalFormatting>
  <conditionalFormatting sqref="R31">
    <cfRule type="cellIs" dxfId="2747" priority="2748" operator="lessThan">
      <formula>0.8</formula>
    </cfRule>
    <cfRule type="cellIs" dxfId="2746" priority="2749" operator="greaterThan">
      <formula>1</formula>
    </cfRule>
  </conditionalFormatting>
  <conditionalFormatting sqref="R31">
    <cfRule type="cellIs" dxfId="2745" priority="2746" operator="greaterThan">
      <formula>1</formula>
    </cfRule>
    <cfRule type="cellIs" dxfId="2744" priority="2747" operator="lessThan">
      <formula>0.8</formula>
    </cfRule>
  </conditionalFormatting>
  <conditionalFormatting sqref="P31">
    <cfRule type="cellIs" dxfId="2743" priority="2739" operator="greaterThan">
      <formula>0</formula>
    </cfRule>
  </conditionalFormatting>
  <conditionalFormatting sqref="Q31">
    <cfRule type="cellIs" dxfId="2742" priority="2744" operator="lessThan">
      <formula>0</formula>
    </cfRule>
  </conditionalFormatting>
  <conditionalFormatting sqref="R31">
    <cfRule type="cellIs" dxfId="2741" priority="2742" operator="lessThan">
      <formula>0.8</formula>
    </cfRule>
    <cfRule type="cellIs" dxfId="2740" priority="2743" operator="greaterThan">
      <formula>1</formula>
    </cfRule>
  </conditionalFormatting>
  <conditionalFormatting sqref="R31">
    <cfRule type="cellIs" dxfId="2739" priority="2740" operator="greaterThan">
      <formula>1</formula>
    </cfRule>
    <cfRule type="cellIs" dxfId="2738" priority="2741" operator="lessThan">
      <formula>0.8</formula>
    </cfRule>
  </conditionalFormatting>
  <conditionalFormatting sqref="R31">
    <cfRule type="cellIs" dxfId="2737" priority="2736" operator="lessThan">
      <formula>0.8</formula>
    </cfRule>
    <cfRule type="cellIs" dxfId="2736" priority="2737" operator="greaterThan">
      <formula>1</formula>
    </cfRule>
  </conditionalFormatting>
  <conditionalFormatting sqref="R31">
    <cfRule type="cellIs" dxfId="2735" priority="2734" operator="greaterThan">
      <formula>1</formula>
    </cfRule>
    <cfRule type="cellIs" dxfId="2734" priority="2735" operator="lessThan">
      <formula>0.8</formula>
    </cfRule>
  </conditionalFormatting>
  <conditionalFormatting sqref="P31">
    <cfRule type="cellIs" dxfId="2733" priority="2733" operator="greaterThan">
      <formula>0</formula>
    </cfRule>
  </conditionalFormatting>
  <conditionalFormatting sqref="Q31">
    <cfRule type="cellIs" dxfId="2732" priority="2738" operator="lessThan">
      <formula>0</formula>
    </cfRule>
  </conditionalFormatting>
  <conditionalFormatting sqref="Q31">
    <cfRule type="cellIs" dxfId="2731" priority="2732" operator="lessThan">
      <formula>0</formula>
    </cfRule>
  </conditionalFormatting>
  <conditionalFormatting sqref="R31">
    <cfRule type="cellIs" dxfId="2730" priority="2730" operator="lessThan">
      <formula>0.8</formula>
    </cfRule>
    <cfRule type="cellIs" dxfId="2729" priority="2731" operator="greaterThan">
      <formula>1</formula>
    </cfRule>
  </conditionalFormatting>
  <conditionalFormatting sqref="R31">
    <cfRule type="cellIs" dxfId="2728" priority="2728" operator="greaterThan">
      <formula>1</formula>
    </cfRule>
    <cfRule type="cellIs" dxfId="2727" priority="2729" operator="lessThan">
      <formula>0.8</formula>
    </cfRule>
  </conditionalFormatting>
  <conditionalFormatting sqref="P31">
    <cfRule type="cellIs" dxfId="2726" priority="2727" operator="greaterThan">
      <formula>0</formula>
    </cfRule>
  </conditionalFormatting>
  <conditionalFormatting sqref="P31">
    <cfRule type="cellIs" dxfId="2725" priority="2721" operator="greaterThan">
      <formula>0</formula>
    </cfRule>
  </conditionalFormatting>
  <conditionalFormatting sqref="Q31">
    <cfRule type="cellIs" dxfId="2724" priority="2726" operator="lessThan">
      <formula>0</formula>
    </cfRule>
  </conditionalFormatting>
  <conditionalFormatting sqref="R31">
    <cfRule type="cellIs" dxfId="2723" priority="2724" operator="lessThan">
      <formula>0.8</formula>
    </cfRule>
    <cfRule type="cellIs" dxfId="2722" priority="2725" operator="greaterThan">
      <formula>1</formula>
    </cfRule>
  </conditionalFormatting>
  <conditionalFormatting sqref="R31">
    <cfRule type="cellIs" dxfId="2721" priority="2722" operator="greaterThan">
      <formula>1</formula>
    </cfRule>
    <cfRule type="cellIs" dxfId="2720" priority="2723" operator="lessThan">
      <formula>0.8</formula>
    </cfRule>
  </conditionalFormatting>
  <conditionalFormatting sqref="P31">
    <cfRule type="cellIs" dxfId="2719" priority="2715" operator="greaterThan">
      <formula>0</formula>
    </cfRule>
  </conditionalFormatting>
  <conditionalFormatting sqref="Q31">
    <cfRule type="cellIs" dxfId="2718" priority="2720" operator="lessThan">
      <formula>0</formula>
    </cfRule>
  </conditionalFormatting>
  <conditionalFormatting sqref="R31">
    <cfRule type="cellIs" dxfId="2717" priority="2718" operator="lessThan">
      <formula>0.8</formula>
    </cfRule>
    <cfRule type="cellIs" dxfId="2716" priority="2719" operator="greaterThan">
      <formula>1</formula>
    </cfRule>
  </conditionalFormatting>
  <conditionalFormatting sqref="R31">
    <cfRule type="cellIs" dxfId="2715" priority="2716" operator="greaterThan">
      <formula>1</formula>
    </cfRule>
    <cfRule type="cellIs" dxfId="2714" priority="2717" operator="lessThan">
      <formula>0.8</formula>
    </cfRule>
  </conditionalFormatting>
  <conditionalFormatting sqref="R31">
    <cfRule type="cellIs" dxfId="2713" priority="2712" operator="lessThan">
      <formula>0.8</formula>
    </cfRule>
    <cfRule type="cellIs" dxfId="2712" priority="2713" operator="greaterThan">
      <formula>1</formula>
    </cfRule>
  </conditionalFormatting>
  <conditionalFormatting sqref="R31">
    <cfRule type="cellIs" dxfId="2711" priority="2710" operator="greaterThan">
      <formula>1</formula>
    </cfRule>
    <cfRule type="cellIs" dxfId="2710" priority="2711" operator="lessThan">
      <formula>0.8</formula>
    </cfRule>
  </conditionalFormatting>
  <conditionalFormatting sqref="P31">
    <cfRule type="cellIs" dxfId="2709" priority="2709" operator="greaterThan">
      <formula>0</formula>
    </cfRule>
  </conditionalFormatting>
  <conditionalFormatting sqref="Q31">
    <cfRule type="cellIs" dxfId="2708" priority="2714" operator="lessThan">
      <formula>0</formula>
    </cfRule>
  </conditionalFormatting>
  <conditionalFormatting sqref="P31">
    <cfRule type="cellIs" dxfId="2707" priority="2703" operator="greaterThan">
      <formula>0</formula>
    </cfRule>
  </conditionalFormatting>
  <conditionalFormatting sqref="Q31">
    <cfRule type="cellIs" dxfId="2706" priority="2708" operator="lessThan">
      <formula>0</formula>
    </cfRule>
  </conditionalFormatting>
  <conditionalFormatting sqref="R31">
    <cfRule type="cellIs" dxfId="2705" priority="2706" operator="lessThan">
      <formula>0.8</formula>
    </cfRule>
    <cfRule type="cellIs" dxfId="2704" priority="2707" operator="greaterThan">
      <formula>1</formula>
    </cfRule>
  </conditionalFormatting>
  <conditionalFormatting sqref="R31">
    <cfRule type="cellIs" dxfId="2703" priority="2704" operator="greaterThan">
      <formula>1</formula>
    </cfRule>
    <cfRule type="cellIs" dxfId="2702" priority="2705" operator="lessThan">
      <formula>0.8</formula>
    </cfRule>
  </conditionalFormatting>
  <conditionalFormatting sqref="R31">
    <cfRule type="cellIs" dxfId="2701" priority="2700" operator="lessThan">
      <formula>0.8</formula>
    </cfRule>
    <cfRule type="cellIs" dxfId="2700" priority="2701" operator="greaterThan">
      <formula>1</formula>
    </cfRule>
  </conditionalFormatting>
  <conditionalFormatting sqref="R31">
    <cfRule type="cellIs" dxfId="2699" priority="2698" operator="greaterThan">
      <formula>1</formula>
    </cfRule>
    <cfRule type="cellIs" dxfId="2698" priority="2699" operator="lessThan">
      <formula>0.8</formula>
    </cfRule>
  </conditionalFormatting>
  <conditionalFormatting sqref="P31">
    <cfRule type="cellIs" dxfId="2697" priority="2697" operator="greaterThan">
      <formula>0</formula>
    </cfRule>
  </conditionalFormatting>
  <conditionalFormatting sqref="Q31">
    <cfRule type="cellIs" dxfId="2696" priority="2702" operator="lessThan">
      <formula>0</formula>
    </cfRule>
  </conditionalFormatting>
  <conditionalFormatting sqref="R31">
    <cfRule type="cellIs" dxfId="2695" priority="2694" operator="lessThan">
      <formula>0.8</formula>
    </cfRule>
    <cfRule type="cellIs" dxfId="2694" priority="2695" operator="greaterThan">
      <formula>1</formula>
    </cfRule>
  </conditionalFormatting>
  <conditionalFormatting sqref="R31">
    <cfRule type="cellIs" dxfId="2693" priority="2692" operator="greaterThan">
      <formula>1</formula>
    </cfRule>
    <cfRule type="cellIs" dxfId="2692" priority="2693" operator="lessThan">
      <formula>0.8</formula>
    </cfRule>
  </conditionalFormatting>
  <conditionalFormatting sqref="P31">
    <cfRule type="cellIs" dxfId="2691" priority="2691" operator="greaterThan">
      <formula>0</formula>
    </cfRule>
  </conditionalFormatting>
  <conditionalFormatting sqref="Q31">
    <cfRule type="cellIs" dxfId="2690" priority="2696" operator="lessThan">
      <formula>0</formula>
    </cfRule>
  </conditionalFormatting>
  <conditionalFormatting sqref="Q31">
    <cfRule type="cellIs" dxfId="2689" priority="2690" operator="lessThan">
      <formula>0</formula>
    </cfRule>
  </conditionalFormatting>
  <conditionalFormatting sqref="R31">
    <cfRule type="cellIs" dxfId="2688" priority="2688" operator="lessThan">
      <formula>0.8</formula>
    </cfRule>
    <cfRule type="cellIs" dxfId="2687" priority="2689" operator="greaterThan">
      <formula>1</formula>
    </cfRule>
  </conditionalFormatting>
  <conditionalFormatting sqref="R31">
    <cfRule type="cellIs" dxfId="2686" priority="2686" operator="greaterThan">
      <formula>1</formula>
    </cfRule>
    <cfRule type="cellIs" dxfId="2685" priority="2687" operator="lessThan">
      <formula>0.8</formula>
    </cfRule>
  </conditionalFormatting>
  <conditionalFormatting sqref="P31">
    <cfRule type="cellIs" dxfId="2684" priority="2685" operator="greaterThan">
      <formula>0</formula>
    </cfRule>
  </conditionalFormatting>
  <conditionalFormatting sqref="Q31">
    <cfRule type="cellIs" dxfId="2683" priority="2679" operator="lessThan">
      <formula>0</formula>
    </cfRule>
  </conditionalFormatting>
  <conditionalFormatting sqref="R31">
    <cfRule type="cellIs" dxfId="2682" priority="2683" operator="lessThan">
      <formula>0.8</formula>
    </cfRule>
    <cfRule type="cellIs" dxfId="2681" priority="2684" operator="greaterThan">
      <formula>1</formula>
    </cfRule>
  </conditionalFormatting>
  <conditionalFormatting sqref="R31">
    <cfRule type="cellIs" dxfId="2680" priority="2681" operator="greaterThan">
      <formula>1</formula>
    </cfRule>
    <cfRule type="cellIs" dxfId="2679" priority="2682" operator="lessThan">
      <formula>0.8</formula>
    </cfRule>
  </conditionalFormatting>
  <conditionalFormatting sqref="P31">
    <cfRule type="cellIs" dxfId="2678" priority="2680" operator="greaterThan">
      <formula>0</formula>
    </cfRule>
  </conditionalFormatting>
  <conditionalFormatting sqref="Q31">
    <cfRule type="cellIs" dxfId="2677" priority="2678" operator="lessThan">
      <formula>0</formula>
    </cfRule>
  </conditionalFormatting>
  <conditionalFormatting sqref="R31">
    <cfRule type="cellIs" dxfId="2676" priority="2676" operator="lessThan">
      <formula>0.8</formula>
    </cfRule>
    <cfRule type="cellIs" dxfId="2675" priority="2677" operator="greaterThan">
      <formula>1</formula>
    </cfRule>
  </conditionalFormatting>
  <conditionalFormatting sqref="R31">
    <cfRule type="cellIs" dxfId="2674" priority="2674" operator="greaterThan">
      <formula>1</formula>
    </cfRule>
    <cfRule type="cellIs" dxfId="2673" priority="2675" operator="lessThan">
      <formula>0.8</formula>
    </cfRule>
  </conditionalFormatting>
  <conditionalFormatting sqref="P31">
    <cfRule type="cellIs" dxfId="2672" priority="2673" operator="greaterThan">
      <formula>0</formula>
    </cfRule>
  </conditionalFormatting>
  <conditionalFormatting sqref="Q31">
    <cfRule type="cellIs" dxfId="2671" priority="2672" operator="lessThan">
      <formula>0</formula>
    </cfRule>
  </conditionalFormatting>
  <conditionalFormatting sqref="R31">
    <cfRule type="cellIs" dxfId="2670" priority="2670" operator="lessThan">
      <formula>0.8</formula>
    </cfRule>
    <cfRule type="cellIs" dxfId="2669" priority="2671" operator="greaterThan">
      <formula>1</formula>
    </cfRule>
  </conditionalFormatting>
  <conditionalFormatting sqref="R31">
    <cfRule type="cellIs" dxfId="2668" priority="2668" operator="greaterThan">
      <formula>1</formula>
    </cfRule>
    <cfRule type="cellIs" dxfId="2667" priority="2669" operator="lessThan">
      <formula>0.8</formula>
    </cfRule>
  </conditionalFormatting>
  <conditionalFormatting sqref="P31">
    <cfRule type="cellIs" dxfId="2666" priority="2667" operator="greaterThan">
      <formula>0</formula>
    </cfRule>
  </conditionalFormatting>
  <conditionalFormatting sqref="Q31">
    <cfRule type="cellIs" dxfId="2665" priority="2666" operator="lessThan">
      <formula>0</formula>
    </cfRule>
  </conditionalFormatting>
  <conditionalFormatting sqref="R31">
    <cfRule type="cellIs" dxfId="2664" priority="2664" operator="lessThan">
      <formula>0.8</formula>
    </cfRule>
    <cfRule type="cellIs" dxfId="2663" priority="2665" operator="greaterThan">
      <formula>1</formula>
    </cfRule>
  </conditionalFormatting>
  <conditionalFormatting sqref="R31">
    <cfRule type="cellIs" dxfId="2662" priority="2662" operator="greaterThan">
      <formula>1</formula>
    </cfRule>
    <cfRule type="cellIs" dxfId="2661" priority="2663" operator="lessThan">
      <formula>0.8</formula>
    </cfRule>
  </conditionalFormatting>
  <conditionalFormatting sqref="P31">
    <cfRule type="cellIs" dxfId="2660" priority="2661" operator="greaterThan">
      <formula>0</formula>
    </cfRule>
  </conditionalFormatting>
  <conditionalFormatting sqref="Q31">
    <cfRule type="cellIs" dxfId="2659" priority="2660" operator="lessThan">
      <formula>0</formula>
    </cfRule>
  </conditionalFormatting>
  <conditionalFormatting sqref="R31">
    <cfRule type="cellIs" dxfId="2658" priority="2658" operator="lessThan">
      <formula>0.8</formula>
    </cfRule>
    <cfRule type="cellIs" dxfId="2657" priority="2659" operator="greaterThan">
      <formula>1</formula>
    </cfRule>
  </conditionalFormatting>
  <conditionalFormatting sqref="R31">
    <cfRule type="cellIs" dxfId="2656" priority="2656" operator="greaterThan">
      <formula>1</formula>
    </cfRule>
    <cfRule type="cellIs" dxfId="2655" priority="2657" operator="lessThan">
      <formula>0.8</formula>
    </cfRule>
  </conditionalFormatting>
  <conditionalFormatting sqref="P31">
    <cfRule type="cellIs" dxfId="2654" priority="2655" operator="greaterThan">
      <formula>0</formula>
    </cfRule>
  </conditionalFormatting>
  <conditionalFormatting sqref="Q31">
    <cfRule type="cellIs" dxfId="2653" priority="2654" operator="lessThan">
      <formula>0</formula>
    </cfRule>
  </conditionalFormatting>
  <conditionalFormatting sqref="R31">
    <cfRule type="cellIs" dxfId="2652" priority="2652" operator="lessThan">
      <formula>0.8</formula>
    </cfRule>
    <cfRule type="cellIs" dxfId="2651" priority="2653" operator="greaterThan">
      <formula>1</formula>
    </cfRule>
  </conditionalFormatting>
  <conditionalFormatting sqref="R31">
    <cfRule type="cellIs" dxfId="2650" priority="2650" operator="greaterThan">
      <formula>1</formula>
    </cfRule>
    <cfRule type="cellIs" dxfId="2649" priority="2651" operator="lessThan">
      <formula>0.8</formula>
    </cfRule>
  </conditionalFormatting>
  <conditionalFormatting sqref="P31">
    <cfRule type="cellIs" dxfId="2648" priority="2649" operator="greaterThan">
      <formula>0</formula>
    </cfRule>
  </conditionalFormatting>
  <conditionalFormatting sqref="P31">
    <cfRule type="cellIs" dxfId="2647" priority="2643" operator="greaterThan">
      <formula>0</formula>
    </cfRule>
  </conditionalFormatting>
  <conditionalFormatting sqref="Q31">
    <cfRule type="cellIs" dxfId="2646" priority="2648" operator="lessThan">
      <formula>0</formula>
    </cfRule>
  </conditionalFormatting>
  <conditionalFormatting sqref="R31">
    <cfRule type="cellIs" dxfId="2645" priority="2646" operator="lessThan">
      <formula>0.8</formula>
    </cfRule>
    <cfRule type="cellIs" dxfId="2644" priority="2647" operator="greaterThan">
      <formula>1</formula>
    </cfRule>
  </conditionalFormatting>
  <conditionalFormatting sqref="R31">
    <cfRule type="cellIs" dxfId="2643" priority="2644" operator="greaterThan">
      <formula>1</formula>
    </cfRule>
    <cfRule type="cellIs" dxfId="2642" priority="2645" operator="lessThan">
      <formula>0.8</formula>
    </cfRule>
  </conditionalFormatting>
  <conditionalFormatting sqref="P31">
    <cfRule type="cellIs" dxfId="2641" priority="2637" operator="greaterThan">
      <formula>0</formula>
    </cfRule>
  </conditionalFormatting>
  <conditionalFormatting sqref="Q31">
    <cfRule type="cellIs" dxfId="2640" priority="2642" operator="lessThan">
      <formula>0</formula>
    </cfRule>
  </conditionalFormatting>
  <conditionalFormatting sqref="R31">
    <cfRule type="cellIs" dxfId="2639" priority="2640" operator="lessThan">
      <formula>0.8</formula>
    </cfRule>
    <cfRule type="cellIs" dxfId="2638" priority="2641" operator="greaterThan">
      <formula>1</formula>
    </cfRule>
  </conditionalFormatting>
  <conditionalFormatting sqref="R31">
    <cfRule type="cellIs" dxfId="2637" priority="2638" operator="greaterThan">
      <formula>1</formula>
    </cfRule>
    <cfRule type="cellIs" dxfId="2636" priority="2639" operator="lessThan">
      <formula>0.8</formula>
    </cfRule>
  </conditionalFormatting>
  <conditionalFormatting sqref="R31">
    <cfRule type="cellIs" dxfId="2635" priority="2634" operator="lessThan">
      <formula>0.8</formula>
    </cfRule>
    <cfRule type="cellIs" dxfId="2634" priority="2635" operator="greaterThan">
      <formula>1</formula>
    </cfRule>
  </conditionalFormatting>
  <conditionalFormatting sqref="R31">
    <cfRule type="cellIs" dxfId="2633" priority="2632" operator="greaterThan">
      <formula>1</formula>
    </cfRule>
    <cfRule type="cellIs" dxfId="2632" priority="2633" operator="lessThan">
      <formula>0.8</formula>
    </cfRule>
  </conditionalFormatting>
  <conditionalFormatting sqref="P31">
    <cfRule type="cellIs" dxfId="2631" priority="2631" operator="greaterThan">
      <formula>0</formula>
    </cfRule>
  </conditionalFormatting>
  <conditionalFormatting sqref="Q31">
    <cfRule type="cellIs" dxfId="2630" priority="2636" operator="lessThan">
      <formula>0</formula>
    </cfRule>
  </conditionalFormatting>
  <conditionalFormatting sqref="P79">
    <cfRule type="cellIs" dxfId="2629" priority="2625" operator="greaterThan">
      <formula>0</formula>
    </cfRule>
  </conditionalFormatting>
  <conditionalFormatting sqref="Q79">
    <cfRule type="cellIs" dxfId="2628" priority="2630" operator="lessThan">
      <formula>0</formula>
    </cfRule>
  </conditionalFormatting>
  <conditionalFormatting sqref="R79">
    <cfRule type="cellIs" dxfId="2627" priority="2628" operator="lessThan">
      <formula>0.8</formula>
    </cfRule>
    <cfRule type="cellIs" dxfId="2626" priority="2629" operator="greaterThan">
      <formula>1</formula>
    </cfRule>
  </conditionalFormatting>
  <conditionalFormatting sqref="R79">
    <cfRule type="cellIs" dxfId="2625" priority="2626" operator="greaterThan">
      <formula>1</formula>
    </cfRule>
    <cfRule type="cellIs" dxfId="2624" priority="2627" operator="lessThan">
      <formula>0.8</formula>
    </cfRule>
  </conditionalFormatting>
  <conditionalFormatting sqref="Q79">
    <cfRule type="cellIs" dxfId="2623" priority="2624" operator="lessThan">
      <formula>0</formula>
    </cfRule>
  </conditionalFormatting>
  <conditionalFormatting sqref="R79">
    <cfRule type="cellIs" dxfId="2622" priority="2622" operator="lessThan">
      <formula>0.8</formula>
    </cfRule>
    <cfRule type="cellIs" dxfId="2621" priority="2623" operator="greaterThan">
      <formula>1</formula>
    </cfRule>
  </conditionalFormatting>
  <conditionalFormatting sqref="R79">
    <cfRule type="cellIs" dxfId="2620" priority="2620" operator="greaterThan">
      <formula>1</formula>
    </cfRule>
    <cfRule type="cellIs" dxfId="2619" priority="2621" operator="lessThan">
      <formula>0.8</formula>
    </cfRule>
  </conditionalFormatting>
  <conditionalFormatting sqref="P79">
    <cfRule type="cellIs" dxfId="2618" priority="2619" operator="greaterThan">
      <formula>0</formula>
    </cfRule>
  </conditionalFormatting>
  <conditionalFormatting sqref="P79">
    <cfRule type="cellIs" dxfId="2617" priority="2613" operator="greaterThan">
      <formula>0</formula>
    </cfRule>
  </conditionalFormatting>
  <conditionalFormatting sqref="Q79">
    <cfRule type="cellIs" dxfId="2616" priority="2618" operator="lessThan">
      <formula>0</formula>
    </cfRule>
  </conditionalFormatting>
  <conditionalFormatting sqref="R79">
    <cfRule type="cellIs" dxfId="2615" priority="2616" operator="lessThan">
      <formula>0.8</formula>
    </cfRule>
    <cfRule type="cellIs" dxfId="2614" priority="2617" operator="greaterThan">
      <formula>1</formula>
    </cfRule>
  </conditionalFormatting>
  <conditionalFormatting sqref="R79">
    <cfRule type="cellIs" dxfId="2613" priority="2614" operator="greaterThan">
      <formula>1</formula>
    </cfRule>
    <cfRule type="cellIs" dxfId="2612" priority="2615" operator="lessThan">
      <formula>0.8</formula>
    </cfRule>
  </conditionalFormatting>
  <conditionalFormatting sqref="Q79">
    <cfRule type="cellIs" dxfId="2611" priority="2607" operator="lessThan">
      <formula>0</formula>
    </cfRule>
  </conditionalFormatting>
  <conditionalFormatting sqref="P79">
    <cfRule type="cellIs" dxfId="2610" priority="2608" operator="greaterThan">
      <formula>0</formula>
    </cfRule>
  </conditionalFormatting>
  <conditionalFormatting sqref="R79">
    <cfRule type="cellIs" dxfId="2609" priority="2611" operator="lessThan">
      <formula>0.8</formula>
    </cfRule>
    <cfRule type="cellIs" dxfId="2608" priority="2612" operator="greaterThan">
      <formula>1</formula>
    </cfRule>
  </conditionalFormatting>
  <conditionalFormatting sqref="R79">
    <cfRule type="cellIs" dxfId="2607" priority="2609" operator="greaterThan">
      <formula>1</formula>
    </cfRule>
    <cfRule type="cellIs" dxfId="2606" priority="2610" operator="lessThan">
      <formula>0.8</formula>
    </cfRule>
  </conditionalFormatting>
  <conditionalFormatting sqref="Q79">
    <cfRule type="cellIs" dxfId="2605" priority="2601" operator="lessThan">
      <formula>0</formula>
    </cfRule>
  </conditionalFormatting>
  <conditionalFormatting sqref="R79">
    <cfRule type="cellIs" dxfId="2604" priority="2605" operator="lessThan">
      <formula>0.8</formula>
    </cfRule>
    <cfRule type="cellIs" dxfId="2603" priority="2606" operator="greaterThan">
      <formula>1</formula>
    </cfRule>
  </conditionalFormatting>
  <conditionalFormatting sqref="R79">
    <cfRule type="cellIs" dxfId="2602" priority="2603" operator="greaterThan">
      <formula>1</formula>
    </cfRule>
    <cfRule type="cellIs" dxfId="2601" priority="2604" operator="lessThan">
      <formula>0.8</formula>
    </cfRule>
  </conditionalFormatting>
  <conditionalFormatting sqref="P79">
    <cfRule type="cellIs" dxfId="2600" priority="2602" operator="greaterThan">
      <formula>0</formula>
    </cfRule>
  </conditionalFormatting>
  <conditionalFormatting sqref="Q79">
    <cfRule type="cellIs" dxfId="2599" priority="2600" operator="lessThan">
      <formula>0</formula>
    </cfRule>
  </conditionalFormatting>
  <conditionalFormatting sqref="R79">
    <cfRule type="cellIs" dxfId="2598" priority="2598" operator="lessThan">
      <formula>0.8</formula>
    </cfRule>
    <cfRule type="cellIs" dxfId="2597" priority="2599" operator="greaterThan">
      <formula>1</formula>
    </cfRule>
  </conditionalFormatting>
  <conditionalFormatting sqref="R79">
    <cfRule type="cellIs" dxfId="2596" priority="2596" operator="greaterThan">
      <formula>1</formula>
    </cfRule>
    <cfRule type="cellIs" dxfId="2595" priority="2597" operator="lessThan">
      <formula>0.8</formula>
    </cfRule>
  </conditionalFormatting>
  <conditionalFormatting sqref="P79">
    <cfRule type="cellIs" dxfId="2594" priority="2595" operator="greaterThan">
      <formula>0</formula>
    </cfRule>
  </conditionalFormatting>
  <conditionalFormatting sqref="Q79">
    <cfRule type="cellIs" dxfId="2593" priority="2594" operator="lessThan">
      <formula>0</formula>
    </cfRule>
  </conditionalFormatting>
  <conditionalFormatting sqref="R79">
    <cfRule type="cellIs" dxfId="2592" priority="2592" operator="lessThan">
      <formula>0.8</formula>
    </cfRule>
    <cfRule type="cellIs" dxfId="2591" priority="2593" operator="greaterThan">
      <formula>1</formula>
    </cfRule>
  </conditionalFormatting>
  <conditionalFormatting sqref="R79">
    <cfRule type="cellIs" dxfId="2590" priority="2590" operator="greaterThan">
      <formula>1</formula>
    </cfRule>
    <cfRule type="cellIs" dxfId="2589" priority="2591" operator="lessThan">
      <formula>0.8</formula>
    </cfRule>
  </conditionalFormatting>
  <conditionalFormatting sqref="P79">
    <cfRule type="cellIs" dxfId="2588" priority="2589" operator="greaterThan">
      <formula>0</formula>
    </cfRule>
  </conditionalFormatting>
  <conditionalFormatting sqref="P79">
    <cfRule type="cellIs" dxfId="2587" priority="2583" operator="greaterThan">
      <formula>0</formula>
    </cfRule>
  </conditionalFormatting>
  <conditionalFormatting sqref="Q79">
    <cfRule type="cellIs" dxfId="2586" priority="2588" operator="lessThan">
      <formula>0</formula>
    </cfRule>
  </conditionalFormatting>
  <conditionalFormatting sqref="R79">
    <cfRule type="cellIs" dxfId="2585" priority="2586" operator="lessThan">
      <formula>0.8</formula>
    </cfRule>
    <cfRule type="cellIs" dxfId="2584" priority="2587" operator="greaterThan">
      <formula>1</formula>
    </cfRule>
  </conditionalFormatting>
  <conditionalFormatting sqref="R79">
    <cfRule type="cellIs" dxfId="2583" priority="2584" operator="greaterThan">
      <formula>1</formula>
    </cfRule>
    <cfRule type="cellIs" dxfId="2582" priority="2585" operator="lessThan">
      <formula>0.8</formula>
    </cfRule>
  </conditionalFormatting>
  <conditionalFormatting sqref="P71:P78">
    <cfRule type="cellIs" dxfId="2581" priority="2577" operator="greaterThan">
      <formula>0</formula>
    </cfRule>
  </conditionalFormatting>
  <conditionalFormatting sqref="Q71:Q78">
    <cfRule type="cellIs" dxfId="2580" priority="2582" operator="lessThan">
      <formula>0</formula>
    </cfRule>
  </conditionalFormatting>
  <conditionalFormatting sqref="R71:R78">
    <cfRule type="cellIs" dxfId="2579" priority="2580" operator="lessThan">
      <formula>0.8</formula>
    </cfRule>
    <cfRule type="cellIs" dxfId="2578" priority="2581" operator="greaterThan">
      <formula>1</formula>
    </cfRule>
  </conditionalFormatting>
  <conditionalFormatting sqref="R71:R78">
    <cfRule type="cellIs" dxfId="2577" priority="2578" operator="greaterThan">
      <formula>1</formula>
    </cfRule>
    <cfRule type="cellIs" dxfId="2576" priority="2579" operator="lessThan">
      <formula>0.8</formula>
    </cfRule>
  </conditionalFormatting>
  <conditionalFormatting sqref="Q148:Q153">
    <cfRule type="cellIs" dxfId="2575" priority="2576" operator="lessThan">
      <formula>0</formula>
    </cfRule>
  </conditionalFormatting>
  <conditionalFormatting sqref="R148:R153">
    <cfRule type="cellIs" dxfId="2574" priority="2574" operator="lessThan">
      <formula>0.8</formula>
    </cfRule>
    <cfRule type="cellIs" dxfId="2573" priority="2575" operator="greaterThan">
      <formula>1</formula>
    </cfRule>
  </conditionalFormatting>
  <conditionalFormatting sqref="R148:R153">
    <cfRule type="cellIs" dxfId="2572" priority="2572" operator="greaterThan">
      <formula>1</formula>
    </cfRule>
    <cfRule type="cellIs" dxfId="2571" priority="2573" operator="lessThan">
      <formula>0.8</formula>
    </cfRule>
  </conditionalFormatting>
  <conditionalFormatting sqref="P148:P153">
    <cfRule type="cellIs" dxfId="2570" priority="2571" operator="greaterThan">
      <formula>0</formula>
    </cfRule>
  </conditionalFormatting>
  <conditionalFormatting sqref="Q148:Q153">
    <cfRule type="cellIs" dxfId="2569" priority="2570" operator="lessThan">
      <formula>0</formula>
    </cfRule>
  </conditionalFormatting>
  <conditionalFormatting sqref="R148:R153">
    <cfRule type="cellIs" dxfId="2568" priority="2568" operator="lessThan">
      <formula>0.8</formula>
    </cfRule>
    <cfRule type="cellIs" dxfId="2567" priority="2569" operator="greaterThan">
      <formula>1</formula>
    </cfRule>
  </conditionalFormatting>
  <conditionalFormatting sqref="R148:R153">
    <cfRule type="cellIs" dxfId="2566" priority="2566" operator="greaterThan">
      <formula>1</formula>
    </cfRule>
    <cfRule type="cellIs" dxfId="2565" priority="2567" operator="lessThan">
      <formula>0.8</formula>
    </cfRule>
  </conditionalFormatting>
  <conditionalFormatting sqref="P148:P153">
    <cfRule type="cellIs" dxfId="2564" priority="2565" operator="greaterThan">
      <formula>0</formula>
    </cfRule>
  </conditionalFormatting>
  <conditionalFormatting sqref="Q148:Q153">
    <cfRule type="cellIs" dxfId="2563" priority="2564" operator="lessThan">
      <formula>0</formula>
    </cfRule>
  </conditionalFormatting>
  <conditionalFormatting sqref="R148:R153">
    <cfRule type="cellIs" dxfId="2562" priority="2562" operator="lessThan">
      <formula>0.8</formula>
    </cfRule>
    <cfRule type="cellIs" dxfId="2561" priority="2563" operator="greaterThan">
      <formula>1</formula>
    </cfRule>
  </conditionalFormatting>
  <conditionalFormatting sqref="R148:R153">
    <cfRule type="cellIs" dxfId="2560" priority="2560" operator="greaterThan">
      <formula>1</formula>
    </cfRule>
    <cfRule type="cellIs" dxfId="2559" priority="2561" operator="lessThan">
      <formula>0.8</formula>
    </cfRule>
  </conditionalFormatting>
  <conditionalFormatting sqref="P148:P153">
    <cfRule type="cellIs" dxfId="2558" priority="2559" operator="greaterThan">
      <formula>0</formula>
    </cfRule>
  </conditionalFormatting>
  <conditionalFormatting sqref="Q148:Q153">
    <cfRule type="cellIs" dxfId="2557" priority="2558" operator="lessThan">
      <formula>0</formula>
    </cfRule>
  </conditionalFormatting>
  <conditionalFormatting sqref="R148:R153">
    <cfRule type="cellIs" dxfId="2556" priority="2556" operator="lessThan">
      <formula>0.8</formula>
    </cfRule>
    <cfRule type="cellIs" dxfId="2555" priority="2557" operator="greaterThan">
      <formula>1</formula>
    </cfRule>
  </conditionalFormatting>
  <conditionalFormatting sqref="R148:R153">
    <cfRule type="cellIs" dxfId="2554" priority="2554" operator="greaterThan">
      <formula>1</formula>
    </cfRule>
    <cfRule type="cellIs" dxfId="2553" priority="2555" operator="lessThan">
      <formula>0.8</formula>
    </cfRule>
  </conditionalFormatting>
  <conditionalFormatting sqref="P148:P153">
    <cfRule type="cellIs" dxfId="2552" priority="2553" operator="greaterThan">
      <formula>0</formula>
    </cfRule>
  </conditionalFormatting>
  <conditionalFormatting sqref="P148:P153">
    <cfRule type="cellIs" dxfId="2551" priority="2547" operator="greaterThan">
      <formula>0</formula>
    </cfRule>
  </conditionalFormatting>
  <conditionalFormatting sqref="Q148:Q153">
    <cfRule type="cellIs" dxfId="2550" priority="2552" operator="lessThan">
      <formula>0</formula>
    </cfRule>
  </conditionalFormatting>
  <conditionalFormatting sqref="R148:R153">
    <cfRule type="cellIs" dxfId="2549" priority="2550" operator="lessThan">
      <formula>0.8</formula>
    </cfRule>
    <cfRule type="cellIs" dxfId="2548" priority="2551" operator="greaterThan">
      <formula>1</formula>
    </cfRule>
  </conditionalFormatting>
  <conditionalFormatting sqref="R148:R153">
    <cfRule type="cellIs" dxfId="2547" priority="2548" operator="greaterThan">
      <formula>1</formula>
    </cfRule>
    <cfRule type="cellIs" dxfId="2546" priority="2549" operator="lessThan">
      <formula>0.8</formula>
    </cfRule>
  </conditionalFormatting>
  <conditionalFormatting sqref="P148:P153">
    <cfRule type="cellIs" dxfId="2545" priority="2541" operator="greaterThan">
      <formula>0</formula>
    </cfRule>
  </conditionalFormatting>
  <conditionalFormatting sqref="Q148:Q153">
    <cfRule type="cellIs" dxfId="2544" priority="2546" operator="lessThan">
      <formula>0</formula>
    </cfRule>
  </conditionalFormatting>
  <conditionalFormatting sqref="R148:R153">
    <cfRule type="cellIs" dxfId="2543" priority="2544" operator="lessThan">
      <formula>0.8</formula>
    </cfRule>
    <cfRule type="cellIs" dxfId="2542" priority="2545" operator="greaterThan">
      <formula>1</formula>
    </cfRule>
  </conditionalFormatting>
  <conditionalFormatting sqref="R148:R153">
    <cfRule type="cellIs" dxfId="2541" priority="2542" operator="greaterThan">
      <formula>1</formula>
    </cfRule>
    <cfRule type="cellIs" dxfId="2540" priority="2543" operator="lessThan">
      <formula>0.8</formula>
    </cfRule>
  </conditionalFormatting>
  <conditionalFormatting sqref="R148:R153">
    <cfRule type="cellIs" dxfId="2539" priority="2538" operator="lessThan">
      <formula>0.8</formula>
    </cfRule>
    <cfRule type="cellIs" dxfId="2538" priority="2539" operator="greaterThan">
      <formula>1</formula>
    </cfRule>
  </conditionalFormatting>
  <conditionalFormatting sqref="R148:R153">
    <cfRule type="cellIs" dxfId="2537" priority="2536" operator="greaterThan">
      <formula>1</formula>
    </cfRule>
    <cfRule type="cellIs" dxfId="2536" priority="2537" operator="lessThan">
      <formula>0.8</formula>
    </cfRule>
  </conditionalFormatting>
  <conditionalFormatting sqref="P148:P153">
    <cfRule type="cellIs" dxfId="2535" priority="2535" operator="greaterThan">
      <formula>0</formula>
    </cfRule>
  </conditionalFormatting>
  <conditionalFormatting sqref="Q148:Q153">
    <cfRule type="cellIs" dxfId="2534" priority="2540" operator="lessThan">
      <formula>0</formula>
    </cfRule>
  </conditionalFormatting>
  <conditionalFormatting sqref="Q148:Q153">
    <cfRule type="cellIs" dxfId="2533" priority="2534" operator="lessThan">
      <formula>0</formula>
    </cfRule>
  </conditionalFormatting>
  <conditionalFormatting sqref="R148:R153">
    <cfRule type="cellIs" dxfId="2532" priority="2532" operator="lessThan">
      <formula>0.8</formula>
    </cfRule>
    <cfRule type="cellIs" dxfId="2531" priority="2533" operator="greaterThan">
      <formula>1</formula>
    </cfRule>
  </conditionalFormatting>
  <conditionalFormatting sqref="R148:R153">
    <cfRule type="cellIs" dxfId="2530" priority="2530" operator="greaterThan">
      <formula>1</formula>
    </cfRule>
    <cfRule type="cellIs" dxfId="2529" priority="2531" operator="lessThan">
      <formula>0.8</formula>
    </cfRule>
  </conditionalFormatting>
  <conditionalFormatting sqref="P148:P153">
    <cfRule type="cellIs" dxfId="2528" priority="2529" operator="greaterThan">
      <formula>0</formula>
    </cfRule>
  </conditionalFormatting>
  <conditionalFormatting sqref="P148:P153">
    <cfRule type="cellIs" dxfId="2527" priority="2523" operator="greaterThan">
      <formula>0</formula>
    </cfRule>
  </conditionalFormatting>
  <conditionalFormatting sqref="Q148:Q153">
    <cfRule type="cellIs" dxfId="2526" priority="2528" operator="lessThan">
      <formula>0</formula>
    </cfRule>
  </conditionalFormatting>
  <conditionalFormatting sqref="R148:R153">
    <cfRule type="cellIs" dxfId="2525" priority="2526" operator="lessThan">
      <formula>0.8</formula>
    </cfRule>
    <cfRule type="cellIs" dxfId="2524" priority="2527" operator="greaterThan">
      <formula>1</formula>
    </cfRule>
  </conditionalFormatting>
  <conditionalFormatting sqref="R148:R153">
    <cfRule type="cellIs" dxfId="2523" priority="2524" operator="greaterThan">
      <formula>1</formula>
    </cfRule>
    <cfRule type="cellIs" dxfId="2522" priority="2525" operator="lessThan">
      <formula>0.8</formula>
    </cfRule>
  </conditionalFormatting>
  <conditionalFormatting sqref="P148:P153">
    <cfRule type="cellIs" dxfId="2521" priority="2517" operator="greaterThan">
      <formula>0</formula>
    </cfRule>
  </conditionalFormatting>
  <conditionalFormatting sqref="Q148:Q153">
    <cfRule type="cellIs" dxfId="2520" priority="2522" operator="lessThan">
      <formula>0</formula>
    </cfRule>
  </conditionalFormatting>
  <conditionalFormatting sqref="R148:R153">
    <cfRule type="cellIs" dxfId="2519" priority="2520" operator="lessThan">
      <formula>0.8</formula>
    </cfRule>
    <cfRule type="cellIs" dxfId="2518" priority="2521" operator="greaterThan">
      <formula>1</formula>
    </cfRule>
  </conditionalFormatting>
  <conditionalFormatting sqref="R148:R153">
    <cfRule type="cellIs" dxfId="2517" priority="2518" operator="greaterThan">
      <formula>1</formula>
    </cfRule>
    <cfRule type="cellIs" dxfId="2516" priority="2519" operator="lessThan">
      <formula>0.8</formula>
    </cfRule>
  </conditionalFormatting>
  <conditionalFormatting sqref="R148:R153">
    <cfRule type="cellIs" dxfId="2515" priority="2514" operator="lessThan">
      <formula>0.8</formula>
    </cfRule>
    <cfRule type="cellIs" dxfId="2514" priority="2515" operator="greaterThan">
      <formula>1</formula>
    </cfRule>
  </conditionalFormatting>
  <conditionalFormatting sqref="R148:R153">
    <cfRule type="cellIs" dxfId="2513" priority="2512" operator="greaterThan">
      <formula>1</formula>
    </cfRule>
    <cfRule type="cellIs" dxfId="2512" priority="2513" operator="lessThan">
      <formula>0.8</formula>
    </cfRule>
  </conditionalFormatting>
  <conditionalFormatting sqref="P148:P153">
    <cfRule type="cellIs" dxfId="2511" priority="2511" operator="greaterThan">
      <formula>0</formula>
    </cfRule>
  </conditionalFormatting>
  <conditionalFormatting sqref="Q148:Q153">
    <cfRule type="cellIs" dxfId="2510" priority="2516" operator="lessThan">
      <formula>0</formula>
    </cfRule>
  </conditionalFormatting>
  <conditionalFormatting sqref="P148:P153">
    <cfRule type="cellIs" dxfId="2509" priority="2505" operator="greaterThan">
      <formula>0</formula>
    </cfRule>
  </conditionalFormatting>
  <conditionalFormatting sqref="Q148:Q153">
    <cfRule type="cellIs" dxfId="2508" priority="2510" operator="lessThan">
      <formula>0</formula>
    </cfRule>
  </conditionalFormatting>
  <conditionalFormatting sqref="R148:R153">
    <cfRule type="cellIs" dxfId="2507" priority="2508" operator="lessThan">
      <formula>0.8</formula>
    </cfRule>
    <cfRule type="cellIs" dxfId="2506" priority="2509" operator="greaterThan">
      <formula>1</formula>
    </cfRule>
  </conditionalFormatting>
  <conditionalFormatting sqref="R148:R153">
    <cfRule type="cellIs" dxfId="2505" priority="2506" operator="greaterThan">
      <formula>1</formula>
    </cfRule>
    <cfRule type="cellIs" dxfId="2504" priority="2507" operator="lessThan">
      <formula>0.8</formula>
    </cfRule>
  </conditionalFormatting>
  <conditionalFormatting sqref="R148:R153">
    <cfRule type="cellIs" dxfId="2503" priority="2502" operator="lessThan">
      <formula>0.8</formula>
    </cfRule>
    <cfRule type="cellIs" dxfId="2502" priority="2503" operator="greaterThan">
      <formula>1</formula>
    </cfRule>
  </conditionalFormatting>
  <conditionalFormatting sqref="R148:R153">
    <cfRule type="cellIs" dxfId="2501" priority="2500" operator="greaterThan">
      <formula>1</formula>
    </cfRule>
    <cfRule type="cellIs" dxfId="2500" priority="2501" operator="lessThan">
      <formula>0.8</formula>
    </cfRule>
  </conditionalFormatting>
  <conditionalFormatting sqref="P148:P153">
    <cfRule type="cellIs" dxfId="2499" priority="2499" operator="greaterThan">
      <formula>0</formula>
    </cfRule>
  </conditionalFormatting>
  <conditionalFormatting sqref="Q148:Q153">
    <cfRule type="cellIs" dxfId="2498" priority="2504" operator="lessThan">
      <formula>0</formula>
    </cfRule>
  </conditionalFormatting>
  <conditionalFormatting sqref="R148:R153">
    <cfRule type="cellIs" dxfId="2497" priority="2496" operator="lessThan">
      <formula>0.8</formula>
    </cfRule>
    <cfRule type="cellIs" dxfId="2496" priority="2497" operator="greaterThan">
      <formula>1</formula>
    </cfRule>
  </conditionalFormatting>
  <conditionalFormatting sqref="R148:R153">
    <cfRule type="cellIs" dxfId="2495" priority="2494" operator="greaterThan">
      <formula>1</formula>
    </cfRule>
    <cfRule type="cellIs" dxfId="2494" priority="2495" operator="lessThan">
      <formula>0.8</formula>
    </cfRule>
  </conditionalFormatting>
  <conditionalFormatting sqref="P148:P153">
    <cfRule type="cellIs" dxfId="2493" priority="2493" operator="greaterThan">
      <formula>0</formula>
    </cfRule>
  </conditionalFormatting>
  <conditionalFormatting sqref="Q148:Q153">
    <cfRule type="cellIs" dxfId="2492" priority="2498" operator="lessThan">
      <formula>0</formula>
    </cfRule>
  </conditionalFormatting>
  <conditionalFormatting sqref="Q148:Q153">
    <cfRule type="cellIs" dxfId="2491" priority="2492" operator="lessThan">
      <formula>0</formula>
    </cfRule>
  </conditionalFormatting>
  <conditionalFormatting sqref="R148:R153">
    <cfRule type="cellIs" dxfId="2490" priority="2490" operator="lessThan">
      <formula>0.8</formula>
    </cfRule>
    <cfRule type="cellIs" dxfId="2489" priority="2491" operator="greaterThan">
      <formula>1</formula>
    </cfRule>
  </conditionalFormatting>
  <conditionalFormatting sqref="R148:R153">
    <cfRule type="cellIs" dxfId="2488" priority="2488" operator="greaterThan">
      <formula>1</formula>
    </cfRule>
    <cfRule type="cellIs" dxfId="2487" priority="2489" operator="lessThan">
      <formula>0.8</formula>
    </cfRule>
  </conditionalFormatting>
  <conditionalFormatting sqref="P148:P153">
    <cfRule type="cellIs" dxfId="2486" priority="2487" operator="greaterThan">
      <formula>0</formula>
    </cfRule>
  </conditionalFormatting>
  <conditionalFormatting sqref="Q148:Q153">
    <cfRule type="cellIs" dxfId="2485" priority="2481" operator="lessThan">
      <formula>0</formula>
    </cfRule>
  </conditionalFormatting>
  <conditionalFormatting sqref="R148:R153">
    <cfRule type="cellIs" dxfId="2484" priority="2485" operator="lessThan">
      <formula>0.8</formula>
    </cfRule>
    <cfRule type="cellIs" dxfId="2483" priority="2486" operator="greaterThan">
      <formula>1</formula>
    </cfRule>
  </conditionalFormatting>
  <conditionalFormatting sqref="R148:R153">
    <cfRule type="cellIs" dxfId="2482" priority="2483" operator="greaterThan">
      <formula>1</formula>
    </cfRule>
    <cfRule type="cellIs" dxfId="2481" priority="2484" operator="lessThan">
      <formula>0.8</formula>
    </cfRule>
  </conditionalFormatting>
  <conditionalFormatting sqref="P148:P153">
    <cfRule type="cellIs" dxfId="2480" priority="2482" operator="greaterThan">
      <formula>0</formula>
    </cfRule>
  </conditionalFormatting>
  <conditionalFormatting sqref="Q148:Q153">
    <cfRule type="cellIs" dxfId="2479" priority="2480" operator="lessThan">
      <formula>0</formula>
    </cfRule>
  </conditionalFormatting>
  <conditionalFormatting sqref="R148:R153">
    <cfRule type="cellIs" dxfId="2478" priority="2478" operator="lessThan">
      <formula>0.8</formula>
    </cfRule>
    <cfRule type="cellIs" dxfId="2477" priority="2479" operator="greaterThan">
      <formula>1</formula>
    </cfRule>
  </conditionalFormatting>
  <conditionalFormatting sqref="R148:R153">
    <cfRule type="cellIs" dxfId="2476" priority="2476" operator="greaterThan">
      <formula>1</formula>
    </cfRule>
    <cfRule type="cellIs" dxfId="2475" priority="2477" operator="lessThan">
      <formula>0.8</formula>
    </cfRule>
  </conditionalFormatting>
  <conditionalFormatting sqref="P148:P153">
    <cfRule type="cellIs" dxfId="2474" priority="2475" operator="greaterThan">
      <formula>0</formula>
    </cfRule>
  </conditionalFormatting>
  <conditionalFormatting sqref="Q148:Q153">
    <cfRule type="cellIs" dxfId="2473" priority="2474" operator="lessThan">
      <formula>0</formula>
    </cfRule>
  </conditionalFormatting>
  <conditionalFormatting sqref="R148:R153">
    <cfRule type="cellIs" dxfId="2472" priority="2472" operator="lessThan">
      <formula>0.8</formula>
    </cfRule>
    <cfRule type="cellIs" dxfId="2471" priority="2473" operator="greaterThan">
      <formula>1</formula>
    </cfRule>
  </conditionalFormatting>
  <conditionalFormatting sqref="R148:R153">
    <cfRule type="cellIs" dxfId="2470" priority="2470" operator="greaterThan">
      <formula>1</formula>
    </cfRule>
    <cfRule type="cellIs" dxfId="2469" priority="2471" operator="lessThan">
      <formula>0.8</formula>
    </cfRule>
  </conditionalFormatting>
  <conditionalFormatting sqref="P148:P153">
    <cfRule type="cellIs" dxfId="2468" priority="2469" operator="greaterThan">
      <formula>0</formula>
    </cfRule>
  </conditionalFormatting>
  <conditionalFormatting sqref="Q148:Q153">
    <cfRule type="cellIs" dxfId="2467" priority="2468" operator="lessThan">
      <formula>0</formula>
    </cfRule>
  </conditionalFormatting>
  <conditionalFormatting sqref="R148:R153">
    <cfRule type="cellIs" dxfId="2466" priority="2466" operator="lessThan">
      <formula>0.8</formula>
    </cfRule>
    <cfRule type="cellIs" dxfId="2465" priority="2467" operator="greaterThan">
      <formula>1</formula>
    </cfRule>
  </conditionalFormatting>
  <conditionalFormatting sqref="R148:R153">
    <cfRule type="cellIs" dxfId="2464" priority="2464" operator="greaterThan">
      <formula>1</formula>
    </cfRule>
    <cfRule type="cellIs" dxfId="2463" priority="2465" operator="lessThan">
      <formula>0.8</formula>
    </cfRule>
  </conditionalFormatting>
  <conditionalFormatting sqref="P148:P153">
    <cfRule type="cellIs" dxfId="2462" priority="2463" operator="greaterThan">
      <formula>0</formula>
    </cfRule>
  </conditionalFormatting>
  <conditionalFormatting sqref="Q148:Q153">
    <cfRule type="cellIs" dxfId="2461" priority="2462" operator="lessThan">
      <formula>0</formula>
    </cfRule>
  </conditionalFormatting>
  <conditionalFormatting sqref="R148:R153">
    <cfRule type="cellIs" dxfId="2460" priority="2460" operator="lessThan">
      <formula>0.8</formula>
    </cfRule>
    <cfRule type="cellIs" dxfId="2459" priority="2461" operator="greaterThan">
      <formula>1</formula>
    </cfRule>
  </conditionalFormatting>
  <conditionalFormatting sqref="R148:R153">
    <cfRule type="cellIs" dxfId="2458" priority="2458" operator="greaterThan">
      <formula>1</formula>
    </cfRule>
    <cfRule type="cellIs" dxfId="2457" priority="2459" operator="lessThan">
      <formula>0.8</formula>
    </cfRule>
  </conditionalFormatting>
  <conditionalFormatting sqref="P148:P153">
    <cfRule type="cellIs" dxfId="2456" priority="2457" operator="greaterThan">
      <formula>0</formula>
    </cfRule>
  </conditionalFormatting>
  <conditionalFormatting sqref="Q148:Q153">
    <cfRule type="cellIs" dxfId="2455" priority="2456" operator="lessThan">
      <formula>0</formula>
    </cfRule>
  </conditionalFormatting>
  <conditionalFormatting sqref="R148:R153">
    <cfRule type="cellIs" dxfId="2454" priority="2454" operator="lessThan">
      <formula>0.8</formula>
    </cfRule>
    <cfRule type="cellIs" dxfId="2453" priority="2455" operator="greaterThan">
      <formula>1</formula>
    </cfRule>
  </conditionalFormatting>
  <conditionalFormatting sqref="R148:R153">
    <cfRule type="cellIs" dxfId="2452" priority="2452" operator="greaterThan">
      <formula>1</formula>
    </cfRule>
    <cfRule type="cellIs" dxfId="2451" priority="2453" operator="lessThan">
      <formula>0.8</formula>
    </cfRule>
  </conditionalFormatting>
  <conditionalFormatting sqref="P148:P153">
    <cfRule type="cellIs" dxfId="2450" priority="2451" operator="greaterThan">
      <formula>0</formula>
    </cfRule>
  </conditionalFormatting>
  <conditionalFormatting sqref="P148:P153">
    <cfRule type="cellIs" dxfId="2449" priority="2445" operator="greaterThan">
      <formula>0</formula>
    </cfRule>
  </conditionalFormatting>
  <conditionalFormatting sqref="Q148:Q153">
    <cfRule type="cellIs" dxfId="2448" priority="2450" operator="lessThan">
      <formula>0</formula>
    </cfRule>
  </conditionalFormatting>
  <conditionalFormatting sqref="R148:R153">
    <cfRule type="cellIs" dxfId="2447" priority="2448" operator="lessThan">
      <formula>0.8</formula>
    </cfRule>
    <cfRule type="cellIs" dxfId="2446" priority="2449" operator="greaterThan">
      <formula>1</formula>
    </cfRule>
  </conditionalFormatting>
  <conditionalFormatting sqref="R148:R153">
    <cfRule type="cellIs" dxfId="2445" priority="2446" operator="greaterThan">
      <formula>1</formula>
    </cfRule>
    <cfRule type="cellIs" dxfId="2444" priority="2447" operator="lessThan">
      <formula>0.8</formula>
    </cfRule>
  </conditionalFormatting>
  <conditionalFormatting sqref="P148:P153">
    <cfRule type="cellIs" dxfId="2443" priority="2439" operator="greaterThan">
      <formula>0</formula>
    </cfRule>
  </conditionalFormatting>
  <conditionalFormatting sqref="Q148:Q153">
    <cfRule type="cellIs" dxfId="2442" priority="2444" operator="lessThan">
      <formula>0</formula>
    </cfRule>
  </conditionalFormatting>
  <conditionalFormatting sqref="R148:R153">
    <cfRule type="cellIs" dxfId="2441" priority="2442" operator="lessThan">
      <formula>0.8</formula>
    </cfRule>
    <cfRule type="cellIs" dxfId="2440" priority="2443" operator="greaterThan">
      <formula>1</formula>
    </cfRule>
  </conditionalFormatting>
  <conditionalFormatting sqref="R148:R153">
    <cfRule type="cellIs" dxfId="2439" priority="2440" operator="greaterThan">
      <formula>1</formula>
    </cfRule>
    <cfRule type="cellIs" dxfId="2438" priority="2441" operator="lessThan">
      <formula>0.8</formula>
    </cfRule>
  </conditionalFormatting>
  <conditionalFormatting sqref="R148:R153">
    <cfRule type="cellIs" dxfId="2437" priority="2436" operator="lessThan">
      <formula>0.8</formula>
    </cfRule>
    <cfRule type="cellIs" dxfId="2436" priority="2437" operator="greaterThan">
      <formula>1</formula>
    </cfRule>
  </conditionalFormatting>
  <conditionalFormatting sqref="R148:R153">
    <cfRule type="cellIs" dxfId="2435" priority="2434" operator="greaterThan">
      <formula>1</formula>
    </cfRule>
    <cfRule type="cellIs" dxfId="2434" priority="2435" operator="lessThan">
      <formula>0.8</formula>
    </cfRule>
  </conditionalFormatting>
  <conditionalFormatting sqref="P148:P153">
    <cfRule type="cellIs" dxfId="2433" priority="2433" operator="greaterThan">
      <formula>0</formula>
    </cfRule>
  </conditionalFormatting>
  <conditionalFormatting sqref="Q148:Q153">
    <cfRule type="cellIs" dxfId="2432" priority="2438" operator="lessThan">
      <formula>0</formula>
    </cfRule>
  </conditionalFormatting>
  <conditionalFormatting sqref="Q148:Q153">
    <cfRule type="cellIs" dxfId="2431" priority="2427" operator="lessThan">
      <formula>0</formula>
    </cfRule>
  </conditionalFormatting>
  <conditionalFormatting sqref="P148:P153">
    <cfRule type="cellIs" dxfId="2430" priority="2428" operator="greaterThan">
      <formula>0</formula>
    </cfRule>
  </conditionalFormatting>
  <conditionalFormatting sqref="R148:R153">
    <cfRule type="cellIs" dxfId="2429" priority="2431" operator="lessThan">
      <formula>0.8</formula>
    </cfRule>
    <cfRule type="cellIs" dxfId="2428" priority="2432" operator="greaterThan">
      <formula>1</formula>
    </cfRule>
  </conditionalFormatting>
  <conditionalFormatting sqref="R148:R153">
    <cfRule type="cellIs" dxfId="2427" priority="2429" operator="greaterThan">
      <formula>1</formula>
    </cfRule>
    <cfRule type="cellIs" dxfId="2426" priority="2430" operator="lessThan">
      <formula>0.8</formula>
    </cfRule>
  </conditionalFormatting>
  <conditionalFormatting sqref="Q148:Q153">
    <cfRule type="cellIs" dxfId="2425" priority="2421" operator="lessThan">
      <formula>0</formula>
    </cfRule>
  </conditionalFormatting>
  <conditionalFormatting sqref="R148:R153">
    <cfRule type="cellIs" dxfId="2424" priority="2425" operator="lessThan">
      <formula>0.8</formula>
    </cfRule>
    <cfRule type="cellIs" dxfId="2423" priority="2426" operator="greaterThan">
      <formula>1</formula>
    </cfRule>
  </conditionalFormatting>
  <conditionalFormatting sqref="R148:R153">
    <cfRule type="cellIs" dxfId="2422" priority="2423" operator="greaterThan">
      <formula>1</formula>
    </cfRule>
    <cfRule type="cellIs" dxfId="2421" priority="2424" operator="lessThan">
      <formula>0.8</formula>
    </cfRule>
  </conditionalFormatting>
  <conditionalFormatting sqref="P148:P153">
    <cfRule type="cellIs" dxfId="2420" priority="2422" operator="greaterThan">
      <formula>0</formula>
    </cfRule>
  </conditionalFormatting>
  <conditionalFormatting sqref="Q148:Q153">
    <cfRule type="cellIs" dxfId="2419" priority="2420" operator="lessThan">
      <formula>0</formula>
    </cfRule>
  </conditionalFormatting>
  <conditionalFormatting sqref="R148:R153">
    <cfRule type="cellIs" dxfId="2418" priority="2418" operator="lessThan">
      <formula>0.8</formula>
    </cfRule>
    <cfRule type="cellIs" dxfId="2417" priority="2419" operator="greaterThan">
      <formula>1</formula>
    </cfRule>
  </conditionalFormatting>
  <conditionalFormatting sqref="R148:R153">
    <cfRule type="cellIs" dxfId="2416" priority="2416" operator="greaterThan">
      <formula>1</formula>
    </cfRule>
    <cfRule type="cellIs" dxfId="2415" priority="2417" operator="lessThan">
      <formula>0.8</formula>
    </cfRule>
  </conditionalFormatting>
  <conditionalFormatting sqref="P148:P153">
    <cfRule type="cellIs" dxfId="2414" priority="2415" operator="greaterThan">
      <formula>0</formula>
    </cfRule>
  </conditionalFormatting>
  <conditionalFormatting sqref="Q148:Q153">
    <cfRule type="cellIs" dxfId="2413" priority="2414" operator="lessThan">
      <formula>0</formula>
    </cfRule>
  </conditionalFormatting>
  <conditionalFormatting sqref="R148:R153">
    <cfRule type="cellIs" dxfId="2412" priority="2412" operator="lessThan">
      <formula>0.8</formula>
    </cfRule>
    <cfRule type="cellIs" dxfId="2411" priority="2413" operator="greaterThan">
      <formula>1</formula>
    </cfRule>
  </conditionalFormatting>
  <conditionalFormatting sqref="R148:R153">
    <cfRule type="cellIs" dxfId="2410" priority="2410" operator="greaterThan">
      <formula>1</formula>
    </cfRule>
    <cfRule type="cellIs" dxfId="2409" priority="2411" operator="lessThan">
      <formula>0.8</formula>
    </cfRule>
  </conditionalFormatting>
  <conditionalFormatting sqref="P148:P153">
    <cfRule type="cellIs" dxfId="2408" priority="2409" operator="greaterThan">
      <formula>0</formula>
    </cfRule>
  </conditionalFormatting>
  <conditionalFormatting sqref="Q148:Q153">
    <cfRule type="cellIs" dxfId="2407" priority="2408" operator="lessThan">
      <formula>0</formula>
    </cfRule>
  </conditionalFormatting>
  <conditionalFormatting sqref="R148:R153">
    <cfRule type="cellIs" dxfId="2406" priority="2406" operator="lessThan">
      <formula>0.8</formula>
    </cfRule>
    <cfRule type="cellIs" dxfId="2405" priority="2407" operator="greaterThan">
      <formula>1</formula>
    </cfRule>
  </conditionalFormatting>
  <conditionalFormatting sqref="R148:R153">
    <cfRule type="cellIs" dxfId="2404" priority="2404" operator="greaterThan">
      <formula>1</formula>
    </cfRule>
    <cfRule type="cellIs" dxfId="2403" priority="2405" operator="lessThan">
      <formula>0.8</formula>
    </cfRule>
  </conditionalFormatting>
  <conditionalFormatting sqref="P148:P153">
    <cfRule type="cellIs" dxfId="2402" priority="2403" operator="greaterThan">
      <formula>0</formula>
    </cfRule>
  </conditionalFormatting>
  <conditionalFormatting sqref="Q148:Q153">
    <cfRule type="cellIs" dxfId="2401" priority="2402" operator="lessThan">
      <formula>0</formula>
    </cfRule>
  </conditionalFormatting>
  <conditionalFormatting sqref="R148:R153">
    <cfRule type="cellIs" dxfId="2400" priority="2400" operator="lessThan">
      <formula>0.8</formula>
    </cfRule>
    <cfRule type="cellIs" dxfId="2399" priority="2401" operator="greaterThan">
      <formula>1</formula>
    </cfRule>
  </conditionalFormatting>
  <conditionalFormatting sqref="R148:R153">
    <cfRule type="cellIs" dxfId="2398" priority="2398" operator="greaterThan">
      <formula>1</formula>
    </cfRule>
    <cfRule type="cellIs" dxfId="2397" priority="2399" operator="lessThan">
      <formula>0.8</formula>
    </cfRule>
  </conditionalFormatting>
  <conditionalFormatting sqref="P148:P153">
    <cfRule type="cellIs" dxfId="2396" priority="2397" operator="greaterThan">
      <formula>0</formula>
    </cfRule>
  </conditionalFormatting>
  <conditionalFormatting sqref="Q124 Q127">
    <cfRule type="cellIs" dxfId="2395" priority="2391" operator="lessThan">
      <formula>0</formula>
    </cfRule>
  </conditionalFormatting>
  <conditionalFormatting sqref="P124 P127">
    <cfRule type="cellIs" dxfId="2394" priority="2392" operator="greaterThan">
      <formula>0</formula>
    </cfRule>
  </conditionalFormatting>
  <conditionalFormatting sqref="R124 R127">
    <cfRule type="cellIs" dxfId="2393" priority="2395" operator="lessThan">
      <formula>0.8</formula>
    </cfRule>
    <cfRule type="cellIs" dxfId="2392" priority="2396" operator="greaterThan">
      <formula>1</formula>
    </cfRule>
  </conditionalFormatting>
  <conditionalFormatting sqref="R124 R127">
    <cfRule type="cellIs" dxfId="2391" priority="2393" operator="greaterThan">
      <formula>1</formula>
    </cfRule>
    <cfRule type="cellIs" dxfId="2390" priority="2394" operator="lessThan">
      <formula>0.8</formula>
    </cfRule>
  </conditionalFormatting>
  <conditionalFormatting sqref="Q124 Q127">
    <cfRule type="cellIs" dxfId="2389" priority="2385" operator="lessThan">
      <formula>0</formula>
    </cfRule>
  </conditionalFormatting>
  <conditionalFormatting sqref="R124 R127">
    <cfRule type="cellIs" dxfId="2388" priority="2389" operator="lessThan">
      <formula>0.8</formula>
    </cfRule>
    <cfRule type="cellIs" dxfId="2387" priority="2390" operator="greaterThan">
      <formula>1</formula>
    </cfRule>
  </conditionalFormatting>
  <conditionalFormatting sqref="R124 R127">
    <cfRule type="cellIs" dxfId="2386" priority="2387" operator="greaterThan">
      <formula>1</formula>
    </cfRule>
    <cfRule type="cellIs" dxfId="2385" priority="2388" operator="lessThan">
      <formula>0.8</formula>
    </cfRule>
  </conditionalFormatting>
  <conditionalFormatting sqref="P124 P127">
    <cfRule type="cellIs" dxfId="2384" priority="2386" operator="greaterThan">
      <formula>0</formula>
    </cfRule>
  </conditionalFormatting>
  <conditionalFormatting sqref="Q124 Q127">
    <cfRule type="cellIs" dxfId="2383" priority="2384" operator="lessThan">
      <formula>0</formula>
    </cfRule>
  </conditionalFormatting>
  <conditionalFormatting sqref="R124 R127">
    <cfRule type="cellIs" dxfId="2382" priority="2382" operator="lessThan">
      <formula>0.8</formula>
    </cfRule>
    <cfRule type="cellIs" dxfId="2381" priority="2383" operator="greaterThan">
      <formula>1</formula>
    </cfRule>
  </conditionalFormatting>
  <conditionalFormatting sqref="R124 R127">
    <cfRule type="cellIs" dxfId="2380" priority="2380" operator="greaterThan">
      <formula>1</formula>
    </cfRule>
    <cfRule type="cellIs" dxfId="2379" priority="2381" operator="lessThan">
      <formula>0.8</formula>
    </cfRule>
  </conditionalFormatting>
  <conditionalFormatting sqref="P124 P127">
    <cfRule type="cellIs" dxfId="2378" priority="2379" operator="greaterThan">
      <formula>0</formula>
    </cfRule>
  </conditionalFormatting>
  <conditionalFormatting sqref="Q124 Q127">
    <cfRule type="cellIs" dxfId="2377" priority="2378" operator="lessThan">
      <formula>0</formula>
    </cfRule>
  </conditionalFormatting>
  <conditionalFormatting sqref="R124 R127">
    <cfRule type="cellIs" dxfId="2376" priority="2376" operator="lessThan">
      <formula>0.8</formula>
    </cfRule>
    <cfRule type="cellIs" dxfId="2375" priority="2377" operator="greaterThan">
      <formula>1</formula>
    </cfRule>
  </conditionalFormatting>
  <conditionalFormatting sqref="R124 R127">
    <cfRule type="cellIs" dxfId="2374" priority="2374" operator="greaterThan">
      <formula>1</formula>
    </cfRule>
    <cfRule type="cellIs" dxfId="2373" priority="2375" operator="lessThan">
      <formula>0.8</formula>
    </cfRule>
  </conditionalFormatting>
  <conditionalFormatting sqref="P124 P127">
    <cfRule type="cellIs" dxfId="2372" priority="2373" operator="greaterThan">
      <formula>0</formula>
    </cfRule>
  </conditionalFormatting>
  <conditionalFormatting sqref="Q124 Q127">
    <cfRule type="cellIs" dxfId="2371" priority="2372" operator="lessThan">
      <formula>0</formula>
    </cfRule>
  </conditionalFormatting>
  <conditionalFormatting sqref="R124 R127">
    <cfRule type="cellIs" dxfId="2370" priority="2370" operator="lessThan">
      <formula>0.8</formula>
    </cfRule>
    <cfRule type="cellIs" dxfId="2369" priority="2371" operator="greaterThan">
      <formula>1</formula>
    </cfRule>
  </conditionalFormatting>
  <conditionalFormatting sqref="R124 R127">
    <cfRule type="cellIs" dxfId="2368" priority="2368" operator="greaterThan">
      <formula>1</formula>
    </cfRule>
    <cfRule type="cellIs" dxfId="2367" priority="2369" operator="lessThan">
      <formula>0.8</formula>
    </cfRule>
  </conditionalFormatting>
  <conditionalFormatting sqref="P124 P127">
    <cfRule type="cellIs" dxfId="2366" priority="2367" operator="greaterThan">
      <formula>0</formula>
    </cfRule>
  </conditionalFormatting>
  <conditionalFormatting sqref="Q124 Q127">
    <cfRule type="cellIs" dxfId="2365" priority="2366" operator="lessThan">
      <formula>0</formula>
    </cfRule>
  </conditionalFormatting>
  <conditionalFormatting sqref="R124 R127">
    <cfRule type="cellIs" dxfId="2364" priority="2364" operator="lessThan">
      <formula>0.8</formula>
    </cfRule>
    <cfRule type="cellIs" dxfId="2363" priority="2365" operator="greaterThan">
      <formula>1</formula>
    </cfRule>
  </conditionalFormatting>
  <conditionalFormatting sqref="R124 R127">
    <cfRule type="cellIs" dxfId="2362" priority="2362" operator="greaterThan">
      <formula>1</formula>
    </cfRule>
    <cfRule type="cellIs" dxfId="2361" priority="2363" operator="lessThan">
      <formula>0.8</formula>
    </cfRule>
  </conditionalFormatting>
  <conditionalFormatting sqref="P124 P127">
    <cfRule type="cellIs" dxfId="2360" priority="2361" operator="greaterThan">
      <formula>0</formula>
    </cfRule>
  </conditionalFormatting>
  <conditionalFormatting sqref="Q124 Q127">
    <cfRule type="cellIs" dxfId="2359" priority="2360" operator="lessThan">
      <formula>0</formula>
    </cfRule>
  </conditionalFormatting>
  <conditionalFormatting sqref="R124 R127">
    <cfRule type="cellIs" dxfId="2358" priority="2358" operator="lessThan">
      <formula>0.8</formula>
    </cfRule>
    <cfRule type="cellIs" dxfId="2357" priority="2359" operator="greaterThan">
      <formula>1</formula>
    </cfRule>
  </conditionalFormatting>
  <conditionalFormatting sqref="R124 R127">
    <cfRule type="cellIs" dxfId="2356" priority="2356" operator="greaterThan">
      <formula>1</formula>
    </cfRule>
    <cfRule type="cellIs" dxfId="2355" priority="2357" operator="lessThan">
      <formula>0.8</formula>
    </cfRule>
  </conditionalFormatting>
  <conditionalFormatting sqref="P124 P127">
    <cfRule type="cellIs" dxfId="2354" priority="2355" operator="greaterThan">
      <formula>0</formula>
    </cfRule>
  </conditionalFormatting>
  <conditionalFormatting sqref="Q124 Q127">
    <cfRule type="cellIs" dxfId="2353" priority="2354" operator="lessThan">
      <formula>0</formula>
    </cfRule>
  </conditionalFormatting>
  <conditionalFormatting sqref="R124 R127">
    <cfRule type="cellIs" dxfId="2352" priority="2352" operator="lessThan">
      <formula>0.8</formula>
    </cfRule>
    <cfRule type="cellIs" dxfId="2351" priority="2353" operator="greaterThan">
      <formula>1</formula>
    </cfRule>
  </conditionalFormatting>
  <conditionalFormatting sqref="R124 R127">
    <cfRule type="cellIs" dxfId="2350" priority="2350" operator="greaterThan">
      <formula>1</formula>
    </cfRule>
    <cfRule type="cellIs" dxfId="2349" priority="2351" operator="lessThan">
      <formula>0.8</formula>
    </cfRule>
  </conditionalFormatting>
  <conditionalFormatting sqref="P124 P127">
    <cfRule type="cellIs" dxfId="2348" priority="2349" operator="greaterThan">
      <formula>0</formula>
    </cfRule>
  </conditionalFormatting>
  <conditionalFormatting sqref="Q124 Q127">
    <cfRule type="cellIs" dxfId="2347" priority="2348" operator="lessThan">
      <formula>0</formula>
    </cfRule>
  </conditionalFormatting>
  <conditionalFormatting sqref="R124 R127">
    <cfRule type="cellIs" dxfId="2346" priority="2346" operator="lessThan">
      <formula>0.8</formula>
    </cfRule>
    <cfRule type="cellIs" dxfId="2345" priority="2347" operator="greaterThan">
      <formula>1</formula>
    </cfRule>
  </conditionalFormatting>
  <conditionalFormatting sqref="R124 R127">
    <cfRule type="cellIs" dxfId="2344" priority="2344" operator="greaterThan">
      <formula>1</formula>
    </cfRule>
    <cfRule type="cellIs" dxfId="2343" priority="2345" operator="lessThan">
      <formula>0.8</formula>
    </cfRule>
  </conditionalFormatting>
  <conditionalFormatting sqref="P124 P127">
    <cfRule type="cellIs" dxfId="2342" priority="2343" operator="greaterThan">
      <formula>0</formula>
    </cfRule>
  </conditionalFormatting>
  <conditionalFormatting sqref="P124 P127">
    <cfRule type="cellIs" dxfId="2341" priority="2337" operator="greaterThan">
      <formula>0</formula>
    </cfRule>
  </conditionalFormatting>
  <conditionalFormatting sqref="Q124 Q127">
    <cfRule type="cellIs" dxfId="2340" priority="2342" operator="lessThan">
      <formula>0</formula>
    </cfRule>
  </conditionalFormatting>
  <conditionalFormatting sqref="R124 R127">
    <cfRule type="cellIs" dxfId="2339" priority="2340" operator="lessThan">
      <formula>0.8</formula>
    </cfRule>
    <cfRule type="cellIs" dxfId="2338" priority="2341" operator="greaterThan">
      <formula>1</formula>
    </cfRule>
  </conditionalFormatting>
  <conditionalFormatting sqref="R124 R127">
    <cfRule type="cellIs" dxfId="2337" priority="2338" operator="greaterThan">
      <formula>1</formula>
    </cfRule>
    <cfRule type="cellIs" dxfId="2336" priority="2339" operator="lessThan">
      <formula>0.8</formula>
    </cfRule>
  </conditionalFormatting>
  <conditionalFormatting sqref="P124 P127">
    <cfRule type="cellIs" dxfId="2335" priority="2331" operator="greaterThan">
      <formula>0</formula>
    </cfRule>
  </conditionalFormatting>
  <conditionalFormatting sqref="Q124 Q127">
    <cfRule type="cellIs" dxfId="2334" priority="2336" operator="lessThan">
      <formula>0</formula>
    </cfRule>
  </conditionalFormatting>
  <conditionalFormatting sqref="R124 R127">
    <cfRule type="cellIs" dxfId="2333" priority="2334" operator="lessThan">
      <formula>0.8</formula>
    </cfRule>
    <cfRule type="cellIs" dxfId="2332" priority="2335" operator="greaterThan">
      <formula>1</formula>
    </cfRule>
  </conditionalFormatting>
  <conditionalFormatting sqref="R124 R127">
    <cfRule type="cellIs" dxfId="2331" priority="2332" operator="greaterThan">
      <formula>1</formula>
    </cfRule>
    <cfRule type="cellIs" dxfId="2330" priority="2333" operator="lessThan">
      <formula>0.8</formula>
    </cfRule>
  </conditionalFormatting>
  <conditionalFormatting sqref="R124 R127">
    <cfRule type="cellIs" dxfId="2329" priority="2328" operator="lessThan">
      <formula>0.8</formula>
    </cfRule>
    <cfRule type="cellIs" dxfId="2328" priority="2329" operator="greaterThan">
      <formula>1</formula>
    </cfRule>
  </conditionalFormatting>
  <conditionalFormatting sqref="R124 R127">
    <cfRule type="cellIs" dxfId="2327" priority="2326" operator="greaterThan">
      <formula>1</formula>
    </cfRule>
    <cfRule type="cellIs" dxfId="2326" priority="2327" operator="lessThan">
      <formula>0.8</formula>
    </cfRule>
  </conditionalFormatting>
  <conditionalFormatting sqref="P124 P127">
    <cfRule type="cellIs" dxfId="2325" priority="2325" operator="greaterThan">
      <formula>0</formula>
    </cfRule>
  </conditionalFormatting>
  <conditionalFormatting sqref="Q124 Q127">
    <cfRule type="cellIs" dxfId="2324" priority="2330" operator="lessThan">
      <formula>0</formula>
    </cfRule>
  </conditionalFormatting>
  <conditionalFormatting sqref="Q124 Q127">
    <cfRule type="cellIs" dxfId="2323" priority="2324" operator="lessThan">
      <formula>0</formula>
    </cfRule>
  </conditionalFormatting>
  <conditionalFormatting sqref="R124 R127">
    <cfRule type="cellIs" dxfId="2322" priority="2322" operator="lessThan">
      <formula>0.8</formula>
    </cfRule>
    <cfRule type="cellIs" dxfId="2321" priority="2323" operator="greaterThan">
      <formula>1</formula>
    </cfRule>
  </conditionalFormatting>
  <conditionalFormatting sqref="R124 R127">
    <cfRule type="cellIs" dxfId="2320" priority="2320" operator="greaterThan">
      <formula>1</formula>
    </cfRule>
    <cfRule type="cellIs" dxfId="2319" priority="2321" operator="lessThan">
      <formula>0.8</formula>
    </cfRule>
  </conditionalFormatting>
  <conditionalFormatting sqref="P124 P127">
    <cfRule type="cellIs" dxfId="2318" priority="2319" operator="greaterThan">
      <formula>0</formula>
    </cfRule>
  </conditionalFormatting>
  <conditionalFormatting sqref="P124 P127">
    <cfRule type="cellIs" dxfId="2317" priority="2313" operator="greaterThan">
      <formula>0</formula>
    </cfRule>
  </conditionalFormatting>
  <conditionalFormatting sqref="Q124 Q127">
    <cfRule type="cellIs" dxfId="2316" priority="2318" operator="lessThan">
      <formula>0</formula>
    </cfRule>
  </conditionalFormatting>
  <conditionalFormatting sqref="R124 R127">
    <cfRule type="cellIs" dxfId="2315" priority="2316" operator="lessThan">
      <formula>0.8</formula>
    </cfRule>
    <cfRule type="cellIs" dxfId="2314" priority="2317" operator="greaterThan">
      <formula>1</formula>
    </cfRule>
  </conditionalFormatting>
  <conditionalFormatting sqref="R124 R127">
    <cfRule type="cellIs" dxfId="2313" priority="2314" operator="greaterThan">
      <formula>1</formula>
    </cfRule>
    <cfRule type="cellIs" dxfId="2312" priority="2315" operator="lessThan">
      <formula>0.8</formula>
    </cfRule>
  </conditionalFormatting>
  <conditionalFormatting sqref="P124 P127">
    <cfRule type="cellIs" dxfId="2311" priority="2307" operator="greaterThan">
      <formula>0</formula>
    </cfRule>
  </conditionalFormatting>
  <conditionalFormatting sqref="Q124 Q127">
    <cfRule type="cellIs" dxfId="2310" priority="2312" operator="lessThan">
      <formula>0</formula>
    </cfRule>
  </conditionalFormatting>
  <conditionalFormatting sqref="R124 R127">
    <cfRule type="cellIs" dxfId="2309" priority="2310" operator="lessThan">
      <formula>0.8</formula>
    </cfRule>
    <cfRule type="cellIs" dxfId="2308" priority="2311" operator="greaterThan">
      <formula>1</formula>
    </cfRule>
  </conditionalFormatting>
  <conditionalFormatting sqref="R124 R127">
    <cfRule type="cellIs" dxfId="2307" priority="2308" operator="greaterThan">
      <formula>1</formula>
    </cfRule>
    <cfRule type="cellIs" dxfId="2306" priority="2309" operator="lessThan">
      <formula>0.8</formula>
    </cfRule>
  </conditionalFormatting>
  <conditionalFormatting sqref="R124 R127">
    <cfRule type="cellIs" dxfId="2305" priority="2304" operator="lessThan">
      <formula>0.8</formula>
    </cfRule>
    <cfRule type="cellIs" dxfId="2304" priority="2305" operator="greaterThan">
      <formula>1</formula>
    </cfRule>
  </conditionalFormatting>
  <conditionalFormatting sqref="R124 R127">
    <cfRule type="cellIs" dxfId="2303" priority="2302" operator="greaterThan">
      <formula>1</formula>
    </cfRule>
    <cfRule type="cellIs" dxfId="2302" priority="2303" operator="lessThan">
      <formula>0.8</formula>
    </cfRule>
  </conditionalFormatting>
  <conditionalFormatting sqref="P124 P127">
    <cfRule type="cellIs" dxfId="2301" priority="2301" operator="greaterThan">
      <formula>0</formula>
    </cfRule>
  </conditionalFormatting>
  <conditionalFormatting sqref="Q124 Q127">
    <cfRule type="cellIs" dxfId="2300" priority="2306" operator="lessThan">
      <formula>0</formula>
    </cfRule>
  </conditionalFormatting>
  <conditionalFormatting sqref="P124 P127">
    <cfRule type="cellIs" dxfId="2299" priority="2295" operator="greaterThan">
      <formula>0</formula>
    </cfRule>
  </conditionalFormatting>
  <conditionalFormatting sqref="Q124 Q127">
    <cfRule type="cellIs" dxfId="2298" priority="2300" operator="lessThan">
      <formula>0</formula>
    </cfRule>
  </conditionalFormatting>
  <conditionalFormatting sqref="R124 R127">
    <cfRule type="cellIs" dxfId="2297" priority="2298" operator="lessThan">
      <formula>0.8</formula>
    </cfRule>
    <cfRule type="cellIs" dxfId="2296" priority="2299" operator="greaterThan">
      <formula>1</formula>
    </cfRule>
  </conditionalFormatting>
  <conditionalFormatting sqref="R124 R127">
    <cfRule type="cellIs" dxfId="2295" priority="2296" operator="greaterThan">
      <formula>1</formula>
    </cfRule>
    <cfRule type="cellIs" dxfId="2294" priority="2297" operator="lessThan">
      <formula>0.8</formula>
    </cfRule>
  </conditionalFormatting>
  <conditionalFormatting sqref="R124 R127">
    <cfRule type="cellIs" dxfId="2293" priority="2292" operator="lessThan">
      <formula>0.8</formula>
    </cfRule>
    <cfRule type="cellIs" dxfId="2292" priority="2293" operator="greaterThan">
      <formula>1</formula>
    </cfRule>
  </conditionalFormatting>
  <conditionalFormatting sqref="R124 R127">
    <cfRule type="cellIs" dxfId="2291" priority="2290" operator="greaterThan">
      <formula>1</formula>
    </cfRule>
    <cfRule type="cellIs" dxfId="2290" priority="2291" operator="lessThan">
      <formula>0.8</formula>
    </cfRule>
  </conditionalFormatting>
  <conditionalFormatting sqref="P124 P127">
    <cfRule type="cellIs" dxfId="2289" priority="2289" operator="greaterThan">
      <formula>0</formula>
    </cfRule>
  </conditionalFormatting>
  <conditionalFormatting sqref="Q124 Q127">
    <cfRule type="cellIs" dxfId="2288" priority="2294" operator="lessThan">
      <formula>0</formula>
    </cfRule>
  </conditionalFormatting>
  <conditionalFormatting sqref="R124 R127">
    <cfRule type="cellIs" dxfId="2287" priority="2286" operator="lessThan">
      <formula>0.8</formula>
    </cfRule>
    <cfRule type="cellIs" dxfId="2286" priority="2287" operator="greaterThan">
      <formula>1</formula>
    </cfRule>
  </conditionalFormatting>
  <conditionalFormatting sqref="R124 R127">
    <cfRule type="cellIs" dxfId="2285" priority="2284" operator="greaterThan">
      <formula>1</formula>
    </cfRule>
    <cfRule type="cellIs" dxfId="2284" priority="2285" operator="lessThan">
      <formula>0.8</formula>
    </cfRule>
  </conditionalFormatting>
  <conditionalFormatting sqref="P124 P127">
    <cfRule type="cellIs" dxfId="2283" priority="2283" operator="greaterThan">
      <formula>0</formula>
    </cfRule>
  </conditionalFormatting>
  <conditionalFormatting sqref="Q124 Q127">
    <cfRule type="cellIs" dxfId="2282" priority="2288" operator="lessThan">
      <formula>0</formula>
    </cfRule>
  </conditionalFormatting>
  <conditionalFormatting sqref="Q124 Q127">
    <cfRule type="cellIs" dxfId="2281" priority="2282" operator="lessThan">
      <formula>0</formula>
    </cfRule>
  </conditionalFormatting>
  <conditionalFormatting sqref="R124 R127">
    <cfRule type="cellIs" dxfId="2280" priority="2280" operator="lessThan">
      <formula>0.8</formula>
    </cfRule>
    <cfRule type="cellIs" dxfId="2279" priority="2281" operator="greaterThan">
      <formula>1</formula>
    </cfRule>
  </conditionalFormatting>
  <conditionalFormatting sqref="R124 R127">
    <cfRule type="cellIs" dxfId="2278" priority="2278" operator="greaterThan">
      <formula>1</formula>
    </cfRule>
    <cfRule type="cellIs" dxfId="2277" priority="2279" operator="lessThan">
      <formula>0.8</formula>
    </cfRule>
  </conditionalFormatting>
  <conditionalFormatting sqref="P124 P127">
    <cfRule type="cellIs" dxfId="2276" priority="2277" operator="greaterThan">
      <formula>0</formula>
    </cfRule>
  </conditionalFormatting>
  <conditionalFormatting sqref="Q124 Q127">
    <cfRule type="cellIs" dxfId="2275" priority="2271" operator="lessThan">
      <formula>0</formula>
    </cfRule>
  </conditionalFormatting>
  <conditionalFormatting sqref="R124 R127">
    <cfRule type="cellIs" dxfId="2274" priority="2275" operator="lessThan">
      <formula>0.8</formula>
    </cfRule>
    <cfRule type="cellIs" dxfId="2273" priority="2276" operator="greaterThan">
      <formula>1</formula>
    </cfRule>
  </conditionalFormatting>
  <conditionalFormatting sqref="R124 R127">
    <cfRule type="cellIs" dxfId="2272" priority="2273" operator="greaterThan">
      <formula>1</formula>
    </cfRule>
    <cfRule type="cellIs" dxfId="2271" priority="2274" operator="lessThan">
      <formula>0.8</formula>
    </cfRule>
  </conditionalFormatting>
  <conditionalFormatting sqref="P124 P127">
    <cfRule type="cellIs" dxfId="2270" priority="2272" operator="greaterThan">
      <formula>0</formula>
    </cfRule>
  </conditionalFormatting>
  <conditionalFormatting sqref="Q124 Q127">
    <cfRule type="cellIs" dxfId="2269" priority="2270" operator="lessThan">
      <formula>0</formula>
    </cfRule>
  </conditionalFormatting>
  <conditionalFormatting sqref="R124 R127">
    <cfRule type="cellIs" dxfId="2268" priority="2268" operator="lessThan">
      <formula>0.8</formula>
    </cfRule>
    <cfRule type="cellIs" dxfId="2267" priority="2269" operator="greaterThan">
      <formula>1</formula>
    </cfRule>
  </conditionalFormatting>
  <conditionalFormatting sqref="R124 R127">
    <cfRule type="cellIs" dxfId="2266" priority="2266" operator="greaterThan">
      <formula>1</formula>
    </cfRule>
    <cfRule type="cellIs" dxfId="2265" priority="2267" operator="lessThan">
      <formula>0.8</formula>
    </cfRule>
  </conditionalFormatting>
  <conditionalFormatting sqref="P124 P127">
    <cfRule type="cellIs" dxfId="2264" priority="2265" operator="greaterThan">
      <formula>0</formula>
    </cfRule>
  </conditionalFormatting>
  <conditionalFormatting sqref="Q124 Q127">
    <cfRule type="cellIs" dxfId="2263" priority="2264" operator="lessThan">
      <formula>0</formula>
    </cfRule>
  </conditionalFormatting>
  <conditionalFormatting sqref="R124 R127">
    <cfRule type="cellIs" dxfId="2262" priority="2262" operator="lessThan">
      <formula>0.8</formula>
    </cfRule>
    <cfRule type="cellIs" dxfId="2261" priority="2263" operator="greaterThan">
      <formula>1</formula>
    </cfRule>
  </conditionalFormatting>
  <conditionalFormatting sqref="R124 R127">
    <cfRule type="cellIs" dxfId="2260" priority="2260" operator="greaterThan">
      <formula>1</formula>
    </cfRule>
    <cfRule type="cellIs" dxfId="2259" priority="2261" operator="lessThan">
      <formula>0.8</formula>
    </cfRule>
  </conditionalFormatting>
  <conditionalFormatting sqref="P124 P127">
    <cfRule type="cellIs" dxfId="2258" priority="2259" operator="greaterThan">
      <formula>0</formula>
    </cfRule>
  </conditionalFormatting>
  <conditionalFormatting sqref="Q124 Q127">
    <cfRule type="cellIs" dxfId="2257" priority="2258" operator="lessThan">
      <formula>0</formula>
    </cfRule>
  </conditionalFormatting>
  <conditionalFormatting sqref="R124 R127">
    <cfRule type="cellIs" dxfId="2256" priority="2256" operator="lessThan">
      <formula>0.8</formula>
    </cfRule>
    <cfRule type="cellIs" dxfId="2255" priority="2257" operator="greaterThan">
      <formula>1</formula>
    </cfRule>
  </conditionalFormatting>
  <conditionalFormatting sqref="R124 R127">
    <cfRule type="cellIs" dxfId="2254" priority="2254" operator="greaterThan">
      <formula>1</formula>
    </cfRule>
    <cfRule type="cellIs" dxfId="2253" priority="2255" operator="lessThan">
      <formula>0.8</formula>
    </cfRule>
  </conditionalFormatting>
  <conditionalFormatting sqref="P124 P127">
    <cfRule type="cellIs" dxfId="2252" priority="2253" operator="greaterThan">
      <formula>0</formula>
    </cfRule>
  </conditionalFormatting>
  <conditionalFormatting sqref="Q124 Q127">
    <cfRule type="cellIs" dxfId="2251" priority="2252" operator="lessThan">
      <formula>0</formula>
    </cfRule>
  </conditionalFormatting>
  <conditionalFormatting sqref="R124 R127">
    <cfRule type="cellIs" dxfId="2250" priority="2250" operator="lessThan">
      <formula>0.8</formula>
    </cfRule>
    <cfRule type="cellIs" dxfId="2249" priority="2251" operator="greaterThan">
      <formula>1</formula>
    </cfRule>
  </conditionalFormatting>
  <conditionalFormatting sqref="R124 R127">
    <cfRule type="cellIs" dxfId="2248" priority="2248" operator="greaterThan">
      <formula>1</formula>
    </cfRule>
    <cfRule type="cellIs" dxfId="2247" priority="2249" operator="lessThan">
      <formula>0.8</formula>
    </cfRule>
  </conditionalFormatting>
  <conditionalFormatting sqref="P124 P127">
    <cfRule type="cellIs" dxfId="2246" priority="2247" operator="greaterThan">
      <formula>0</formula>
    </cfRule>
  </conditionalFormatting>
  <conditionalFormatting sqref="Q124 Q127">
    <cfRule type="cellIs" dxfId="2245" priority="2246" operator="lessThan">
      <formula>0</formula>
    </cfRule>
  </conditionalFormatting>
  <conditionalFormatting sqref="R124 R127">
    <cfRule type="cellIs" dxfId="2244" priority="2244" operator="lessThan">
      <formula>0.8</formula>
    </cfRule>
    <cfRule type="cellIs" dxfId="2243" priority="2245" operator="greaterThan">
      <formula>1</formula>
    </cfRule>
  </conditionalFormatting>
  <conditionalFormatting sqref="R124 R127">
    <cfRule type="cellIs" dxfId="2242" priority="2242" operator="greaterThan">
      <formula>1</formula>
    </cfRule>
    <cfRule type="cellIs" dxfId="2241" priority="2243" operator="lessThan">
      <formula>0.8</formula>
    </cfRule>
  </conditionalFormatting>
  <conditionalFormatting sqref="P124 P127">
    <cfRule type="cellIs" dxfId="2240" priority="2241" operator="greaterThan">
      <formula>0</formula>
    </cfRule>
  </conditionalFormatting>
  <conditionalFormatting sqref="P124 P127">
    <cfRule type="cellIs" dxfId="2239" priority="2235" operator="greaterThan">
      <formula>0</formula>
    </cfRule>
  </conditionalFormatting>
  <conditionalFormatting sqref="Q124 Q127">
    <cfRule type="cellIs" dxfId="2238" priority="2240" operator="lessThan">
      <formula>0</formula>
    </cfRule>
  </conditionalFormatting>
  <conditionalFormatting sqref="R124 R127">
    <cfRule type="cellIs" dxfId="2237" priority="2238" operator="lessThan">
      <formula>0.8</formula>
    </cfRule>
    <cfRule type="cellIs" dxfId="2236" priority="2239" operator="greaterThan">
      <formula>1</formula>
    </cfRule>
  </conditionalFormatting>
  <conditionalFormatting sqref="R124 R127">
    <cfRule type="cellIs" dxfId="2235" priority="2236" operator="greaterThan">
      <formula>1</formula>
    </cfRule>
    <cfRule type="cellIs" dxfId="2234" priority="2237" operator="lessThan">
      <formula>0.8</formula>
    </cfRule>
  </conditionalFormatting>
  <conditionalFormatting sqref="P124 P127">
    <cfRule type="cellIs" dxfId="2233" priority="2229" operator="greaterThan">
      <formula>0</formula>
    </cfRule>
  </conditionalFormatting>
  <conditionalFormatting sqref="Q124 Q127">
    <cfRule type="cellIs" dxfId="2232" priority="2234" operator="lessThan">
      <formula>0</formula>
    </cfRule>
  </conditionalFormatting>
  <conditionalFormatting sqref="R124 R127">
    <cfRule type="cellIs" dxfId="2231" priority="2232" operator="lessThan">
      <formula>0.8</formula>
    </cfRule>
    <cfRule type="cellIs" dxfId="2230" priority="2233" operator="greaterThan">
      <formula>1</formula>
    </cfRule>
  </conditionalFormatting>
  <conditionalFormatting sqref="R124 R127">
    <cfRule type="cellIs" dxfId="2229" priority="2230" operator="greaterThan">
      <formula>1</formula>
    </cfRule>
    <cfRule type="cellIs" dxfId="2228" priority="2231" operator="lessThan">
      <formula>0.8</formula>
    </cfRule>
  </conditionalFormatting>
  <conditionalFormatting sqref="R124 R127">
    <cfRule type="cellIs" dxfId="2227" priority="2226" operator="lessThan">
      <formula>0.8</formula>
    </cfRule>
    <cfRule type="cellIs" dxfId="2226" priority="2227" operator="greaterThan">
      <formula>1</formula>
    </cfRule>
  </conditionalFormatting>
  <conditionalFormatting sqref="R124 R127">
    <cfRule type="cellIs" dxfId="2225" priority="2224" operator="greaterThan">
      <formula>1</formula>
    </cfRule>
    <cfRule type="cellIs" dxfId="2224" priority="2225" operator="lessThan">
      <formula>0.8</formula>
    </cfRule>
  </conditionalFormatting>
  <conditionalFormatting sqref="P124 P127">
    <cfRule type="cellIs" dxfId="2223" priority="2223" operator="greaterThan">
      <formula>0</formula>
    </cfRule>
  </conditionalFormatting>
  <conditionalFormatting sqref="Q124 Q127">
    <cfRule type="cellIs" dxfId="2222" priority="2228" operator="lessThan">
      <formula>0</formula>
    </cfRule>
  </conditionalFormatting>
  <conditionalFormatting sqref="Q14 Q5:Q12">
    <cfRule type="cellIs" dxfId="2221" priority="2222" operator="lessThan">
      <formula>0</formula>
    </cfRule>
  </conditionalFormatting>
  <conditionalFormatting sqref="R14 R5:R12">
    <cfRule type="cellIs" dxfId="2220" priority="2220" operator="lessThan">
      <formula>0.8</formula>
    </cfRule>
    <cfRule type="cellIs" dxfId="2219" priority="2221" operator="greaterThan">
      <formula>1</formula>
    </cfRule>
  </conditionalFormatting>
  <conditionalFormatting sqref="R14 R5:R12">
    <cfRule type="cellIs" dxfId="2218" priority="2218" operator="greaterThan">
      <formula>1</formula>
    </cfRule>
    <cfRule type="cellIs" dxfId="2217" priority="2219" operator="lessThan">
      <formula>0.8</formula>
    </cfRule>
  </conditionalFormatting>
  <conditionalFormatting sqref="P14 P5:P12">
    <cfRule type="cellIs" dxfId="2216" priority="2217" operator="greaterThan">
      <formula>0</formula>
    </cfRule>
  </conditionalFormatting>
  <conditionalFormatting sqref="Q83">
    <cfRule type="cellIs" dxfId="2215" priority="2216" operator="lessThan">
      <formula>0</formula>
    </cfRule>
  </conditionalFormatting>
  <conditionalFormatting sqref="R83">
    <cfRule type="cellIs" dxfId="2214" priority="2214" operator="lessThan">
      <formula>0.8</formula>
    </cfRule>
    <cfRule type="cellIs" dxfId="2213" priority="2215" operator="greaterThan">
      <formula>1</formula>
    </cfRule>
  </conditionalFormatting>
  <conditionalFormatting sqref="R83">
    <cfRule type="cellIs" dxfId="2212" priority="2212" operator="greaterThan">
      <formula>1</formula>
    </cfRule>
    <cfRule type="cellIs" dxfId="2211" priority="2213" operator="lessThan">
      <formula>0.8</formula>
    </cfRule>
  </conditionalFormatting>
  <conditionalFormatting sqref="P83">
    <cfRule type="cellIs" dxfId="2210" priority="2211" operator="greaterThan">
      <formula>0</formula>
    </cfRule>
  </conditionalFormatting>
  <conditionalFormatting sqref="Q83">
    <cfRule type="cellIs" dxfId="2209" priority="2210" operator="lessThan">
      <formula>0</formula>
    </cfRule>
  </conditionalFormatting>
  <conditionalFormatting sqref="R83">
    <cfRule type="cellIs" dxfId="2208" priority="2208" operator="lessThan">
      <formula>0.8</formula>
    </cfRule>
    <cfRule type="cellIs" dxfId="2207" priority="2209" operator="greaterThan">
      <formula>1</formula>
    </cfRule>
  </conditionalFormatting>
  <conditionalFormatting sqref="R83">
    <cfRule type="cellIs" dxfId="2206" priority="2206" operator="greaterThan">
      <formula>1</formula>
    </cfRule>
    <cfRule type="cellIs" dxfId="2205" priority="2207" operator="lessThan">
      <formula>0.8</formula>
    </cfRule>
  </conditionalFormatting>
  <conditionalFormatting sqref="P83">
    <cfRule type="cellIs" dxfId="2204" priority="2205" operator="greaterThan">
      <formula>0</formula>
    </cfRule>
  </conditionalFormatting>
  <conditionalFormatting sqref="Q83">
    <cfRule type="cellIs" dxfId="2203" priority="2204" operator="lessThan">
      <formula>0</formula>
    </cfRule>
  </conditionalFormatting>
  <conditionalFormatting sqref="R83">
    <cfRule type="cellIs" dxfId="2202" priority="2202" operator="lessThan">
      <formula>0.8</formula>
    </cfRule>
    <cfRule type="cellIs" dxfId="2201" priority="2203" operator="greaterThan">
      <formula>1</formula>
    </cfRule>
  </conditionalFormatting>
  <conditionalFormatting sqref="R83">
    <cfRule type="cellIs" dxfId="2200" priority="2200" operator="greaterThan">
      <formula>1</formula>
    </cfRule>
    <cfRule type="cellIs" dxfId="2199" priority="2201" operator="lessThan">
      <formula>0.8</formula>
    </cfRule>
  </conditionalFormatting>
  <conditionalFormatting sqref="P83">
    <cfRule type="cellIs" dxfId="2198" priority="2199" operator="greaterThan">
      <formula>0</formula>
    </cfRule>
  </conditionalFormatting>
  <conditionalFormatting sqref="Q83">
    <cfRule type="cellIs" dxfId="2197" priority="2198" operator="lessThan">
      <formula>0</formula>
    </cfRule>
  </conditionalFormatting>
  <conditionalFormatting sqref="R83">
    <cfRule type="cellIs" dxfId="2196" priority="2196" operator="lessThan">
      <formula>0.8</formula>
    </cfRule>
    <cfRule type="cellIs" dxfId="2195" priority="2197" operator="greaterThan">
      <formula>1</formula>
    </cfRule>
  </conditionalFormatting>
  <conditionalFormatting sqref="R83">
    <cfRule type="cellIs" dxfId="2194" priority="2194" operator="greaterThan">
      <formula>1</formula>
    </cfRule>
    <cfRule type="cellIs" dxfId="2193" priority="2195" operator="lessThan">
      <formula>0.8</formula>
    </cfRule>
  </conditionalFormatting>
  <conditionalFormatting sqref="P83">
    <cfRule type="cellIs" dxfId="2192" priority="2193" operator="greaterThan">
      <formula>0</formula>
    </cfRule>
  </conditionalFormatting>
  <conditionalFormatting sqref="P83">
    <cfRule type="cellIs" dxfId="2191" priority="2187" operator="greaterThan">
      <formula>0</formula>
    </cfRule>
  </conditionalFormatting>
  <conditionalFormatting sqref="Q83">
    <cfRule type="cellIs" dxfId="2190" priority="2192" operator="lessThan">
      <formula>0</formula>
    </cfRule>
  </conditionalFormatting>
  <conditionalFormatting sqref="R83">
    <cfRule type="cellIs" dxfId="2189" priority="2190" operator="lessThan">
      <formula>0.8</formula>
    </cfRule>
    <cfRule type="cellIs" dxfId="2188" priority="2191" operator="greaterThan">
      <formula>1</formula>
    </cfRule>
  </conditionalFormatting>
  <conditionalFormatting sqref="R83">
    <cfRule type="cellIs" dxfId="2187" priority="2188" operator="greaterThan">
      <formula>1</formula>
    </cfRule>
    <cfRule type="cellIs" dxfId="2186" priority="2189" operator="lessThan">
      <formula>0.8</formula>
    </cfRule>
  </conditionalFormatting>
  <conditionalFormatting sqref="P83">
    <cfRule type="cellIs" dxfId="2185" priority="2181" operator="greaterThan">
      <formula>0</formula>
    </cfRule>
  </conditionalFormatting>
  <conditionalFormatting sqref="Q83">
    <cfRule type="cellIs" dxfId="2184" priority="2186" operator="lessThan">
      <formula>0</formula>
    </cfRule>
  </conditionalFormatting>
  <conditionalFormatting sqref="R83">
    <cfRule type="cellIs" dxfId="2183" priority="2184" operator="lessThan">
      <formula>0.8</formula>
    </cfRule>
    <cfRule type="cellIs" dxfId="2182" priority="2185" operator="greaterThan">
      <formula>1</formula>
    </cfRule>
  </conditionalFormatting>
  <conditionalFormatting sqref="R83">
    <cfRule type="cellIs" dxfId="2181" priority="2182" operator="greaterThan">
      <formula>1</formula>
    </cfRule>
    <cfRule type="cellIs" dxfId="2180" priority="2183" operator="lessThan">
      <formula>0.8</formula>
    </cfRule>
  </conditionalFormatting>
  <conditionalFormatting sqref="R83">
    <cfRule type="cellIs" dxfId="2179" priority="2178" operator="lessThan">
      <formula>0.8</formula>
    </cfRule>
    <cfRule type="cellIs" dxfId="2178" priority="2179" operator="greaterThan">
      <formula>1</formula>
    </cfRule>
  </conditionalFormatting>
  <conditionalFormatting sqref="R83">
    <cfRule type="cellIs" dxfId="2177" priority="2176" operator="greaterThan">
      <formula>1</formula>
    </cfRule>
    <cfRule type="cellIs" dxfId="2176" priority="2177" operator="lessThan">
      <formula>0.8</formula>
    </cfRule>
  </conditionalFormatting>
  <conditionalFormatting sqref="P83">
    <cfRule type="cellIs" dxfId="2175" priority="2175" operator="greaterThan">
      <formula>0</formula>
    </cfRule>
  </conditionalFormatting>
  <conditionalFormatting sqref="Q83">
    <cfRule type="cellIs" dxfId="2174" priority="2180" operator="lessThan">
      <formula>0</formula>
    </cfRule>
  </conditionalFormatting>
  <conditionalFormatting sqref="Q83">
    <cfRule type="cellIs" dxfId="2173" priority="2174" operator="lessThan">
      <formula>0</formula>
    </cfRule>
  </conditionalFormatting>
  <conditionalFormatting sqref="R83">
    <cfRule type="cellIs" dxfId="2172" priority="2172" operator="lessThan">
      <formula>0.8</formula>
    </cfRule>
    <cfRule type="cellIs" dxfId="2171" priority="2173" operator="greaterThan">
      <formula>1</formula>
    </cfRule>
  </conditionalFormatting>
  <conditionalFormatting sqref="R83">
    <cfRule type="cellIs" dxfId="2170" priority="2170" operator="greaterThan">
      <formula>1</formula>
    </cfRule>
    <cfRule type="cellIs" dxfId="2169" priority="2171" operator="lessThan">
      <formula>0.8</formula>
    </cfRule>
  </conditionalFormatting>
  <conditionalFormatting sqref="P83">
    <cfRule type="cellIs" dxfId="2168" priority="2169" operator="greaterThan">
      <formula>0</formula>
    </cfRule>
  </conditionalFormatting>
  <conditionalFormatting sqref="P83">
    <cfRule type="cellIs" dxfId="2167" priority="2163" operator="greaterThan">
      <formula>0</formula>
    </cfRule>
  </conditionalFormatting>
  <conditionalFormatting sqref="Q83">
    <cfRule type="cellIs" dxfId="2166" priority="2168" operator="lessThan">
      <formula>0</formula>
    </cfRule>
  </conditionalFormatting>
  <conditionalFormatting sqref="R83">
    <cfRule type="cellIs" dxfId="2165" priority="2166" operator="lessThan">
      <formula>0.8</formula>
    </cfRule>
    <cfRule type="cellIs" dxfId="2164" priority="2167" operator="greaterThan">
      <formula>1</formula>
    </cfRule>
  </conditionalFormatting>
  <conditionalFormatting sqref="R83">
    <cfRule type="cellIs" dxfId="2163" priority="2164" operator="greaterThan">
      <formula>1</formula>
    </cfRule>
    <cfRule type="cellIs" dxfId="2162" priority="2165" operator="lessThan">
      <formula>0.8</formula>
    </cfRule>
  </conditionalFormatting>
  <conditionalFormatting sqref="P83">
    <cfRule type="cellIs" dxfId="2161" priority="2157" operator="greaterThan">
      <formula>0</formula>
    </cfRule>
  </conditionalFormatting>
  <conditionalFormatting sqref="Q83">
    <cfRule type="cellIs" dxfId="2160" priority="2162" operator="lessThan">
      <formula>0</formula>
    </cfRule>
  </conditionalFormatting>
  <conditionalFormatting sqref="R83">
    <cfRule type="cellIs" dxfId="2159" priority="2160" operator="lessThan">
      <formula>0.8</formula>
    </cfRule>
    <cfRule type="cellIs" dxfId="2158" priority="2161" operator="greaterThan">
      <formula>1</formula>
    </cfRule>
  </conditionalFormatting>
  <conditionalFormatting sqref="R83">
    <cfRule type="cellIs" dxfId="2157" priority="2158" operator="greaterThan">
      <formula>1</formula>
    </cfRule>
    <cfRule type="cellIs" dxfId="2156" priority="2159" operator="lessThan">
      <formula>0.8</formula>
    </cfRule>
  </conditionalFormatting>
  <conditionalFormatting sqref="R83">
    <cfRule type="cellIs" dxfId="2155" priority="2154" operator="lessThan">
      <formula>0.8</formula>
    </cfRule>
    <cfRule type="cellIs" dxfId="2154" priority="2155" operator="greaterThan">
      <formula>1</formula>
    </cfRule>
  </conditionalFormatting>
  <conditionalFormatting sqref="R83">
    <cfRule type="cellIs" dxfId="2153" priority="2152" operator="greaterThan">
      <formula>1</formula>
    </cfRule>
    <cfRule type="cellIs" dxfId="2152" priority="2153" operator="lessThan">
      <formula>0.8</formula>
    </cfRule>
  </conditionalFormatting>
  <conditionalFormatting sqref="P83">
    <cfRule type="cellIs" dxfId="2151" priority="2151" operator="greaterThan">
      <formula>0</formula>
    </cfRule>
  </conditionalFormatting>
  <conditionalFormatting sqref="Q83">
    <cfRule type="cellIs" dxfId="2150" priority="2156" operator="lessThan">
      <formula>0</formula>
    </cfRule>
  </conditionalFormatting>
  <conditionalFormatting sqref="P83">
    <cfRule type="cellIs" dxfId="2149" priority="2145" operator="greaterThan">
      <formula>0</formula>
    </cfRule>
  </conditionalFormatting>
  <conditionalFormatting sqref="Q83">
    <cfRule type="cellIs" dxfId="2148" priority="2150" operator="lessThan">
      <formula>0</formula>
    </cfRule>
  </conditionalFormatting>
  <conditionalFormatting sqref="R83">
    <cfRule type="cellIs" dxfId="2147" priority="2148" operator="lessThan">
      <formula>0.8</formula>
    </cfRule>
    <cfRule type="cellIs" dxfId="2146" priority="2149" operator="greaterThan">
      <formula>1</formula>
    </cfRule>
  </conditionalFormatting>
  <conditionalFormatting sqref="R83">
    <cfRule type="cellIs" dxfId="2145" priority="2146" operator="greaterThan">
      <formula>1</formula>
    </cfRule>
    <cfRule type="cellIs" dxfId="2144" priority="2147" operator="lessThan">
      <formula>0.8</formula>
    </cfRule>
  </conditionalFormatting>
  <conditionalFormatting sqref="R83">
    <cfRule type="cellIs" dxfId="2143" priority="2142" operator="lessThan">
      <formula>0.8</formula>
    </cfRule>
    <cfRule type="cellIs" dxfId="2142" priority="2143" operator="greaterThan">
      <formula>1</formula>
    </cfRule>
  </conditionalFormatting>
  <conditionalFormatting sqref="R83">
    <cfRule type="cellIs" dxfId="2141" priority="2140" operator="greaterThan">
      <formula>1</formula>
    </cfRule>
    <cfRule type="cellIs" dxfId="2140" priority="2141" operator="lessThan">
      <formula>0.8</formula>
    </cfRule>
  </conditionalFormatting>
  <conditionalFormatting sqref="P83">
    <cfRule type="cellIs" dxfId="2139" priority="2139" operator="greaterThan">
      <formula>0</formula>
    </cfRule>
  </conditionalFormatting>
  <conditionalFormatting sqref="Q83">
    <cfRule type="cellIs" dxfId="2138" priority="2144" operator="lessThan">
      <formula>0</formula>
    </cfRule>
  </conditionalFormatting>
  <conditionalFormatting sqref="R83">
    <cfRule type="cellIs" dxfId="2137" priority="2136" operator="lessThan">
      <formula>0.8</formula>
    </cfRule>
    <cfRule type="cellIs" dxfId="2136" priority="2137" operator="greaterThan">
      <formula>1</formula>
    </cfRule>
  </conditionalFormatting>
  <conditionalFormatting sqref="R83">
    <cfRule type="cellIs" dxfId="2135" priority="2134" operator="greaterThan">
      <formula>1</formula>
    </cfRule>
    <cfRule type="cellIs" dxfId="2134" priority="2135" operator="lessThan">
      <formula>0.8</formula>
    </cfRule>
  </conditionalFormatting>
  <conditionalFormatting sqref="P83">
    <cfRule type="cellIs" dxfId="2133" priority="2133" operator="greaterThan">
      <formula>0</formula>
    </cfRule>
  </conditionalFormatting>
  <conditionalFormatting sqref="Q83">
    <cfRule type="cellIs" dxfId="2132" priority="2138" operator="lessThan">
      <formula>0</formula>
    </cfRule>
  </conditionalFormatting>
  <conditionalFormatting sqref="Q83">
    <cfRule type="cellIs" dxfId="2131" priority="2132" operator="lessThan">
      <formula>0</formula>
    </cfRule>
  </conditionalFormatting>
  <conditionalFormatting sqref="R83">
    <cfRule type="cellIs" dxfId="2130" priority="2130" operator="lessThan">
      <formula>0.8</formula>
    </cfRule>
    <cfRule type="cellIs" dxfId="2129" priority="2131" operator="greaterThan">
      <formula>1</formula>
    </cfRule>
  </conditionalFormatting>
  <conditionalFormatting sqref="R83">
    <cfRule type="cellIs" dxfId="2128" priority="2128" operator="greaterThan">
      <formula>1</formula>
    </cfRule>
    <cfRule type="cellIs" dxfId="2127" priority="2129" operator="lessThan">
      <formula>0.8</formula>
    </cfRule>
  </conditionalFormatting>
  <conditionalFormatting sqref="P83">
    <cfRule type="cellIs" dxfId="2126" priority="2127" operator="greaterThan">
      <formula>0</formula>
    </cfRule>
  </conditionalFormatting>
  <conditionalFormatting sqref="Q83">
    <cfRule type="cellIs" dxfId="2125" priority="2121" operator="lessThan">
      <formula>0</formula>
    </cfRule>
  </conditionalFormatting>
  <conditionalFormatting sqref="R83">
    <cfRule type="cellIs" dxfId="2124" priority="2125" operator="lessThan">
      <formula>0.8</formula>
    </cfRule>
    <cfRule type="cellIs" dxfId="2123" priority="2126" operator="greaterThan">
      <formula>1</formula>
    </cfRule>
  </conditionalFormatting>
  <conditionalFormatting sqref="R83">
    <cfRule type="cellIs" dxfId="2122" priority="2123" operator="greaterThan">
      <formula>1</formula>
    </cfRule>
    <cfRule type="cellIs" dxfId="2121" priority="2124" operator="lessThan">
      <formula>0.8</formula>
    </cfRule>
  </conditionalFormatting>
  <conditionalFormatting sqref="P83">
    <cfRule type="cellIs" dxfId="2120" priority="2122" operator="greaterThan">
      <formula>0</formula>
    </cfRule>
  </conditionalFormatting>
  <conditionalFormatting sqref="Q83">
    <cfRule type="cellIs" dxfId="2119" priority="2120" operator="lessThan">
      <formula>0</formula>
    </cfRule>
  </conditionalFormatting>
  <conditionalFormatting sqref="R83">
    <cfRule type="cellIs" dxfId="2118" priority="2118" operator="lessThan">
      <formula>0.8</formula>
    </cfRule>
    <cfRule type="cellIs" dxfId="2117" priority="2119" operator="greaterThan">
      <formula>1</formula>
    </cfRule>
  </conditionalFormatting>
  <conditionalFormatting sqref="R83">
    <cfRule type="cellIs" dxfId="2116" priority="2116" operator="greaterThan">
      <formula>1</formula>
    </cfRule>
    <cfRule type="cellIs" dxfId="2115" priority="2117" operator="lessThan">
      <formula>0.8</formula>
    </cfRule>
  </conditionalFormatting>
  <conditionalFormatting sqref="P83">
    <cfRule type="cellIs" dxfId="2114" priority="2115" operator="greaterThan">
      <formula>0</formula>
    </cfRule>
  </conditionalFormatting>
  <conditionalFormatting sqref="Q83">
    <cfRule type="cellIs" dxfId="2113" priority="2114" operator="lessThan">
      <formula>0</formula>
    </cfRule>
  </conditionalFormatting>
  <conditionalFormatting sqref="R83">
    <cfRule type="cellIs" dxfId="2112" priority="2112" operator="lessThan">
      <formula>0.8</formula>
    </cfRule>
    <cfRule type="cellIs" dxfId="2111" priority="2113" operator="greaterThan">
      <formula>1</formula>
    </cfRule>
  </conditionalFormatting>
  <conditionalFormatting sqref="R83">
    <cfRule type="cellIs" dxfId="2110" priority="2110" operator="greaterThan">
      <formula>1</formula>
    </cfRule>
    <cfRule type="cellIs" dxfId="2109" priority="2111" operator="lessThan">
      <formula>0.8</formula>
    </cfRule>
  </conditionalFormatting>
  <conditionalFormatting sqref="P83">
    <cfRule type="cellIs" dxfId="2108" priority="2109" operator="greaterThan">
      <formula>0</formula>
    </cfRule>
  </conditionalFormatting>
  <conditionalFormatting sqref="Q83">
    <cfRule type="cellIs" dxfId="2107" priority="2108" operator="lessThan">
      <formula>0</formula>
    </cfRule>
  </conditionalFormatting>
  <conditionalFormatting sqref="R83">
    <cfRule type="cellIs" dxfId="2106" priority="2106" operator="lessThan">
      <formula>0.8</formula>
    </cfRule>
    <cfRule type="cellIs" dxfId="2105" priority="2107" operator="greaterThan">
      <formula>1</formula>
    </cfRule>
  </conditionalFormatting>
  <conditionalFormatting sqref="R83">
    <cfRule type="cellIs" dxfId="2104" priority="2104" operator="greaterThan">
      <formula>1</formula>
    </cfRule>
    <cfRule type="cellIs" dxfId="2103" priority="2105" operator="lessThan">
      <formula>0.8</formula>
    </cfRule>
  </conditionalFormatting>
  <conditionalFormatting sqref="P83">
    <cfRule type="cellIs" dxfId="2102" priority="2103" operator="greaterThan">
      <formula>0</formula>
    </cfRule>
  </conditionalFormatting>
  <conditionalFormatting sqref="Q83">
    <cfRule type="cellIs" dxfId="2101" priority="2102" operator="lessThan">
      <formula>0</formula>
    </cfRule>
  </conditionalFormatting>
  <conditionalFormatting sqref="R83">
    <cfRule type="cellIs" dxfId="2100" priority="2100" operator="lessThan">
      <formula>0.8</formula>
    </cfRule>
    <cfRule type="cellIs" dxfId="2099" priority="2101" operator="greaterThan">
      <formula>1</formula>
    </cfRule>
  </conditionalFormatting>
  <conditionalFormatting sqref="R83">
    <cfRule type="cellIs" dxfId="2098" priority="2098" operator="greaterThan">
      <formula>1</formula>
    </cfRule>
    <cfRule type="cellIs" dxfId="2097" priority="2099" operator="lessThan">
      <formula>0.8</formula>
    </cfRule>
  </conditionalFormatting>
  <conditionalFormatting sqref="P83">
    <cfRule type="cellIs" dxfId="2096" priority="2097" operator="greaterThan">
      <formula>0</formula>
    </cfRule>
  </conditionalFormatting>
  <conditionalFormatting sqref="Q83">
    <cfRule type="cellIs" dxfId="2095" priority="2096" operator="lessThan">
      <formula>0</formula>
    </cfRule>
  </conditionalFormatting>
  <conditionalFormatting sqref="R83">
    <cfRule type="cellIs" dxfId="2094" priority="2094" operator="lessThan">
      <formula>0.8</formula>
    </cfRule>
    <cfRule type="cellIs" dxfId="2093" priority="2095" operator="greaterThan">
      <formula>1</formula>
    </cfRule>
  </conditionalFormatting>
  <conditionalFormatting sqref="R83">
    <cfRule type="cellIs" dxfId="2092" priority="2092" operator="greaterThan">
      <formula>1</formula>
    </cfRule>
    <cfRule type="cellIs" dxfId="2091" priority="2093" operator="lessThan">
      <formula>0.8</formula>
    </cfRule>
  </conditionalFormatting>
  <conditionalFormatting sqref="P83">
    <cfRule type="cellIs" dxfId="2090" priority="2091" operator="greaterThan">
      <formula>0</formula>
    </cfRule>
  </conditionalFormatting>
  <conditionalFormatting sqref="P83">
    <cfRule type="cellIs" dxfId="2089" priority="2085" operator="greaterThan">
      <formula>0</formula>
    </cfRule>
  </conditionalFormatting>
  <conditionalFormatting sqref="Q83">
    <cfRule type="cellIs" dxfId="2088" priority="2090" operator="lessThan">
      <formula>0</formula>
    </cfRule>
  </conditionalFormatting>
  <conditionalFormatting sqref="R83">
    <cfRule type="cellIs" dxfId="2087" priority="2088" operator="lessThan">
      <formula>0.8</formula>
    </cfRule>
    <cfRule type="cellIs" dxfId="2086" priority="2089" operator="greaterThan">
      <formula>1</formula>
    </cfRule>
  </conditionalFormatting>
  <conditionalFormatting sqref="R83">
    <cfRule type="cellIs" dxfId="2085" priority="2086" operator="greaterThan">
      <formula>1</formula>
    </cfRule>
    <cfRule type="cellIs" dxfId="2084" priority="2087" operator="lessThan">
      <formula>0.8</formula>
    </cfRule>
  </conditionalFormatting>
  <conditionalFormatting sqref="P83">
    <cfRule type="cellIs" dxfId="2083" priority="2079" operator="greaterThan">
      <formula>0</formula>
    </cfRule>
  </conditionalFormatting>
  <conditionalFormatting sqref="Q83">
    <cfRule type="cellIs" dxfId="2082" priority="2084" operator="lessThan">
      <formula>0</formula>
    </cfRule>
  </conditionalFormatting>
  <conditionalFormatting sqref="R83">
    <cfRule type="cellIs" dxfId="2081" priority="2082" operator="lessThan">
      <formula>0.8</formula>
    </cfRule>
    <cfRule type="cellIs" dxfId="2080" priority="2083" operator="greaterThan">
      <formula>1</formula>
    </cfRule>
  </conditionalFormatting>
  <conditionalFormatting sqref="R83">
    <cfRule type="cellIs" dxfId="2079" priority="2080" operator="greaterThan">
      <formula>1</formula>
    </cfRule>
    <cfRule type="cellIs" dxfId="2078" priority="2081" operator="lessThan">
      <formula>0.8</formula>
    </cfRule>
  </conditionalFormatting>
  <conditionalFormatting sqref="R83">
    <cfRule type="cellIs" dxfId="2077" priority="2076" operator="lessThan">
      <formula>0.8</formula>
    </cfRule>
    <cfRule type="cellIs" dxfId="2076" priority="2077" operator="greaterThan">
      <formula>1</formula>
    </cfRule>
  </conditionalFormatting>
  <conditionalFormatting sqref="R83">
    <cfRule type="cellIs" dxfId="2075" priority="2074" operator="greaterThan">
      <formula>1</formula>
    </cfRule>
    <cfRule type="cellIs" dxfId="2074" priority="2075" operator="lessThan">
      <formula>0.8</formula>
    </cfRule>
  </conditionalFormatting>
  <conditionalFormatting sqref="P83">
    <cfRule type="cellIs" dxfId="2073" priority="2073" operator="greaterThan">
      <formula>0</formula>
    </cfRule>
  </conditionalFormatting>
  <conditionalFormatting sqref="Q83">
    <cfRule type="cellIs" dxfId="2072" priority="2078" operator="lessThan">
      <formula>0</formula>
    </cfRule>
  </conditionalFormatting>
  <conditionalFormatting sqref="Q83">
    <cfRule type="cellIs" dxfId="2071" priority="2067" operator="lessThan">
      <formula>0</formula>
    </cfRule>
  </conditionalFormatting>
  <conditionalFormatting sqref="P83">
    <cfRule type="cellIs" dxfId="2070" priority="2068" operator="greaterThan">
      <formula>0</formula>
    </cfRule>
  </conditionalFormatting>
  <conditionalFormatting sqref="R83">
    <cfRule type="cellIs" dxfId="2069" priority="2071" operator="lessThan">
      <formula>0.8</formula>
    </cfRule>
    <cfRule type="cellIs" dxfId="2068" priority="2072" operator="greaterThan">
      <formula>1</formula>
    </cfRule>
  </conditionalFormatting>
  <conditionalFormatting sqref="R83">
    <cfRule type="cellIs" dxfId="2067" priority="2069" operator="greaterThan">
      <formula>1</formula>
    </cfRule>
    <cfRule type="cellIs" dxfId="2066" priority="2070" operator="lessThan">
      <formula>0.8</formula>
    </cfRule>
  </conditionalFormatting>
  <conditionalFormatting sqref="Q83">
    <cfRule type="cellIs" dxfId="2065" priority="2061" operator="lessThan">
      <formula>0</formula>
    </cfRule>
  </conditionalFormatting>
  <conditionalFormatting sqref="R83">
    <cfRule type="cellIs" dxfId="2064" priority="2065" operator="lessThan">
      <formula>0.8</formula>
    </cfRule>
    <cfRule type="cellIs" dxfId="2063" priority="2066" operator="greaterThan">
      <formula>1</formula>
    </cfRule>
  </conditionalFormatting>
  <conditionalFormatting sqref="R83">
    <cfRule type="cellIs" dxfId="2062" priority="2063" operator="greaterThan">
      <formula>1</formula>
    </cfRule>
    <cfRule type="cellIs" dxfId="2061" priority="2064" operator="lessThan">
      <formula>0.8</formula>
    </cfRule>
  </conditionalFormatting>
  <conditionalFormatting sqref="P83">
    <cfRule type="cellIs" dxfId="2060" priority="2062" operator="greaterThan">
      <formula>0</formula>
    </cfRule>
  </conditionalFormatting>
  <conditionalFormatting sqref="Q83">
    <cfRule type="cellIs" dxfId="2059" priority="2060" operator="lessThan">
      <formula>0</formula>
    </cfRule>
  </conditionalFormatting>
  <conditionalFormatting sqref="R83">
    <cfRule type="cellIs" dxfId="2058" priority="2058" operator="lessThan">
      <formula>0.8</formula>
    </cfRule>
    <cfRule type="cellIs" dxfId="2057" priority="2059" operator="greaterThan">
      <formula>1</formula>
    </cfRule>
  </conditionalFormatting>
  <conditionalFormatting sqref="R83">
    <cfRule type="cellIs" dxfId="2056" priority="2056" operator="greaterThan">
      <formula>1</formula>
    </cfRule>
    <cfRule type="cellIs" dxfId="2055" priority="2057" operator="lessThan">
      <formula>0.8</formula>
    </cfRule>
  </conditionalFormatting>
  <conditionalFormatting sqref="P83">
    <cfRule type="cellIs" dxfId="2054" priority="2055" operator="greaterThan">
      <formula>0</formula>
    </cfRule>
  </conditionalFormatting>
  <conditionalFormatting sqref="Q83">
    <cfRule type="cellIs" dxfId="2053" priority="2054" operator="lessThan">
      <formula>0</formula>
    </cfRule>
  </conditionalFormatting>
  <conditionalFormatting sqref="R83">
    <cfRule type="cellIs" dxfId="2052" priority="2052" operator="lessThan">
      <formula>0.8</formula>
    </cfRule>
    <cfRule type="cellIs" dxfId="2051" priority="2053" operator="greaterThan">
      <formula>1</formula>
    </cfRule>
  </conditionalFormatting>
  <conditionalFormatting sqref="R83">
    <cfRule type="cellIs" dxfId="2050" priority="2050" operator="greaterThan">
      <formula>1</formula>
    </cfRule>
    <cfRule type="cellIs" dxfId="2049" priority="2051" operator="lessThan">
      <formula>0.8</formula>
    </cfRule>
  </conditionalFormatting>
  <conditionalFormatting sqref="P83">
    <cfRule type="cellIs" dxfId="2048" priority="2049" operator="greaterThan">
      <formula>0</formula>
    </cfRule>
  </conditionalFormatting>
  <conditionalFormatting sqref="Q83">
    <cfRule type="cellIs" dxfId="2047" priority="2048" operator="lessThan">
      <formula>0</formula>
    </cfRule>
  </conditionalFormatting>
  <conditionalFormatting sqref="R83">
    <cfRule type="cellIs" dxfId="2046" priority="2046" operator="lessThan">
      <formula>0.8</formula>
    </cfRule>
    <cfRule type="cellIs" dxfId="2045" priority="2047" operator="greaterThan">
      <formula>1</formula>
    </cfRule>
  </conditionalFormatting>
  <conditionalFormatting sqref="R83">
    <cfRule type="cellIs" dxfId="2044" priority="2044" operator="greaterThan">
      <formula>1</formula>
    </cfRule>
    <cfRule type="cellIs" dxfId="2043" priority="2045" operator="lessThan">
      <formula>0.8</formula>
    </cfRule>
  </conditionalFormatting>
  <conditionalFormatting sqref="P83">
    <cfRule type="cellIs" dxfId="2042" priority="2043" operator="greaterThan">
      <formula>0</formula>
    </cfRule>
  </conditionalFormatting>
  <conditionalFormatting sqref="Q32:Q39">
    <cfRule type="cellIs" dxfId="2041" priority="2037" operator="lessThan">
      <formula>0</formula>
    </cfRule>
  </conditionalFormatting>
  <conditionalFormatting sqref="P32:P39">
    <cfRule type="cellIs" dxfId="2040" priority="2038" operator="greaterThan">
      <formula>0</formula>
    </cfRule>
  </conditionalFormatting>
  <conditionalFormatting sqref="R32:R39">
    <cfRule type="cellIs" dxfId="2039" priority="2041" operator="lessThan">
      <formula>0.8</formula>
    </cfRule>
    <cfRule type="cellIs" dxfId="2038" priority="2042" operator="greaterThan">
      <formula>1</formula>
    </cfRule>
  </conditionalFormatting>
  <conditionalFormatting sqref="R32:R39">
    <cfRule type="cellIs" dxfId="2037" priority="2039" operator="greaterThan">
      <formula>1</formula>
    </cfRule>
    <cfRule type="cellIs" dxfId="2036" priority="2040" operator="lessThan">
      <formula>0.8</formula>
    </cfRule>
  </conditionalFormatting>
  <conditionalFormatting sqref="Q32:Q39">
    <cfRule type="cellIs" dxfId="2035" priority="2031" operator="lessThan">
      <formula>0</formula>
    </cfRule>
  </conditionalFormatting>
  <conditionalFormatting sqref="R32:R39">
    <cfRule type="cellIs" dxfId="2034" priority="2035" operator="lessThan">
      <formula>0.8</formula>
    </cfRule>
    <cfRule type="cellIs" dxfId="2033" priority="2036" operator="greaterThan">
      <formula>1</formula>
    </cfRule>
  </conditionalFormatting>
  <conditionalFormatting sqref="R32:R39">
    <cfRule type="cellIs" dxfId="2032" priority="2033" operator="greaterThan">
      <formula>1</formula>
    </cfRule>
    <cfRule type="cellIs" dxfId="2031" priority="2034" operator="lessThan">
      <formula>0.8</formula>
    </cfRule>
  </conditionalFormatting>
  <conditionalFormatting sqref="P32:P39">
    <cfRule type="cellIs" dxfId="2030" priority="2032" operator="greaterThan">
      <formula>0</formula>
    </cfRule>
  </conditionalFormatting>
  <conditionalFormatting sqref="Q32:Q39">
    <cfRule type="cellIs" dxfId="2029" priority="2030" operator="lessThan">
      <formula>0</formula>
    </cfRule>
  </conditionalFormatting>
  <conditionalFormatting sqref="R32:R39">
    <cfRule type="cellIs" dxfId="2028" priority="2028" operator="lessThan">
      <formula>0.8</formula>
    </cfRule>
    <cfRule type="cellIs" dxfId="2027" priority="2029" operator="greaterThan">
      <formula>1</formula>
    </cfRule>
  </conditionalFormatting>
  <conditionalFormatting sqref="R32:R39">
    <cfRule type="cellIs" dxfId="2026" priority="2026" operator="greaterThan">
      <formula>1</formula>
    </cfRule>
    <cfRule type="cellIs" dxfId="2025" priority="2027" operator="lessThan">
      <formula>0.8</formula>
    </cfRule>
  </conditionalFormatting>
  <conditionalFormatting sqref="P32:P39">
    <cfRule type="cellIs" dxfId="2024" priority="2025" operator="greaterThan">
      <formula>0</formula>
    </cfRule>
  </conditionalFormatting>
  <conditionalFormatting sqref="Q32:Q39">
    <cfRule type="cellIs" dxfId="2023" priority="2024" operator="lessThan">
      <formula>0</formula>
    </cfRule>
  </conditionalFormatting>
  <conditionalFormatting sqref="R32:R39">
    <cfRule type="cellIs" dxfId="2022" priority="2022" operator="lessThan">
      <formula>0.8</formula>
    </cfRule>
    <cfRule type="cellIs" dxfId="2021" priority="2023" operator="greaterThan">
      <formula>1</formula>
    </cfRule>
  </conditionalFormatting>
  <conditionalFormatting sqref="R32:R39">
    <cfRule type="cellIs" dxfId="2020" priority="2020" operator="greaterThan">
      <formula>1</formula>
    </cfRule>
    <cfRule type="cellIs" dxfId="2019" priority="2021" operator="lessThan">
      <formula>0.8</formula>
    </cfRule>
  </conditionalFormatting>
  <conditionalFormatting sqref="P32:P39">
    <cfRule type="cellIs" dxfId="2018" priority="2019" operator="greaterThan">
      <formula>0</formula>
    </cfRule>
  </conditionalFormatting>
  <conditionalFormatting sqref="Q32:Q39">
    <cfRule type="cellIs" dxfId="2017" priority="2013" operator="lessThan">
      <formula>0</formula>
    </cfRule>
  </conditionalFormatting>
  <conditionalFormatting sqref="R32:R39">
    <cfRule type="cellIs" dxfId="2016" priority="2017" operator="lessThan">
      <formula>0.8</formula>
    </cfRule>
    <cfRule type="cellIs" dxfId="2015" priority="2018" operator="greaterThan">
      <formula>1</formula>
    </cfRule>
  </conditionalFormatting>
  <conditionalFormatting sqref="R32:R39">
    <cfRule type="cellIs" dxfId="2014" priority="2015" operator="greaterThan">
      <formula>1</formula>
    </cfRule>
    <cfRule type="cellIs" dxfId="2013" priority="2016" operator="lessThan">
      <formula>0.8</formula>
    </cfRule>
  </conditionalFormatting>
  <conditionalFormatting sqref="P32:P39">
    <cfRule type="cellIs" dxfId="2012" priority="2014" operator="greaterThan">
      <formula>0</formula>
    </cfRule>
  </conditionalFormatting>
  <conditionalFormatting sqref="Q32:Q39">
    <cfRule type="cellIs" dxfId="2011" priority="2012" operator="lessThan">
      <formula>0</formula>
    </cfRule>
  </conditionalFormatting>
  <conditionalFormatting sqref="R32:R39">
    <cfRule type="cellIs" dxfId="2010" priority="2010" operator="lessThan">
      <formula>0.8</formula>
    </cfRule>
    <cfRule type="cellIs" dxfId="2009" priority="2011" operator="greaterThan">
      <formula>1</formula>
    </cfRule>
  </conditionalFormatting>
  <conditionalFormatting sqref="R32:R39">
    <cfRule type="cellIs" dxfId="2008" priority="2008" operator="greaterThan">
      <formula>1</formula>
    </cfRule>
    <cfRule type="cellIs" dxfId="2007" priority="2009" operator="lessThan">
      <formula>0.8</formula>
    </cfRule>
  </conditionalFormatting>
  <conditionalFormatting sqref="P32:P39">
    <cfRule type="cellIs" dxfId="2006" priority="2007" operator="greaterThan">
      <formula>0</formula>
    </cfRule>
  </conditionalFormatting>
  <conditionalFormatting sqref="Q32:Q39">
    <cfRule type="cellIs" dxfId="2005" priority="2006" operator="lessThan">
      <formula>0</formula>
    </cfRule>
  </conditionalFormatting>
  <conditionalFormatting sqref="R32:R39">
    <cfRule type="cellIs" dxfId="2004" priority="2004" operator="lessThan">
      <formula>0.8</formula>
    </cfRule>
    <cfRule type="cellIs" dxfId="2003" priority="2005" operator="greaterThan">
      <formula>1</formula>
    </cfRule>
  </conditionalFormatting>
  <conditionalFormatting sqref="R32:R39">
    <cfRule type="cellIs" dxfId="2002" priority="2002" operator="greaterThan">
      <formula>1</formula>
    </cfRule>
    <cfRule type="cellIs" dxfId="2001" priority="2003" operator="lessThan">
      <formula>0.8</formula>
    </cfRule>
  </conditionalFormatting>
  <conditionalFormatting sqref="P32:P39">
    <cfRule type="cellIs" dxfId="2000" priority="2001" operator="greaterThan">
      <formula>0</formula>
    </cfRule>
  </conditionalFormatting>
  <conditionalFormatting sqref="Q32:Q39">
    <cfRule type="cellIs" dxfId="1999" priority="2000" operator="lessThan">
      <formula>0</formula>
    </cfRule>
  </conditionalFormatting>
  <conditionalFormatting sqref="R32:R39">
    <cfRule type="cellIs" dxfId="1998" priority="1998" operator="lessThan">
      <formula>0.8</formula>
    </cfRule>
    <cfRule type="cellIs" dxfId="1997" priority="1999" operator="greaterThan">
      <formula>1</formula>
    </cfRule>
  </conditionalFormatting>
  <conditionalFormatting sqref="R32:R39">
    <cfRule type="cellIs" dxfId="1996" priority="1996" operator="greaterThan">
      <formula>1</formula>
    </cfRule>
    <cfRule type="cellIs" dxfId="1995" priority="1997" operator="lessThan">
      <formula>0.8</formula>
    </cfRule>
  </conditionalFormatting>
  <conditionalFormatting sqref="P32:P39">
    <cfRule type="cellIs" dxfId="1994" priority="1995" operator="greaterThan">
      <formula>0</formula>
    </cfRule>
  </conditionalFormatting>
  <conditionalFormatting sqref="Q32:Q39">
    <cfRule type="cellIs" dxfId="1993" priority="1994" operator="lessThan">
      <formula>0</formula>
    </cfRule>
  </conditionalFormatting>
  <conditionalFormatting sqref="R32:R39">
    <cfRule type="cellIs" dxfId="1992" priority="1992" operator="lessThan">
      <formula>0.8</formula>
    </cfRule>
    <cfRule type="cellIs" dxfId="1991" priority="1993" operator="greaterThan">
      <formula>1</formula>
    </cfRule>
  </conditionalFormatting>
  <conditionalFormatting sqref="R32:R39">
    <cfRule type="cellIs" dxfId="1990" priority="1990" operator="greaterThan">
      <formula>1</formula>
    </cfRule>
    <cfRule type="cellIs" dxfId="1989" priority="1991" operator="lessThan">
      <formula>0.8</formula>
    </cfRule>
  </conditionalFormatting>
  <conditionalFormatting sqref="P32:P39">
    <cfRule type="cellIs" dxfId="1988" priority="1989" operator="greaterThan">
      <formula>0</formula>
    </cfRule>
  </conditionalFormatting>
  <conditionalFormatting sqref="Q32:Q39">
    <cfRule type="cellIs" dxfId="1987" priority="1988" operator="lessThan">
      <formula>0</formula>
    </cfRule>
  </conditionalFormatting>
  <conditionalFormatting sqref="R32:R39">
    <cfRule type="cellIs" dxfId="1986" priority="1986" operator="lessThan">
      <formula>0.8</formula>
    </cfRule>
    <cfRule type="cellIs" dxfId="1985" priority="1987" operator="greaterThan">
      <formula>1</formula>
    </cfRule>
  </conditionalFormatting>
  <conditionalFormatting sqref="R32:R39">
    <cfRule type="cellIs" dxfId="1984" priority="1984" operator="greaterThan">
      <formula>1</formula>
    </cfRule>
    <cfRule type="cellIs" dxfId="1983" priority="1985" operator="lessThan">
      <formula>0.8</formula>
    </cfRule>
  </conditionalFormatting>
  <conditionalFormatting sqref="P32:P39">
    <cfRule type="cellIs" dxfId="1982" priority="1983" operator="greaterThan">
      <formula>0</formula>
    </cfRule>
  </conditionalFormatting>
  <conditionalFormatting sqref="P32:P39">
    <cfRule type="cellIs" dxfId="1981" priority="1977" operator="greaterThan">
      <formula>0</formula>
    </cfRule>
  </conditionalFormatting>
  <conditionalFormatting sqref="Q32:Q39">
    <cfRule type="cellIs" dxfId="1980" priority="1982" operator="lessThan">
      <formula>0</formula>
    </cfRule>
  </conditionalFormatting>
  <conditionalFormatting sqref="R32:R39">
    <cfRule type="cellIs" dxfId="1979" priority="1980" operator="lessThan">
      <formula>0.8</formula>
    </cfRule>
    <cfRule type="cellIs" dxfId="1978" priority="1981" operator="greaterThan">
      <formula>1</formula>
    </cfRule>
  </conditionalFormatting>
  <conditionalFormatting sqref="R32:R39">
    <cfRule type="cellIs" dxfId="1977" priority="1978" operator="greaterThan">
      <formula>1</formula>
    </cfRule>
    <cfRule type="cellIs" dxfId="1976" priority="1979" operator="lessThan">
      <formula>0.8</formula>
    </cfRule>
  </conditionalFormatting>
  <conditionalFormatting sqref="P32:P39">
    <cfRule type="cellIs" dxfId="1975" priority="1971" operator="greaterThan">
      <formula>0</formula>
    </cfRule>
  </conditionalFormatting>
  <conditionalFormatting sqref="Q32:Q39">
    <cfRule type="cellIs" dxfId="1974" priority="1976" operator="lessThan">
      <formula>0</formula>
    </cfRule>
  </conditionalFormatting>
  <conditionalFormatting sqref="R32:R39">
    <cfRule type="cellIs" dxfId="1973" priority="1974" operator="lessThan">
      <formula>0.8</formula>
    </cfRule>
    <cfRule type="cellIs" dxfId="1972" priority="1975" operator="greaterThan">
      <formula>1</formula>
    </cfRule>
  </conditionalFormatting>
  <conditionalFormatting sqref="R32:R39">
    <cfRule type="cellIs" dxfId="1971" priority="1972" operator="greaterThan">
      <formula>1</formula>
    </cfRule>
    <cfRule type="cellIs" dxfId="1970" priority="1973" operator="lessThan">
      <formula>0.8</formula>
    </cfRule>
  </conditionalFormatting>
  <conditionalFormatting sqref="R32:R39">
    <cfRule type="cellIs" dxfId="1969" priority="1968" operator="lessThan">
      <formula>0.8</formula>
    </cfRule>
    <cfRule type="cellIs" dxfId="1968" priority="1969" operator="greaterThan">
      <formula>1</formula>
    </cfRule>
  </conditionalFormatting>
  <conditionalFormatting sqref="R32:R39">
    <cfRule type="cellIs" dxfId="1967" priority="1966" operator="greaterThan">
      <formula>1</formula>
    </cfRule>
    <cfRule type="cellIs" dxfId="1966" priority="1967" operator="lessThan">
      <formula>0.8</formula>
    </cfRule>
  </conditionalFormatting>
  <conditionalFormatting sqref="P32:P39">
    <cfRule type="cellIs" dxfId="1965" priority="1965" operator="greaterThan">
      <formula>0</formula>
    </cfRule>
  </conditionalFormatting>
  <conditionalFormatting sqref="Q32:Q39">
    <cfRule type="cellIs" dxfId="1964" priority="1970" operator="lessThan">
      <formula>0</formula>
    </cfRule>
  </conditionalFormatting>
  <conditionalFormatting sqref="Q32:Q39">
    <cfRule type="cellIs" dxfId="1963" priority="1959" operator="lessThan">
      <formula>0</formula>
    </cfRule>
  </conditionalFormatting>
  <conditionalFormatting sqref="P32:P39">
    <cfRule type="cellIs" dxfId="1962" priority="1960" operator="greaterThan">
      <formula>0</formula>
    </cfRule>
  </conditionalFormatting>
  <conditionalFormatting sqref="R32:R39">
    <cfRule type="cellIs" dxfId="1961" priority="1963" operator="lessThan">
      <formula>0.8</formula>
    </cfRule>
    <cfRule type="cellIs" dxfId="1960" priority="1964" operator="greaterThan">
      <formula>1</formula>
    </cfRule>
  </conditionalFormatting>
  <conditionalFormatting sqref="R32:R39">
    <cfRule type="cellIs" dxfId="1959" priority="1961" operator="greaterThan">
      <formula>1</formula>
    </cfRule>
    <cfRule type="cellIs" dxfId="1958" priority="1962" operator="lessThan">
      <formula>0.8</formula>
    </cfRule>
  </conditionalFormatting>
  <conditionalFormatting sqref="Q32:Q39">
    <cfRule type="cellIs" dxfId="1957" priority="1953" operator="lessThan">
      <formula>0</formula>
    </cfRule>
  </conditionalFormatting>
  <conditionalFormatting sqref="R32:R39">
    <cfRule type="cellIs" dxfId="1956" priority="1957" operator="lessThan">
      <formula>0.8</formula>
    </cfRule>
    <cfRule type="cellIs" dxfId="1955" priority="1958" operator="greaterThan">
      <formula>1</formula>
    </cfRule>
  </conditionalFormatting>
  <conditionalFormatting sqref="R32:R39">
    <cfRule type="cellIs" dxfId="1954" priority="1955" operator="greaterThan">
      <formula>1</formula>
    </cfRule>
    <cfRule type="cellIs" dxfId="1953" priority="1956" operator="lessThan">
      <formula>0.8</formula>
    </cfRule>
  </conditionalFormatting>
  <conditionalFormatting sqref="P32:P39">
    <cfRule type="cellIs" dxfId="1952" priority="1954" operator="greaterThan">
      <formula>0</formula>
    </cfRule>
  </conditionalFormatting>
  <conditionalFormatting sqref="Q32:Q39">
    <cfRule type="cellIs" dxfId="1951" priority="1952" operator="lessThan">
      <formula>0</formula>
    </cfRule>
  </conditionalFormatting>
  <conditionalFormatting sqref="R32:R39">
    <cfRule type="cellIs" dxfId="1950" priority="1950" operator="lessThan">
      <formula>0.8</formula>
    </cfRule>
    <cfRule type="cellIs" dxfId="1949" priority="1951" operator="greaterThan">
      <formula>1</formula>
    </cfRule>
  </conditionalFormatting>
  <conditionalFormatting sqref="R32:R39">
    <cfRule type="cellIs" dxfId="1948" priority="1948" operator="greaterThan">
      <formula>1</formula>
    </cfRule>
    <cfRule type="cellIs" dxfId="1947" priority="1949" operator="lessThan">
      <formula>0.8</formula>
    </cfRule>
  </conditionalFormatting>
  <conditionalFormatting sqref="P32:P39">
    <cfRule type="cellIs" dxfId="1946" priority="1947" operator="greaterThan">
      <formula>0</formula>
    </cfRule>
  </conditionalFormatting>
  <conditionalFormatting sqref="Q32:Q39">
    <cfRule type="cellIs" dxfId="1945" priority="1946" operator="lessThan">
      <formula>0</formula>
    </cfRule>
  </conditionalFormatting>
  <conditionalFormatting sqref="R32:R39">
    <cfRule type="cellIs" dxfId="1944" priority="1944" operator="lessThan">
      <formula>0.8</formula>
    </cfRule>
    <cfRule type="cellIs" dxfId="1943" priority="1945" operator="greaterThan">
      <formula>1</formula>
    </cfRule>
  </conditionalFormatting>
  <conditionalFormatting sqref="R32:R39">
    <cfRule type="cellIs" dxfId="1942" priority="1942" operator="greaterThan">
      <formula>1</formula>
    </cfRule>
    <cfRule type="cellIs" dxfId="1941" priority="1943" operator="lessThan">
      <formula>0.8</formula>
    </cfRule>
  </conditionalFormatting>
  <conditionalFormatting sqref="P32:P39">
    <cfRule type="cellIs" dxfId="1940" priority="1941" operator="greaterThan">
      <formula>0</formula>
    </cfRule>
  </conditionalFormatting>
  <conditionalFormatting sqref="Q32:Q39">
    <cfRule type="cellIs" dxfId="1939" priority="1935" operator="lessThan">
      <formula>0</formula>
    </cfRule>
  </conditionalFormatting>
  <conditionalFormatting sqref="P32:P39">
    <cfRule type="cellIs" dxfId="1938" priority="1936" operator="greaterThan">
      <formula>0</formula>
    </cfRule>
  </conditionalFormatting>
  <conditionalFormatting sqref="R32:R39">
    <cfRule type="cellIs" dxfId="1937" priority="1939" operator="lessThan">
      <formula>0.8</formula>
    </cfRule>
    <cfRule type="cellIs" dxfId="1936" priority="1940" operator="greaterThan">
      <formula>1</formula>
    </cfRule>
  </conditionalFormatting>
  <conditionalFormatting sqref="R32:R39">
    <cfRule type="cellIs" dxfId="1935" priority="1937" operator="greaterThan">
      <formula>1</formula>
    </cfRule>
    <cfRule type="cellIs" dxfId="1934" priority="1938" operator="lessThan">
      <formula>0.8</formula>
    </cfRule>
  </conditionalFormatting>
  <conditionalFormatting sqref="Q32:Q39">
    <cfRule type="cellIs" dxfId="1933" priority="1929" operator="lessThan">
      <formula>0</formula>
    </cfRule>
  </conditionalFormatting>
  <conditionalFormatting sqref="R32:R39">
    <cfRule type="cellIs" dxfId="1932" priority="1933" operator="lessThan">
      <formula>0.8</formula>
    </cfRule>
    <cfRule type="cellIs" dxfId="1931" priority="1934" operator="greaterThan">
      <formula>1</formula>
    </cfRule>
  </conditionalFormatting>
  <conditionalFormatting sqref="R32:R39">
    <cfRule type="cellIs" dxfId="1930" priority="1931" operator="greaterThan">
      <formula>1</formula>
    </cfRule>
    <cfRule type="cellIs" dxfId="1929" priority="1932" operator="lessThan">
      <formula>0.8</formula>
    </cfRule>
  </conditionalFormatting>
  <conditionalFormatting sqref="P32:P39">
    <cfRule type="cellIs" dxfId="1928" priority="1930" operator="greaterThan">
      <formula>0</formula>
    </cfRule>
  </conditionalFormatting>
  <conditionalFormatting sqref="Q32:Q39">
    <cfRule type="cellIs" dxfId="1927" priority="1928" operator="lessThan">
      <formula>0</formula>
    </cfRule>
  </conditionalFormatting>
  <conditionalFormatting sqref="R32:R39">
    <cfRule type="cellIs" dxfId="1926" priority="1926" operator="lessThan">
      <formula>0.8</formula>
    </cfRule>
    <cfRule type="cellIs" dxfId="1925" priority="1927" operator="greaterThan">
      <formula>1</formula>
    </cfRule>
  </conditionalFormatting>
  <conditionalFormatting sqref="R32:R39">
    <cfRule type="cellIs" dxfId="1924" priority="1924" operator="greaterThan">
      <formula>1</formula>
    </cfRule>
    <cfRule type="cellIs" dxfId="1923" priority="1925" operator="lessThan">
      <formula>0.8</formula>
    </cfRule>
  </conditionalFormatting>
  <conditionalFormatting sqref="P32:P39">
    <cfRule type="cellIs" dxfId="1922" priority="1923" operator="greaterThan">
      <formula>0</formula>
    </cfRule>
  </conditionalFormatting>
  <conditionalFormatting sqref="Q32:Q39">
    <cfRule type="cellIs" dxfId="1921" priority="1922" operator="lessThan">
      <formula>0</formula>
    </cfRule>
  </conditionalFormatting>
  <conditionalFormatting sqref="R32:R39">
    <cfRule type="cellIs" dxfId="1920" priority="1920" operator="lessThan">
      <formula>0.8</formula>
    </cfRule>
    <cfRule type="cellIs" dxfId="1919" priority="1921" operator="greaterThan">
      <formula>1</formula>
    </cfRule>
  </conditionalFormatting>
  <conditionalFormatting sqref="R32:R39">
    <cfRule type="cellIs" dxfId="1918" priority="1918" operator="greaterThan">
      <formula>1</formula>
    </cfRule>
    <cfRule type="cellIs" dxfId="1917" priority="1919" operator="lessThan">
      <formula>0.8</formula>
    </cfRule>
  </conditionalFormatting>
  <conditionalFormatting sqref="P32:P39">
    <cfRule type="cellIs" dxfId="1916" priority="1917" operator="greaterThan">
      <formula>0</formula>
    </cfRule>
  </conditionalFormatting>
  <conditionalFormatting sqref="Q19:Q24">
    <cfRule type="cellIs" dxfId="1915" priority="1916" operator="lessThan">
      <formula>0</formula>
    </cfRule>
  </conditionalFormatting>
  <conditionalFormatting sqref="R19:R24">
    <cfRule type="cellIs" dxfId="1914" priority="1914" operator="lessThan">
      <formula>0.8</formula>
    </cfRule>
    <cfRule type="cellIs" dxfId="1913" priority="1915" operator="greaterThan">
      <formula>1</formula>
    </cfRule>
  </conditionalFormatting>
  <conditionalFormatting sqref="R19:R24">
    <cfRule type="cellIs" dxfId="1912" priority="1912" operator="greaterThan">
      <formula>1</formula>
    </cfRule>
    <cfRule type="cellIs" dxfId="1911" priority="1913" operator="lessThan">
      <formula>0.8</formula>
    </cfRule>
  </conditionalFormatting>
  <conditionalFormatting sqref="P19:P24">
    <cfRule type="cellIs" dxfId="1910" priority="1911" operator="greaterThan">
      <formula>0</formula>
    </cfRule>
  </conditionalFormatting>
  <conditionalFormatting sqref="R19:R24">
    <cfRule type="cellIs" dxfId="1909" priority="1908" operator="lessThan">
      <formula>0.8</formula>
    </cfRule>
    <cfRule type="cellIs" dxfId="1908" priority="1909" operator="greaterThan">
      <formula>1</formula>
    </cfRule>
  </conditionalFormatting>
  <conditionalFormatting sqref="R19:R24">
    <cfRule type="cellIs" dxfId="1907" priority="1906" operator="greaterThan">
      <formula>1</formula>
    </cfRule>
    <cfRule type="cellIs" dxfId="1906" priority="1907" operator="lessThan">
      <formula>0.8</formula>
    </cfRule>
  </conditionalFormatting>
  <conditionalFormatting sqref="P19:P24">
    <cfRule type="cellIs" dxfId="1905" priority="1905" operator="greaterThan">
      <formula>0</formula>
    </cfRule>
  </conditionalFormatting>
  <conditionalFormatting sqref="Q19:Q24">
    <cfRule type="cellIs" dxfId="1904" priority="1910" operator="lessThan">
      <formula>0</formula>
    </cfRule>
  </conditionalFormatting>
  <conditionalFormatting sqref="R19:R24">
    <cfRule type="cellIs" dxfId="1903" priority="1902" operator="lessThan">
      <formula>0.8</formula>
    </cfRule>
    <cfRule type="cellIs" dxfId="1902" priority="1903" operator="greaterThan">
      <formula>1</formula>
    </cfRule>
  </conditionalFormatting>
  <conditionalFormatting sqref="R19:R24">
    <cfRule type="cellIs" dxfId="1901" priority="1900" operator="greaterThan">
      <formula>1</formula>
    </cfRule>
    <cfRule type="cellIs" dxfId="1900" priority="1901" operator="lessThan">
      <formula>0.8</formula>
    </cfRule>
  </conditionalFormatting>
  <conditionalFormatting sqref="P19:P24">
    <cfRule type="cellIs" dxfId="1899" priority="1899" operator="greaterThan">
      <formula>0</formula>
    </cfRule>
  </conditionalFormatting>
  <conditionalFormatting sqref="Q19:Q24">
    <cfRule type="cellIs" dxfId="1898" priority="1904" operator="lessThan">
      <formula>0</formula>
    </cfRule>
  </conditionalFormatting>
  <conditionalFormatting sqref="Q19:Q24">
    <cfRule type="cellIs" dxfId="1897" priority="1898" operator="lessThan">
      <formula>0</formula>
    </cfRule>
  </conditionalFormatting>
  <conditionalFormatting sqref="R19:R24">
    <cfRule type="cellIs" dxfId="1896" priority="1896" operator="lessThan">
      <formula>0.8</formula>
    </cfRule>
    <cfRule type="cellIs" dxfId="1895" priority="1897" operator="greaterThan">
      <formula>1</formula>
    </cfRule>
  </conditionalFormatting>
  <conditionalFormatting sqref="R19:R24">
    <cfRule type="cellIs" dxfId="1894" priority="1894" operator="greaterThan">
      <formula>1</formula>
    </cfRule>
    <cfRule type="cellIs" dxfId="1893" priority="1895" operator="lessThan">
      <formula>0.8</formula>
    </cfRule>
  </conditionalFormatting>
  <conditionalFormatting sqref="P19:P24">
    <cfRule type="cellIs" dxfId="1892" priority="1893" operator="greaterThan">
      <formula>0</formula>
    </cfRule>
  </conditionalFormatting>
  <conditionalFormatting sqref="Q135:Q136">
    <cfRule type="cellIs" dxfId="1891" priority="1892" operator="lessThan">
      <formula>0</formula>
    </cfRule>
  </conditionalFormatting>
  <conditionalFormatting sqref="R135:R136">
    <cfRule type="cellIs" dxfId="1890" priority="1890" operator="lessThan">
      <formula>0.8</formula>
    </cfRule>
    <cfRule type="cellIs" dxfId="1889" priority="1891" operator="greaterThan">
      <formula>1</formula>
    </cfRule>
  </conditionalFormatting>
  <conditionalFormatting sqref="R135:R136">
    <cfRule type="cellIs" dxfId="1888" priority="1888" operator="greaterThan">
      <formula>1</formula>
    </cfRule>
    <cfRule type="cellIs" dxfId="1887" priority="1889" operator="lessThan">
      <formula>0.8</formula>
    </cfRule>
  </conditionalFormatting>
  <conditionalFormatting sqref="P135:P136">
    <cfRule type="cellIs" dxfId="1886" priority="1887" operator="greaterThan">
      <formula>0</formula>
    </cfRule>
  </conditionalFormatting>
  <conditionalFormatting sqref="P135:P136">
    <cfRule type="cellIs" dxfId="1885" priority="1881" operator="greaterThan">
      <formula>0</formula>
    </cfRule>
  </conditionalFormatting>
  <conditionalFormatting sqref="Q135:Q136">
    <cfRule type="cellIs" dxfId="1884" priority="1886" operator="lessThan">
      <formula>0</formula>
    </cfRule>
  </conditionalFormatting>
  <conditionalFormatting sqref="R135:R136">
    <cfRule type="cellIs" dxfId="1883" priority="1884" operator="lessThan">
      <formula>0.8</formula>
    </cfRule>
    <cfRule type="cellIs" dxfId="1882" priority="1885" operator="greaterThan">
      <formula>1</formula>
    </cfRule>
  </conditionalFormatting>
  <conditionalFormatting sqref="R135:R136">
    <cfRule type="cellIs" dxfId="1881" priority="1882" operator="greaterThan">
      <formula>1</formula>
    </cfRule>
    <cfRule type="cellIs" dxfId="1880" priority="1883" operator="lessThan">
      <formula>0.8</formula>
    </cfRule>
  </conditionalFormatting>
  <conditionalFormatting sqref="Q25">
    <cfRule type="cellIs" dxfId="1879" priority="1880" operator="lessThan">
      <formula>0</formula>
    </cfRule>
  </conditionalFormatting>
  <conditionalFormatting sqref="R25">
    <cfRule type="cellIs" dxfId="1878" priority="1878" operator="lessThan">
      <formula>0.8</formula>
    </cfRule>
    <cfRule type="cellIs" dxfId="1877" priority="1879" operator="greaterThan">
      <formula>1</formula>
    </cfRule>
  </conditionalFormatting>
  <conditionalFormatting sqref="R25">
    <cfRule type="cellIs" dxfId="1876" priority="1876" operator="greaterThan">
      <formula>1</formula>
    </cfRule>
    <cfRule type="cellIs" dxfId="1875" priority="1877" operator="lessThan">
      <formula>0.8</formula>
    </cfRule>
  </conditionalFormatting>
  <conditionalFormatting sqref="P25">
    <cfRule type="cellIs" dxfId="1874" priority="1875" operator="greaterThan">
      <formula>0</formula>
    </cfRule>
  </conditionalFormatting>
  <conditionalFormatting sqref="R25">
    <cfRule type="cellIs" dxfId="1873" priority="1872" operator="lessThan">
      <formula>0.8</formula>
    </cfRule>
    <cfRule type="cellIs" dxfId="1872" priority="1873" operator="greaterThan">
      <formula>1</formula>
    </cfRule>
  </conditionalFormatting>
  <conditionalFormatting sqref="R25">
    <cfRule type="cellIs" dxfId="1871" priority="1870" operator="greaterThan">
      <formula>1</formula>
    </cfRule>
    <cfRule type="cellIs" dxfId="1870" priority="1871" operator="lessThan">
      <formula>0.8</formula>
    </cfRule>
  </conditionalFormatting>
  <conditionalFormatting sqref="P25">
    <cfRule type="cellIs" dxfId="1869" priority="1869" operator="greaterThan">
      <formula>0</formula>
    </cfRule>
  </conditionalFormatting>
  <conditionalFormatting sqref="Q25">
    <cfRule type="cellIs" dxfId="1868" priority="1874" operator="lessThan">
      <formula>0</formula>
    </cfRule>
  </conditionalFormatting>
  <conditionalFormatting sqref="R25">
    <cfRule type="cellIs" dxfId="1867" priority="1866" operator="lessThan">
      <formula>0.8</formula>
    </cfRule>
    <cfRule type="cellIs" dxfId="1866" priority="1867" operator="greaterThan">
      <formula>1</formula>
    </cfRule>
  </conditionalFormatting>
  <conditionalFormatting sqref="R25">
    <cfRule type="cellIs" dxfId="1865" priority="1864" operator="greaterThan">
      <formula>1</formula>
    </cfRule>
    <cfRule type="cellIs" dxfId="1864" priority="1865" operator="lessThan">
      <formula>0.8</formula>
    </cfRule>
  </conditionalFormatting>
  <conditionalFormatting sqref="P25">
    <cfRule type="cellIs" dxfId="1863" priority="1863" operator="greaterThan">
      <formula>0</formula>
    </cfRule>
  </conditionalFormatting>
  <conditionalFormatting sqref="Q25">
    <cfRule type="cellIs" dxfId="1862" priority="1868" operator="lessThan">
      <formula>0</formula>
    </cfRule>
  </conditionalFormatting>
  <conditionalFormatting sqref="Q25">
    <cfRule type="cellIs" dxfId="1861" priority="1862" operator="lessThan">
      <formula>0</formula>
    </cfRule>
  </conditionalFormatting>
  <conditionalFormatting sqref="R25">
    <cfRule type="cellIs" dxfId="1860" priority="1860" operator="lessThan">
      <formula>0.8</formula>
    </cfRule>
    <cfRule type="cellIs" dxfId="1859" priority="1861" operator="greaterThan">
      <formula>1</formula>
    </cfRule>
  </conditionalFormatting>
  <conditionalFormatting sqref="R25">
    <cfRule type="cellIs" dxfId="1858" priority="1858" operator="greaterThan">
      <formula>1</formula>
    </cfRule>
    <cfRule type="cellIs" dxfId="1857" priority="1859" operator="lessThan">
      <formula>0.8</formula>
    </cfRule>
  </conditionalFormatting>
  <conditionalFormatting sqref="P25">
    <cfRule type="cellIs" dxfId="1856" priority="1857" operator="greaterThan">
      <formula>0</formula>
    </cfRule>
  </conditionalFormatting>
  <conditionalFormatting sqref="Q25">
    <cfRule type="cellIs" dxfId="1855" priority="1856" operator="lessThan">
      <formula>0</formula>
    </cfRule>
  </conditionalFormatting>
  <conditionalFormatting sqref="R25">
    <cfRule type="cellIs" dxfId="1854" priority="1854" operator="lessThan">
      <formula>0.8</formula>
    </cfRule>
    <cfRule type="cellIs" dxfId="1853" priority="1855" operator="greaterThan">
      <formula>1</formula>
    </cfRule>
  </conditionalFormatting>
  <conditionalFormatting sqref="R25">
    <cfRule type="cellIs" dxfId="1852" priority="1852" operator="greaterThan">
      <formula>1</formula>
    </cfRule>
    <cfRule type="cellIs" dxfId="1851" priority="1853" operator="lessThan">
      <formula>0.8</formula>
    </cfRule>
  </conditionalFormatting>
  <conditionalFormatting sqref="P25">
    <cfRule type="cellIs" dxfId="1850" priority="1851" operator="greaterThan">
      <formula>0</formula>
    </cfRule>
  </conditionalFormatting>
  <conditionalFormatting sqref="P19:P24">
    <cfRule type="cellIs" dxfId="1849" priority="1845" operator="greaterThan">
      <formula>0</formula>
    </cfRule>
  </conditionalFormatting>
  <conditionalFormatting sqref="Q19:Q24">
    <cfRule type="cellIs" dxfId="1848" priority="1850" operator="lessThan">
      <formula>0</formula>
    </cfRule>
  </conditionalFormatting>
  <conditionalFormatting sqref="R19:R24">
    <cfRule type="cellIs" dxfId="1847" priority="1848" operator="lessThan">
      <formula>0.8</formula>
    </cfRule>
    <cfRule type="cellIs" dxfId="1846" priority="1849" operator="greaterThan">
      <formula>1</formula>
    </cfRule>
  </conditionalFormatting>
  <conditionalFormatting sqref="R19:R24">
    <cfRule type="cellIs" dxfId="1845" priority="1846" operator="greaterThan">
      <formula>1</formula>
    </cfRule>
    <cfRule type="cellIs" dxfId="1844" priority="1847" operator="lessThan">
      <formula>0.8</formula>
    </cfRule>
  </conditionalFormatting>
  <conditionalFormatting sqref="Q19:Q24">
    <cfRule type="cellIs" dxfId="1843" priority="1844" operator="lessThan">
      <formula>0</formula>
    </cfRule>
  </conditionalFormatting>
  <conditionalFormatting sqref="R19:R24">
    <cfRule type="cellIs" dxfId="1842" priority="1842" operator="lessThan">
      <formula>0.8</formula>
    </cfRule>
    <cfRule type="cellIs" dxfId="1841" priority="1843" operator="greaterThan">
      <formula>1</formula>
    </cfRule>
  </conditionalFormatting>
  <conditionalFormatting sqref="R19:R24">
    <cfRule type="cellIs" dxfId="1840" priority="1840" operator="greaterThan">
      <formula>1</formula>
    </cfRule>
    <cfRule type="cellIs" dxfId="1839" priority="1841" operator="lessThan">
      <formula>0.8</formula>
    </cfRule>
  </conditionalFormatting>
  <conditionalFormatting sqref="P19:P24">
    <cfRule type="cellIs" dxfId="1838" priority="1839" operator="greaterThan">
      <formula>0</formula>
    </cfRule>
  </conditionalFormatting>
  <conditionalFormatting sqref="Q19:Q24">
    <cfRule type="cellIs" dxfId="1837" priority="1838" operator="lessThan">
      <formula>0</formula>
    </cfRule>
  </conditionalFormatting>
  <conditionalFormatting sqref="R19:R24">
    <cfRule type="cellIs" dxfId="1836" priority="1836" operator="lessThan">
      <formula>0.8</formula>
    </cfRule>
    <cfRule type="cellIs" dxfId="1835" priority="1837" operator="greaterThan">
      <formula>1</formula>
    </cfRule>
  </conditionalFormatting>
  <conditionalFormatting sqref="R19:R24">
    <cfRule type="cellIs" dxfId="1834" priority="1834" operator="greaterThan">
      <formula>1</formula>
    </cfRule>
    <cfRule type="cellIs" dxfId="1833" priority="1835" operator="lessThan">
      <formula>0.8</formula>
    </cfRule>
  </conditionalFormatting>
  <conditionalFormatting sqref="P19:P24">
    <cfRule type="cellIs" dxfId="1832" priority="1833" operator="greaterThan">
      <formula>0</formula>
    </cfRule>
  </conditionalFormatting>
  <conditionalFormatting sqref="Q19:Q24">
    <cfRule type="cellIs" dxfId="1831" priority="1832" operator="lessThan">
      <formula>0</formula>
    </cfRule>
  </conditionalFormatting>
  <conditionalFormatting sqref="R19:R24">
    <cfRule type="cellIs" dxfId="1830" priority="1830" operator="lessThan">
      <formula>0.8</formula>
    </cfRule>
    <cfRule type="cellIs" dxfId="1829" priority="1831" operator="greaterThan">
      <formula>1</formula>
    </cfRule>
  </conditionalFormatting>
  <conditionalFormatting sqref="R19:R24">
    <cfRule type="cellIs" dxfId="1828" priority="1828" operator="greaterThan">
      <formula>1</formula>
    </cfRule>
    <cfRule type="cellIs" dxfId="1827" priority="1829" operator="lessThan">
      <formula>0.8</formula>
    </cfRule>
  </conditionalFormatting>
  <conditionalFormatting sqref="P19:P24">
    <cfRule type="cellIs" dxfId="1826" priority="1827" operator="greaterThan">
      <formula>0</formula>
    </cfRule>
  </conditionalFormatting>
  <conditionalFormatting sqref="R19:R24">
    <cfRule type="cellIs" dxfId="1825" priority="1824" operator="lessThan">
      <formula>0.8</formula>
    </cfRule>
    <cfRule type="cellIs" dxfId="1824" priority="1825" operator="greaterThan">
      <formula>1</formula>
    </cfRule>
  </conditionalFormatting>
  <conditionalFormatting sqref="R19:R24">
    <cfRule type="cellIs" dxfId="1823" priority="1822" operator="greaterThan">
      <formula>1</formula>
    </cfRule>
    <cfRule type="cellIs" dxfId="1822" priority="1823" operator="lessThan">
      <formula>0.8</formula>
    </cfRule>
  </conditionalFormatting>
  <conditionalFormatting sqref="P19:P24">
    <cfRule type="cellIs" dxfId="1821" priority="1821" operator="greaterThan">
      <formula>0</formula>
    </cfRule>
  </conditionalFormatting>
  <conditionalFormatting sqref="Q19:Q24">
    <cfRule type="cellIs" dxfId="1820" priority="1826" operator="lessThan">
      <formula>0</formula>
    </cfRule>
  </conditionalFormatting>
  <conditionalFormatting sqref="Q19:Q24">
    <cfRule type="cellIs" dxfId="1819" priority="1820" operator="lessThan">
      <formula>0</formula>
    </cfRule>
  </conditionalFormatting>
  <conditionalFormatting sqref="R19:R24">
    <cfRule type="cellIs" dxfId="1818" priority="1818" operator="lessThan">
      <formula>0.8</formula>
    </cfRule>
    <cfRule type="cellIs" dxfId="1817" priority="1819" operator="greaterThan">
      <formula>1</formula>
    </cfRule>
  </conditionalFormatting>
  <conditionalFormatting sqref="R19:R24">
    <cfRule type="cellIs" dxfId="1816" priority="1816" operator="greaterThan">
      <formula>1</formula>
    </cfRule>
    <cfRule type="cellIs" dxfId="1815" priority="1817" operator="lessThan">
      <formula>0.8</formula>
    </cfRule>
  </conditionalFormatting>
  <conditionalFormatting sqref="P19:P24">
    <cfRule type="cellIs" dxfId="1814" priority="1815" operator="greaterThan">
      <formula>0</formula>
    </cfRule>
  </conditionalFormatting>
  <conditionalFormatting sqref="P19:P24">
    <cfRule type="cellIs" dxfId="1813" priority="1809" operator="greaterThan">
      <formula>0</formula>
    </cfRule>
  </conditionalFormatting>
  <conditionalFormatting sqref="Q19:Q24">
    <cfRule type="cellIs" dxfId="1812" priority="1814" operator="lessThan">
      <formula>0</formula>
    </cfRule>
  </conditionalFormatting>
  <conditionalFormatting sqref="R19:R24">
    <cfRule type="cellIs" dxfId="1811" priority="1812" operator="lessThan">
      <formula>0.8</formula>
    </cfRule>
    <cfRule type="cellIs" dxfId="1810" priority="1813" operator="greaterThan">
      <formula>1</formula>
    </cfRule>
  </conditionalFormatting>
  <conditionalFormatting sqref="R19:R24">
    <cfRule type="cellIs" dxfId="1809" priority="1810" operator="greaterThan">
      <formula>1</formula>
    </cfRule>
    <cfRule type="cellIs" dxfId="1808" priority="1811" operator="lessThan">
      <formula>0.8</formula>
    </cfRule>
  </conditionalFormatting>
  <conditionalFormatting sqref="P19:P24">
    <cfRule type="cellIs" dxfId="1807" priority="1803" operator="greaterThan">
      <formula>0</formula>
    </cfRule>
  </conditionalFormatting>
  <conditionalFormatting sqref="Q19:Q24">
    <cfRule type="cellIs" dxfId="1806" priority="1808" operator="lessThan">
      <formula>0</formula>
    </cfRule>
  </conditionalFormatting>
  <conditionalFormatting sqref="R19:R24">
    <cfRule type="cellIs" dxfId="1805" priority="1806" operator="lessThan">
      <formula>0.8</formula>
    </cfRule>
    <cfRule type="cellIs" dxfId="1804" priority="1807" operator="greaterThan">
      <formula>1</formula>
    </cfRule>
  </conditionalFormatting>
  <conditionalFormatting sqref="R19:R24">
    <cfRule type="cellIs" dxfId="1803" priority="1804" operator="greaterThan">
      <formula>1</formula>
    </cfRule>
    <cfRule type="cellIs" dxfId="1802" priority="1805" operator="lessThan">
      <formula>0.8</formula>
    </cfRule>
  </conditionalFormatting>
  <conditionalFormatting sqref="Q19:Q24">
    <cfRule type="cellIs" dxfId="1801" priority="1802" operator="lessThan">
      <formula>0</formula>
    </cfRule>
  </conditionalFormatting>
  <conditionalFormatting sqref="R19:R24">
    <cfRule type="cellIs" dxfId="1800" priority="1800" operator="lessThan">
      <formula>0.8</formula>
    </cfRule>
    <cfRule type="cellIs" dxfId="1799" priority="1801" operator="greaterThan">
      <formula>1</formula>
    </cfRule>
  </conditionalFormatting>
  <conditionalFormatting sqref="R19:R24">
    <cfRule type="cellIs" dxfId="1798" priority="1798" operator="greaterThan">
      <formula>1</formula>
    </cfRule>
    <cfRule type="cellIs" dxfId="1797" priority="1799" operator="lessThan">
      <formula>0.8</formula>
    </cfRule>
  </conditionalFormatting>
  <conditionalFormatting sqref="P19:P24">
    <cfRule type="cellIs" dxfId="1796" priority="1797" operator="greaterThan">
      <formula>0</formula>
    </cfRule>
  </conditionalFormatting>
  <conditionalFormatting sqref="Q19:Q24">
    <cfRule type="cellIs" dxfId="1795" priority="1796" operator="lessThan">
      <formula>0</formula>
    </cfRule>
  </conditionalFormatting>
  <conditionalFormatting sqref="R19:R24">
    <cfRule type="cellIs" dxfId="1794" priority="1794" operator="lessThan">
      <formula>0.8</formula>
    </cfRule>
    <cfRule type="cellIs" dxfId="1793" priority="1795" operator="greaterThan">
      <formula>1</formula>
    </cfRule>
  </conditionalFormatting>
  <conditionalFormatting sqref="R19:R24">
    <cfRule type="cellIs" dxfId="1792" priority="1792" operator="greaterThan">
      <formula>1</formula>
    </cfRule>
    <cfRule type="cellIs" dxfId="1791" priority="1793" operator="lessThan">
      <formula>0.8</formula>
    </cfRule>
  </conditionalFormatting>
  <conditionalFormatting sqref="P19:P24">
    <cfRule type="cellIs" dxfId="1790" priority="1791" operator="greaterThan">
      <formula>0</formula>
    </cfRule>
  </conditionalFormatting>
  <conditionalFormatting sqref="P19:P24">
    <cfRule type="cellIs" dxfId="1789" priority="1785" operator="greaterThan">
      <formula>0</formula>
    </cfRule>
  </conditionalFormatting>
  <conditionalFormatting sqref="Q19:Q24">
    <cfRule type="cellIs" dxfId="1788" priority="1790" operator="lessThan">
      <formula>0</formula>
    </cfRule>
  </conditionalFormatting>
  <conditionalFormatting sqref="R19:R24">
    <cfRule type="cellIs" dxfId="1787" priority="1788" operator="lessThan">
      <formula>0.8</formula>
    </cfRule>
    <cfRule type="cellIs" dxfId="1786" priority="1789" operator="greaterThan">
      <formula>1</formula>
    </cfRule>
  </conditionalFormatting>
  <conditionalFormatting sqref="R19:R24">
    <cfRule type="cellIs" dxfId="1785" priority="1786" operator="greaterThan">
      <formula>1</formula>
    </cfRule>
    <cfRule type="cellIs" dxfId="1784" priority="1787" operator="lessThan">
      <formula>0.8</formula>
    </cfRule>
  </conditionalFormatting>
  <conditionalFormatting sqref="Q19:Q24">
    <cfRule type="cellIs" dxfId="1783" priority="1784" operator="lessThan">
      <formula>0</formula>
    </cfRule>
  </conditionalFormatting>
  <conditionalFormatting sqref="R19:R24">
    <cfRule type="cellIs" dxfId="1782" priority="1782" operator="lessThan">
      <formula>0.8</formula>
    </cfRule>
    <cfRule type="cellIs" dxfId="1781" priority="1783" operator="greaterThan">
      <formula>1</formula>
    </cfRule>
  </conditionalFormatting>
  <conditionalFormatting sqref="R19:R24">
    <cfRule type="cellIs" dxfId="1780" priority="1780" operator="greaterThan">
      <formula>1</formula>
    </cfRule>
    <cfRule type="cellIs" dxfId="1779" priority="1781" operator="lessThan">
      <formula>0.8</formula>
    </cfRule>
  </conditionalFormatting>
  <conditionalFormatting sqref="P19:P24">
    <cfRule type="cellIs" dxfId="1778" priority="1779" operator="greaterThan">
      <formula>0</formula>
    </cfRule>
  </conditionalFormatting>
  <conditionalFormatting sqref="Q19:Q24">
    <cfRule type="cellIs" dxfId="1777" priority="1778" operator="lessThan">
      <formula>0</formula>
    </cfRule>
  </conditionalFormatting>
  <conditionalFormatting sqref="R19:R24">
    <cfRule type="cellIs" dxfId="1776" priority="1776" operator="lessThan">
      <formula>0.8</formula>
    </cfRule>
    <cfRule type="cellIs" dxfId="1775" priority="1777" operator="greaterThan">
      <formula>1</formula>
    </cfRule>
  </conditionalFormatting>
  <conditionalFormatting sqref="R19:R24">
    <cfRule type="cellIs" dxfId="1774" priority="1774" operator="greaterThan">
      <formula>1</formula>
    </cfRule>
    <cfRule type="cellIs" dxfId="1773" priority="1775" operator="lessThan">
      <formula>0.8</formula>
    </cfRule>
  </conditionalFormatting>
  <conditionalFormatting sqref="P19:P24">
    <cfRule type="cellIs" dxfId="1772" priority="1773" operator="greaterThan">
      <formula>0</formula>
    </cfRule>
  </conditionalFormatting>
  <conditionalFormatting sqref="Q19:Q24">
    <cfRule type="cellIs" dxfId="1771" priority="1772" operator="lessThan">
      <formula>0</formula>
    </cfRule>
  </conditionalFormatting>
  <conditionalFormatting sqref="R19:R24">
    <cfRule type="cellIs" dxfId="1770" priority="1770" operator="lessThan">
      <formula>0.8</formula>
    </cfRule>
    <cfRule type="cellIs" dxfId="1769" priority="1771" operator="greaterThan">
      <formula>1</formula>
    </cfRule>
  </conditionalFormatting>
  <conditionalFormatting sqref="R19:R24">
    <cfRule type="cellIs" dxfId="1768" priority="1768" operator="greaterThan">
      <formula>1</formula>
    </cfRule>
    <cfRule type="cellIs" dxfId="1767" priority="1769" operator="lessThan">
      <formula>0.8</formula>
    </cfRule>
  </conditionalFormatting>
  <conditionalFormatting sqref="P19:P24">
    <cfRule type="cellIs" dxfId="1766" priority="1767" operator="greaterThan">
      <formula>0</formula>
    </cfRule>
  </conditionalFormatting>
  <conditionalFormatting sqref="R19:R24">
    <cfRule type="cellIs" dxfId="1765" priority="1764" operator="lessThan">
      <formula>0.8</formula>
    </cfRule>
    <cfRule type="cellIs" dxfId="1764" priority="1765" operator="greaterThan">
      <formula>1</formula>
    </cfRule>
  </conditionalFormatting>
  <conditionalFormatting sqref="R19:R24">
    <cfRule type="cellIs" dxfId="1763" priority="1762" operator="greaterThan">
      <formula>1</formula>
    </cfRule>
    <cfRule type="cellIs" dxfId="1762" priority="1763" operator="lessThan">
      <formula>0.8</formula>
    </cfRule>
  </conditionalFormatting>
  <conditionalFormatting sqref="P19:P24">
    <cfRule type="cellIs" dxfId="1761" priority="1761" operator="greaterThan">
      <formula>0</formula>
    </cfRule>
  </conditionalFormatting>
  <conditionalFormatting sqref="Q19:Q24">
    <cfRule type="cellIs" dxfId="1760" priority="1766" operator="lessThan">
      <formula>0</formula>
    </cfRule>
  </conditionalFormatting>
  <conditionalFormatting sqref="Q40">
    <cfRule type="cellIs" dxfId="1759" priority="1760" operator="lessThan">
      <formula>0</formula>
    </cfRule>
  </conditionalFormatting>
  <conditionalFormatting sqref="R40">
    <cfRule type="cellIs" dxfId="1758" priority="1758" operator="lessThan">
      <formula>0.8</formula>
    </cfRule>
    <cfRule type="cellIs" dxfId="1757" priority="1759" operator="greaterThan">
      <formula>1</formula>
    </cfRule>
  </conditionalFormatting>
  <conditionalFormatting sqref="R40">
    <cfRule type="cellIs" dxfId="1756" priority="1756" operator="greaterThan">
      <formula>1</formula>
    </cfRule>
    <cfRule type="cellIs" dxfId="1755" priority="1757" operator="lessThan">
      <formula>0.8</formula>
    </cfRule>
  </conditionalFormatting>
  <conditionalFormatting sqref="P40">
    <cfRule type="cellIs" dxfId="1754" priority="1755" operator="greaterThan">
      <formula>0</formula>
    </cfRule>
  </conditionalFormatting>
  <conditionalFormatting sqref="P40">
    <cfRule type="cellIs" dxfId="1753" priority="1749" operator="greaterThan">
      <formula>0</formula>
    </cfRule>
  </conditionalFormatting>
  <conditionalFormatting sqref="Q40">
    <cfRule type="cellIs" dxfId="1752" priority="1754" operator="lessThan">
      <formula>0</formula>
    </cfRule>
  </conditionalFormatting>
  <conditionalFormatting sqref="R40">
    <cfRule type="cellIs" dxfId="1751" priority="1752" operator="lessThan">
      <formula>0.8</formula>
    </cfRule>
    <cfRule type="cellIs" dxfId="1750" priority="1753" operator="greaterThan">
      <formula>1</formula>
    </cfRule>
  </conditionalFormatting>
  <conditionalFormatting sqref="R40">
    <cfRule type="cellIs" dxfId="1749" priority="1750" operator="greaterThan">
      <formula>1</formula>
    </cfRule>
    <cfRule type="cellIs" dxfId="1748" priority="1751" operator="lessThan">
      <formula>0.8</formula>
    </cfRule>
  </conditionalFormatting>
  <conditionalFormatting sqref="P40">
    <cfRule type="cellIs" dxfId="1747" priority="1743" operator="greaterThan">
      <formula>0</formula>
    </cfRule>
  </conditionalFormatting>
  <conditionalFormatting sqref="Q40">
    <cfRule type="cellIs" dxfId="1746" priority="1748" operator="lessThan">
      <formula>0</formula>
    </cfRule>
  </conditionalFormatting>
  <conditionalFormatting sqref="R40">
    <cfRule type="cellIs" dxfId="1745" priority="1746" operator="lessThan">
      <formula>0.8</formula>
    </cfRule>
    <cfRule type="cellIs" dxfId="1744" priority="1747" operator="greaterThan">
      <formula>1</formula>
    </cfRule>
  </conditionalFormatting>
  <conditionalFormatting sqref="R40">
    <cfRule type="cellIs" dxfId="1743" priority="1744" operator="greaterThan">
      <formula>1</formula>
    </cfRule>
    <cfRule type="cellIs" dxfId="1742" priority="1745" operator="lessThan">
      <formula>0.8</formula>
    </cfRule>
  </conditionalFormatting>
  <conditionalFormatting sqref="Q40">
    <cfRule type="cellIs" dxfId="1741" priority="1742" operator="lessThan">
      <formula>0</formula>
    </cfRule>
  </conditionalFormatting>
  <conditionalFormatting sqref="R40">
    <cfRule type="cellIs" dxfId="1740" priority="1740" operator="lessThan">
      <formula>0.8</formula>
    </cfRule>
    <cfRule type="cellIs" dxfId="1739" priority="1741" operator="greaterThan">
      <formula>1</formula>
    </cfRule>
  </conditionalFormatting>
  <conditionalFormatting sqref="R40">
    <cfRule type="cellIs" dxfId="1738" priority="1738" operator="greaterThan">
      <formula>1</formula>
    </cfRule>
    <cfRule type="cellIs" dxfId="1737" priority="1739" operator="lessThan">
      <formula>0.8</formula>
    </cfRule>
  </conditionalFormatting>
  <conditionalFormatting sqref="P40">
    <cfRule type="cellIs" dxfId="1736" priority="1737" operator="greaterThan">
      <formula>0</formula>
    </cfRule>
  </conditionalFormatting>
  <conditionalFormatting sqref="P40">
    <cfRule type="cellIs" dxfId="1735" priority="1731" operator="greaterThan">
      <formula>0</formula>
    </cfRule>
  </conditionalFormatting>
  <conditionalFormatting sqref="Q40">
    <cfRule type="cellIs" dxfId="1734" priority="1736" operator="lessThan">
      <formula>0</formula>
    </cfRule>
  </conditionalFormatting>
  <conditionalFormatting sqref="R40">
    <cfRule type="cellIs" dxfId="1733" priority="1734" operator="lessThan">
      <formula>0.8</formula>
    </cfRule>
    <cfRule type="cellIs" dxfId="1732" priority="1735" operator="greaterThan">
      <formula>1</formula>
    </cfRule>
  </conditionalFormatting>
  <conditionalFormatting sqref="R40">
    <cfRule type="cellIs" dxfId="1731" priority="1732" operator="greaterThan">
      <formula>1</formula>
    </cfRule>
    <cfRule type="cellIs" dxfId="1730" priority="1733" operator="lessThan">
      <formula>0.8</formula>
    </cfRule>
  </conditionalFormatting>
  <conditionalFormatting sqref="P40">
    <cfRule type="cellIs" dxfId="1729" priority="1725" operator="greaterThan">
      <formula>0</formula>
    </cfRule>
  </conditionalFormatting>
  <conditionalFormatting sqref="Q40">
    <cfRule type="cellIs" dxfId="1728" priority="1730" operator="lessThan">
      <formula>0</formula>
    </cfRule>
  </conditionalFormatting>
  <conditionalFormatting sqref="R40">
    <cfRule type="cellIs" dxfId="1727" priority="1728" operator="lessThan">
      <formula>0.8</formula>
    </cfRule>
    <cfRule type="cellIs" dxfId="1726" priority="1729" operator="greaterThan">
      <formula>1</formula>
    </cfRule>
  </conditionalFormatting>
  <conditionalFormatting sqref="R40">
    <cfRule type="cellIs" dxfId="1725" priority="1726" operator="greaterThan">
      <formula>1</formula>
    </cfRule>
    <cfRule type="cellIs" dxfId="1724" priority="1727" operator="lessThan">
      <formula>0.8</formula>
    </cfRule>
  </conditionalFormatting>
  <conditionalFormatting sqref="P40">
    <cfRule type="cellIs" dxfId="1723" priority="1719" operator="greaterThan">
      <formula>0</formula>
    </cfRule>
  </conditionalFormatting>
  <conditionalFormatting sqref="Q40">
    <cfRule type="cellIs" dxfId="1722" priority="1724" operator="lessThan">
      <formula>0</formula>
    </cfRule>
  </conditionalFormatting>
  <conditionalFormatting sqref="R40">
    <cfRule type="cellIs" dxfId="1721" priority="1722" operator="lessThan">
      <formula>0.8</formula>
    </cfRule>
    <cfRule type="cellIs" dxfId="1720" priority="1723" operator="greaterThan">
      <formula>1</formula>
    </cfRule>
  </conditionalFormatting>
  <conditionalFormatting sqref="R40">
    <cfRule type="cellIs" dxfId="1719" priority="1720" operator="greaterThan">
      <formula>1</formula>
    </cfRule>
    <cfRule type="cellIs" dxfId="1718" priority="1721" operator="lessThan">
      <formula>0.8</formula>
    </cfRule>
  </conditionalFormatting>
  <conditionalFormatting sqref="Q40">
    <cfRule type="cellIs" dxfId="1717" priority="1713" operator="lessThan">
      <formula>0</formula>
    </cfRule>
  </conditionalFormatting>
  <conditionalFormatting sqref="P40">
    <cfRule type="cellIs" dxfId="1716" priority="1714" operator="greaterThan">
      <formula>0</formula>
    </cfRule>
  </conditionalFormatting>
  <conditionalFormatting sqref="R40">
    <cfRule type="cellIs" dxfId="1715" priority="1717" operator="lessThan">
      <formula>0.8</formula>
    </cfRule>
    <cfRule type="cellIs" dxfId="1714" priority="1718" operator="greaterThan">
      <formula>1</formula>
    </cfRule>
  </conditionalFormatting>
  <conditionalFormatting sqref="R40">
    <cfRule type="cellIs" dxfId="1713" priority="1715" operator="greaterThan">
      <formula>1</formula>
    </cfRule>
    <cfRule type="cellIs" dxfId="1712" priority="1716" operator="lessThan">
      <formula>0.8</formula>
    </cfRule>
  </conditionalFormatting>
  <conditionalFormatting sqref="Q40">
    <cfRule type="cellIs" dxfId="1711" priority="1707" operator="lessThan">
      <formula>0</formula>
    </cfRule>
  </conditionalFormatting>
  <conditionalFormatting sqref="R40">
    <cfRule type="cellIs" dxfId="1710" priority="1711" operator="lessThan">
      <formula>0.8</formula>
    </cfRule>
    <cfRule type="cellIs" dxfId="1709" priority="1712" operator="greaterThan">
      <formula>1</formula>
    </cfRule>
  </conditionalFormatting>
  <conditionalFormatting sqref="R40">
    <cfRule type="cellIs" dxfId="1708" priority="1709" operator="greaterThan">
      <formula>1</formula>
    </cfRule>
    <cfRule type="cellIs" dxfId="1707" priority="1710" operator="lessThan">
      <formula>0.8</formula>
    </cfRule>
  </conditionalFormatting>
  <conditionalFormatting sqref="P40">
    <cfRule type="cellIs" dxfId="1706" priority="1708" operator="greaterThan">
      <formula>0</formula>
    </cfRule>
  </conditionalFormatting>
  <conditionalFormatting sqref="Q40">
    <cfRule type="cellIs" dxfId="1705" priority="1706" operator="lessThan">
      <formula>0</formula>
    </cfRule>
  </conditionalFormatting>
  <conditionalFormatting sqref="R40">
    <cfRule type="cellIs" dxfId="1704" priority="1704" operator="lessThan">
      <formula>0.8</formula>
    </cfRule>
    <cfRule type="cellIs" dxfId="1703" priority="1705" operator="greaterThan">
      <formula>1</formula>
    </cfRule>
  </conditionalFormatting>
  <conditionalFormatting sqref="R40">
    <cfRule type="cellIs" dxfId="1702" priority="1702" operator="greaterThan">
      <formula>1</formula>
    </cfRule>
    <cfRule type="cellIs" dxfId="1701" priority="1703" operator="lessThan">
      <formula>0.8</formula>
    </cfRule>
  </conditionalFormatting>
  <conditionalFormatting sqref="P40">
    <cfRule type="cellIs" dxfId="1700" priority="1701" operator="greaterThan">
      <formula>0</formula>
    </cfRule>
  </conditionalFormatting>
  <conditionalFormatting sqref="Q40">
    <cfRule type="cellIs" dxfId="1699" priority="1700" operator="lessThan">
      <formula>0</formula>
    </cfRule>
  </conditionalFormatting>
  <conditionalFormatting sqref="R40">
    <cfRule type="cellIs" dxfId="1698" priority="1698" operator="lessThan">
      <formula>0.8</formula>
    </cfRule>
    <cfRule type="cellIs" dxfId="1697" priority="1699" operator="greaterThan">
      <formula>1</formula>
    </cfRule>
  </conditionalFormatting>
  <conditionalFormatting sqref="R40">
    <cfRule type="cellIs" dxfId="1696" priority="1696" operator="greaterThan">
      <formula>1</formula>
    </cfRule>
    <cfRule type="cellIs" dxfId="1695" priority="1697" operator="lessThan">
      <formula>0.8</formula>
    </cfRule>
  </conditionalFormatting>
  <conditionalFormatting sqref="P40">
    <cfRule type="cellIs" dxfId="1694" priority="1695" operator="greaterThan">
      <formula>0</formula>
    </cfRule>
  </conditionalFormatting>
  <conditionalFormatting sqref="Q32:Q39">
    <cfRule type="cellIs" dxfId="1693" priority="1694" operator="lessThan">
      <formula>0</formula>
    </cfRule>
  </conditionalFormatting>
  <conditionalFormatting sqref="R32:R39">
    <cfRule type="cellIs" dxfId="1692" priority="1692" operator="lessThan">
      <formula>0.8</formula>
    </cfRule>
    <cfRule type="cellIs" dxfId="1691" priority="1693" operator="greaterThan">
      <formula>1</formula>
    </cfRule>
  </conditionalFormatting>
  <conditionalFormatting sqref="R32:R39">
    <cfRule type="cellIs" dxfId="1690" priority="1690" operator="greaterThan">
      <formula>1</formula>
    </cfRule>
    <cfRule type="cellIs" dxfId="1689" priority="1691" operator="lessThan">
      <formula>0.8</formula>
    </cfRule>
  </conditionalFormatting>
  <conditionalFormatting sqref="P32:P39">
    <cfRule type="cellIs" dxfId="1688" priority="1689" operator="greaterThan">
      <formula>0</formula>
    </cfRule>
  </conditionalFormatting>
  <conditionalFormatting sqref="Q32:Q39">
    <cfRule type="cellIs" dxfId="1687" priority="1688" operator="lessThan">
      <formula>0</formula>
    </cfRule>
  </conditionalFormatting>
  <conditionalFormatting sqref="R32:R39">
    <cfRule type="cellIs" dxfId="1686" priority="1686" operator="lessThan">
      <formula>0.8</formula>
    </cfRule>
    <cfRule type="cellIs" dxfId="1685" priority="1687" operator="greaterThan">
      <formula>1</formula>
    </cfRule>
  </conditionalFormatting>
  <conditionalFormatting sqref="R32:R39">
    <cfRule type="cellIs" dxfId="1684" priority="1684" operator="greaterThan">
      <formula>1</formula>
    </cfRule>
    <cfRule type="cellIs" dxfId="1683" priority="1685" operator="lessThan">
      <formula>0.8</formula>
    </cfRule>
  </conditionalFormatting>
  <conditionalFormatting sqref="P32:P39">
    <cfRule type="cellIs" dxfId="1682" priority="1683" operator="greaterThan">
      <formula>0</formula>
    </cfRule>
  </conditionalFormatting>
  <conditionalFormatting sqref="Q32:Q39">
    <cfRule type="cellIs" dxfId="1681" priority="1682" operator="lessThan">
      <formula>0</formula>
    </cfRule>
  </conditionalFormatting>
  <conditionalFormatting sqref="R32:R39">
    <cfRule type="cellIs" dxfId="1680" priority="1680" operator="lessThan">
      <formula>0.8</formula>
    </cfRule>
    <cfRule type="cellIs" dxfId="1679" priority="1681" operator="greaterThan">
      <formula>1</formula>
    </cfRule>
  </conditionalFormatting>
  <conditionalFormatting sqref="R32:R39">
    <cfRule type="cellIs" dxfId="1678" priority="1678" operator="greaterThan">
      <formula>1</formula>
    </cfRule>
    <cfRule type="cellIs" dxfId="1677" priority="1679" operator="lessThan">
      <formula>0.8</formula>
    </cfRule>
  </conditionalFormatting>
  <conditionalFormatting sqref="P32:P39">
    <cfRule type="cellIs" dxfId="1676" priority="1677" operator="greaterThan">
      <formula>0</formula>
    </cfRule>
  </conditionalFormatting>
  <conditionalFormatting sqref="Q32:Q39">
    <cfRule type="cellIs" dxfId="1675" priority="1676" operator="lessThan">
      <formula>0</formula>
    </cfRule>
  </conditionalFormatting>
  <conditionalFormatting sqref="R32:R39">
    <cfRule type="cellIs" dxfId="1674" priority="1674" operator="lessThan">
      <formula>0.8</formula>
    </cfRule>
    <cfRule type="cellIs" dxfId="1673" priority="1675" operator="greaterThan">
      <formula>1</formula>
    </cfRule>
  </conditionalFormatting>
  <conditionalFormatting sqref="R32:R39">
    <cfRule type="cellIs" dxfId="1672" priority="1672" operator="greaterThan">
      <formula>1</formula>
    </cfRule>
    <cfRule type="cellIs" dxfId="1671" priority="1673" operator="lessThan">
      <formula>0.8</formula>
    </cfRule>
  </conditionalFormatting>
  <conditionalFormatting sqref="P32:P39">
    <cfRule type="cellIs" dxfId="1670" priority="1671" operator="greaterThan">
      <formula>0</formula>
    </cfRule>
  </conditionalFormatting>
  <conditionalFormatting sqref="P32:P39">
    <cfRule type="cellIs" dxfId="1669" priority="1665" operator="greaterThan">
      <formula>0</formula>
    </cfRule>
  </conditionalFormatting>
  <conditionalFormatting sqref="Q32:Q39">
    <cfRule type="cellIs" dxfId="1668" priority="1670" operator="lessThan">
      <formula>0</formula>
    </cfRule>
  </conditionalFormatting>
  <conditionalFormatting sqref="R32:R39">
    <cfRule type="cellIs" dxfId="1667" priority="1668" operator="lessThan">
      <formula>0.8</formula>
    </cfRule>
    <cfRule type="cellIs" dxfId="1666" priority="1669" operator="greaterThan">
      <formula>1</formula>
    </cfRule>
  </conditionalFormatting>
  <conditionalFormatting sqref="R32:R39">
    <cfRule type="cellIs" dxfId="1665" priority="1666" operator="greaterThan">
      <formula>1</formula>
    </cfRule>
    <cfRule type="cellIs" dxfId="1664" priority="1667" operator="lessThan">
      <formula>0.8</formula>
    </cfRule>
  </conditionalFormatting>
  <conditionalFormatting sqref="P32:P39">
    <cfRule type="cellIs" dxfId="1663" priority="1659" operator="greaterThan">
      <formula>0</formula>
    </cfRule>
  </conditionalFormatting>
  <conditionalFormatting sqref="Q32:Q39">
    <cfRule type="cellIs" dxfId="1662" priority="1664" operator="lessThan">
      <formula>0</formula>
    </cfRule>
  </conditionalFormatting>
  <conditionalFormatting sqref="R32:R39">
    <cfRule type="cellIs" dxfId="1661" priority="1662" operator="lessThan">
      <formula>0.8</formula>
    </cfRule>
    <cfRule type="cellIs" dxfId="1660" priority="1663" operator="greaterThan">
      <formula>1</formula>
    </cfRule>
  </conditionalFormatting>
  <conditionalFormatting sqref="R32:R39">
    <cfRule type="cellIs" dxfId="1659" priority="1660" operator="greaterThan">
      <formula>1</formula>
    </cfRule>
    <cfRule type="cellIs" dxfId="1658" priority="1661" operator="lessThan">
      <formula>0.8</formula>
    </cfRule>
  </conditionalFormatting>
  <conditionalFormatting sqref="R32:R39">
    <cfRule type="cellIs" dxfId="1657" priority="1656" operator="lessThan">
      <formula>0.8</formula>
    </cfRule>
    <cfRule type="cellIs" dxfId="1656" priority="1657" operator="greaterThan">
      <formula>1</formula>
    </cfRule>
  </conditionalFormatting>
  <conditionalFormatting sqref="R32:R39">
    <cfRule type="cellIs" dxfId="1655" priority="1654" operator="greaterThan">
      <formula>1</formula>
    </cfRule>
    <cfRule type="cellIs" dxfId="1654" priority="1655" operator="lessThan">
      <formula>0.8</formula>
    </cfRule>
  </conditionalFormatting>
  <conditionalFormatting sqref="P32:P39">
    <cfRule type="cellIs" dxfId="1653" priority="1653" operator="greaterThan">
      <formula>0</formula>
    </cfRule>
  </conditionalFormatting>
  <conditionalFormatting sqref="Q32:Q39">
    <cfRule type="cellIs" dxfId="1652" priority="1658" operator="lessThan">
      <formula>0</formula>
    </cfRule>
  </conditionalFormatting>
  <conditionalFormatting sqref="Q32:Q39">
    <cfRule type="cellIs" dxfId="1651" priority="1652" operator="lessThan">
      <formula>0</formula>
    </cfRule>
  </conditionalFormatting>
  <conditionalFormatting sqref="R32:R39">
    <cfRule type="cellIs" dxfId="1650" priority="1650" operator="lessThan">
      <formula>0.8</formula>
    </cfRule>
    <cfRule type="cellIs" dxfId="1649" priority="1651" operator="greaterThan">
      <formula>1</formula>
    </cfRule>
  </conditionalFormatting>
  <conditionalFormatting sqref="R32:R39">
    <cfRule type="cellIs" dxfId="1648" priority="1648" operator="greaterThan">
      <formula>1</formula>
    </cfRule>
    <cfRule type="cellIs" dxfId="1647" priority="1649" operator="lessThan">
      <formula>0.8</formula>
    </cfRule>
  </conditionalFormatting>
  <conditionalFormatting sqref="P32:P39">
    <cfRule type="cellIs" dxfId="1646" priority="1647" operator="greaterThan">
      <formula>0</formula>
    </cfRule>
  </conditionalFormatting>
  <conditionalFormatting sqref="P32:P39">
    <cfRule type="cellIs" dxfId="1645" priority="1641" operator="greaterThan">
      <formula>0</formula>
    </cfRule>
  </conditionalFormatting>
  <conditionalFormatting sqref="Q32:Q39">
    <cfRule type="cellIs" dxfId="1644" priority="1646" operator="lessThan">
      <formula>0</formula>
    </cfRule>
  </conditionalFormatting>
  <conditionalFormatting sqref="R32:R39">
    <cfRule type="cellIs" dxfId="1643" priority="1644" operator="lessThan">
      <formula>0.8</formula>
    </cfRule>
    <cfRule type="cellIs" dxfId="1642" priority="1645" operator="greaterThan">
      <formula>1</formula>
    </cfRule>
  </conditionalFormatting>
  <conditionalFormatting sqref="R32:R39">
    <cfRule type="cellIs" dxfId="1641" priority="1642" operator="greaterThan">
      <formula>1</formula>
    </cfRule>
    <cfRule type="cellIs" dxfId="1640" priority="1643" operator="lessThan">
      <formula>0.8</formula>
    </cfRule>
  </conditionalFormatting>
  <conditionalFormatting sqref="P32:P39">
    <cfRule type="cellIs" dxfId="1639" priority="1635" operator="greaterThan">
      <formula>0</formula>
    </cfRule>
  </conditionalFormatting>
  <conditionalFormatting sqref="Q32:Q39">
    <cfRule type="cellIs" dxfId="1638" priority="1640" operator="lessThan">
      <formula>0</formula>
    </cfRule>
  </conditionalFormatting>
  <conditionalFormatting sqref="R32:R39">
    <cfRule type="cellIs" dxfId="1637" priority="1638" operator="lessThan">
      <formula>0.8</formula>
    </cfRule>
    <cfRule type="cellIs" dxfId="1636" priority="1639" operator="greaterThan">
      <formula>1</formula>
    </cfRule>
  </conditionalFormatting>
  <conditionalFormatting sqref="R32:R39">
    <cfRule type="cellIs" dxfId="1635" priority="1636" operator="greaterThan">
      <formula>1</formula>
    </cfRule>
    <cfRule type="cellIs" dxfId="1634" priority="1637" operator="lessThan">
      <formula>0.8</formula>
    </cfRule>
  </conditionalFormatting>
  <conditionalFormatting sqref="R32:R39">
    <cfRule type="cellIs" dxfId="1633" priority="1632" operator="lessThan">
      <formula>0.8</formula>
    </cfRule>
    <cfRule type="cellIs" dxfId="1632" priority="1633" operator="greaterThan">
      <formula>1</formula>
    </cfRule>
  </conditionalFormatting>
  <conditionalFormatting sqref="R32:R39">
    <cfRule type="cellIs" dxfId="1631" priority="1630" operator="greaterThan">
      <formula>1</formula>
    </cfRule>
    <cfRule type="cellIs" dxfId="1630" priority="1631" operator="lessThan">
      <formula>0.8</formula>
    </cfRule>
  </conditionalFormatting>
  <conditionalFormatting sqref="P32:P39">
    <cfRule type="cellIs" dxfId="1629" priority="1629" operator="greaterThan">
      <formula>0</formula>
    </cfRule>
  </conditionalFormatting>
  <conditionalFormatting sqref="Q32:Q39">
    <cfRule type="cellIs" dxfId="1628" priority="1634" operator="lessThan">
      <formula>0</formula>
    </cfRule>
  </conditionalFormatting>
  <conditionalFormatting sqref="P32:P39">
    <cfRule type="cellIs" dxfId="1627" priority="1623" operator="greaterThan">
      <formula>0</formula>
    </cfRule>
  </conditionalFormatting>
  <conditionalFormatting sqref="Q32:Q39">
    <cfRule type="cellIs" dxfId="1626" priority="1628" operator="lessThan">
      <formula>0</formula>
    </cfRule>
  </conditionalFormatting>
  <conditionalFormatting sqref="R32:R39">
    <cfRule type="cellIs" dxfId="1625" priority="1626" operator="lessThan">
      <formula>0.8</formula>
    </cfRule>
    <cfRule type="cellIs" dxfId="1624" priority="1627" operator="greaterThan">
      <formula>1</formula>
    </cfRule>
  </conditionalFormatting>
  <conditionalFormatting sqref="R32:R39">
    <cfRule type="cellIs" dxfId="1623" priority="1624" operator="greaterThan">
      <formula>1</formula>
    </cfRule>
    <cfRule type="cellIs" dxfId="1622" priority="1625" operator="lessThan">
      <formula>0.8</formula>
    </cfRule>
  </conditionalFormatting>
  <conditionalFormatting sqref="R32:R39">
    <cfRule type="cellIs" dxfId="1621" priority="1620" operator="lessThan">
      <formula>0.8</formula>
    </cfRule>
    <cfRule type="cellIs" dxfId="1620" priority="1621" operator="greaterThan">
      <formula>1</formula>
    </cfRule>
  </conditionalFormatting>
  <conditionalFormatting sqref="R32:R39">
    <cfRule type="cellIs" dxfId="1619" priority="1618" operator="greaterThan">
      <formula>1</formula>
    </cfRule>
    <cfRule type="cellIs" dxfId="1618" priority="1619" operator="lessThan">
      <formula>0.8</formula>
    </cfRule>
  </conditionalFormatting>
  <conditionalFormatting sqref="P32:P39">
    <cfRule type="cellIs" dxfId="1617" priority="1617" operator="greaterThan">
      <formula>0</formula>
    </cfRule>
  </conditionalFormatting>
  <conditionalFormatting sqref="Q32:Q39">
    <cfRule type="cellIs" dxfId="1616" priority="1622" operator="lessThan">
      <formula>0</formula>
    </cfRule>
  </conditionalFormatting>
  <conditionalFormatting sqref="R32:R39">
    <cfRule type="cellIs" dxfId="1615" priority="1614" operator="lessThan">
      <formula>0.8</formula>
    </cfRule>
    <cfRule type="cellIs" dxfId="1614" priority="1615" operator="greaterThan">
      <formula>1</formula>
    </cfRule>
  </conditionalFormatting>
  <conditionalFormatting sqref="R32:R39">
    <cfRule type="cellIs" dxfId="1613" priority="1612" operator="greaterThan">
      <formula>1</formula>
    </cfRule>
    <cfRule type="cellIs" dxfId="1612" priority="1613" operator="lessThan">
      <formula>0.8</formula>
    </cfRule>
  </conditionalFormatting>
  <conditionalFormatting sqref="P32:P39">
    <cfRule type="cellIs" dxfId="1611" priority="1611" operator="greaterThan">
      <formula>0</formula>
    </cfRule>
  </conditionalFormatting>
  <conditionalFormatting sqref="Q32:Q39">
    <cfRule type="cellIs" dxfId="1610" priority="1616" operator="lessThan">
      <formula>0</formula>
    </cfRule>
  </conditionalFormatting>
  <conditionalFormatting sqref="Q32:Q39">
    <cfRule type="cellIs" dxfId="1609" priority="1610" operator="lessThan">
      <formula>0</formula>
    </cfRule>
  </conditionalFormatting>
  <conditionalFormatting sqref="R32:R39">
    <cfRule type="cellIs" dxfId="1608" priority="1608" operator="lessThan">
      <formula>0.8</formula>
    </cfRule>
    <cfRule type="cellIs" dxfId="1607" priority="1609" operator="greaterThan">
      <formula>1</formula>
    </cfRule>
  </conditionalFormatting>
  <conditionalFormatting sqref="R32:R39">
    <cfRule type="cellIs" dxfId="1606" priority="1606" operator="greaterThan">
      <formula>1</formula>
    </cfRule>
    <cfRule type="cellIs" dxfId="1605" priority="1607" operator="lessThan">
      <formula>0.8</formula>
    </cfRule>
  </conditionalFormatting>
  <conditionalFormatting sqref="P32:P39">
    <cfRule type="cellIs" dxfId="1604" priority="1605" operator="greaterThan">
      <formula>0</formula>
    </cfRule>
  </conditionalFormatting>
  <conditionalFormatting sqref="Q32:Q39">
    <cfRule type="cellIs" dxfId="1603" priority="1599" operator="lessThan">
      <formula>0</formula>
    </cfRule>
  </conditionalFormatting>
  <conditionalFormatting sqref="R32:R39">
    <cfRule type="cellIs" dxfId="1602" priority="1603" operator="lessThan">
      <formula>0.8</formula>
    </cfRule>
    <cfRule type="cellIs" dxfId="1601" priority="1604" operator="greaterThan">
      <formula>1</formula>
    </cfRule>
  </conditionalFormatting>
  <conditionalFormatting sqref="R32:R39">
    <cfRule type="cellIs" dxfId="1600" priority="1601" operator="greaterThan">
      <formula>1</formula>
    </cfRule>
    <cfRule type="cellIs" dxfId="1599" priority="1602" operator="lessThan">
      <formula>0.8</formula>
    </cfRule>
  </conditionalFormatting>
  <conditionalFormatting sqref="P32:P39">
    <cfRule type="cellIs" dxfId="1598" priority="1600" operator="greaterThan">
      <formula>0</formula>
    </cfRule>
  </conditionalFormatting>
  <conditionalFormatting sqref="Q32:Q39">
    <cfRule type="cellIs" dxfId="1597" priority="1598" operator="lessThan">
      <formula>0</formula>
    </cfRule>
  </conditionalFormatting>
  <conditionalFormatting sqref="R32:R39">
    <cfRule type="cellIs" dxfId="1596" priority="1596" operator="lessThan">
      <formula>0.8</formula>
    </cfRule>
    <cfRule type="cellIs" dxfId="1595" priority="1597" operator="greaterThan">
      <formula>1</formula>
    </cfRule>
  </conditionalFormatting>
  <conditionalFormatting sqref="R32:R39">
    <cfRule type="cellIs" dxfId="1594" priority="1594" operator="greaterThan">
      <formula>1</formula>
    </cfRule>
    <cfRule type="cellIs" dxfId="1593" priority="1595" operator="lessThan">
      <formula>0.8</formula>
    </cfRule>
  </conditionalFormatting>
  <conditionalFormatting sqref="P32:P39">
    <cfRule type="cellIs" dxfId="1592" priority="1593" operator="greaterThan">
      <formula>0</formula>
    </cfRule>
  </conditionalFormatting>
  <conditionalFormatting sqref="Q32:Q39">
    <cfRule type="cellIs" dxfId="1591" priority="1592" operator="lessThan">
      <formula>0</formula>
    </cfRule>
  </conditionalFormatting>
  <conditionalFormatting sqref="R32:R39">
    <cfRule type="cellIs" dxfId="1590" priority="1590" operator="lessThan">
      <formula>0.8</formula>
    </cfRule>
    <cfRule type="cellIs" dxfId="1589" priority="1591" operator="greaterThan">
      <formula>1</formula>
    </cfRule>
  </conditionalFormatting>
  <conditionalFormatting sqref="R32:R39">
    <cfRule type="cellIs" dxfId="1588" priority="1588" operator="greaterThan">
      <formula>1</formula>
    </cfRule>
    <cfRule type="cellIs" dxfId="1587" priority="1589" operator="lessThan">
      <formula>0.8</formula>
    </cfRule>
  </conditionalFormatting>
  <conditionalFormatting sqref="P32:P39">
    <cfRule type="cellIs" dxfId="1586" priority="1587" operator="greaterThan">
      <formula>0</formula>
    </cfRule>
  </conditionalFormatting>
  <conditionalFormatting sqref="Q32:Q39">
    <cfRule type="cellIs" dxfId="1585" priority="1586" operator="lessThan">
      <formula>0</formula>
    </cfRule>
  </conditionalFormatting>
  <conditionalFormatting sqref="R32:R39">
    <cfRule type="cellIs" dxfId="1584" priority="1584" operator="lessThan">
      <formula>0.8</formula>
    </cfRule>
    <cfRule type="cellIs" dxfId="1583" priority="1585" operator="greaterThan">
      <formula>1</formula>
    </cfRule>
  </conditionalFormatting>
  <conditionalFormatting sqref="R32:R39">
    <cfRule type="cellIs" dxfId="1582" priority="1582" operator="greaterThan">
      <formula>1</formula>
    </cfRule>
    <cfRule type="cellIs" dxfId="1581" priority="1583" operator="lessThan">
      <formula>0.8</formula>
    </cfRule>
  </conditionalFormatting>
  <conditionalFormatting sqref="P32:P39">
    <cfRule type="cellIs" dxfId="1580" priority="1581" operator="greaterThan">
      <formula>0</formula>
    </cfRule>
  </conditionalFormatting>
  <conditionalFormatting sqref="Q32:Q39">
    <cfRule type="cellIs" dxfId="1579" priority="1580" operator="lessThan">
      <formula>0</formula>
    </cfRule>
  </conditionalFormatting>
  <conditionalFormatting sqref="R32:R39">
    <cfRule type="cellIs" dxfId="1578" priority="1578" operator="lessThan">
      <formula>0.8</formula>
    </cfRule>
    <cfRule type="cellIs" dxfId="1577" priority="1579" operator="greaterThan">
      <formula>1</formula>
    </cfRule>
  </conditionalFormatting>
  <conditionalFormatting sqref="R32:R39">
    <cfRule type="cellIs" dxfId="1576" priority="1576" operator="greaterThan">
      <formula>1</formula>
    </cfRule>
    <cfRule type="cellIs" dxfId="1575" priority="1577" operator="lessThan">
      <formula>0.8</formula>
    </cfRule>
  </conditionalFormatting>
  <conditionalFormatting sqref="P32:P39">
    <cfRule type="cellIs" dxfId="1574" priority="1575" operator="greaterThan">
      <formula>0</formula>
    </cfRule>
  </conditionalFormatting>
  <conditionalFormatting sqref="Q32:Q39">
    <cfRule type="cellIs" dxfId="1573" priority="1574" operator="lessThan">
      <formula>0</formula>
    </cfRule>
  </conditionalFormatting>
  <conditionalFormatting sqref="R32:R39">
    <cfRule type="cellIs" dxfId="1572" priority="1572" operator="lessThan">
      <formula>0.8</formula>
    </cfRule>
    <cfRule type="cellIs" dxfId="1571" priority="1573" operator="greaterThan">
      <formula>1</formula>
    </cfRule>
  </conditionalFormatting>
  <conditionalFormatting sqref="R32:R39">
    <cfRule type="cellIs" dxfId="1570" priority="1570" operator="greaterThan">
      <formula>1</formula>
    </cfRule>
    <cfRule type="cellIs" dxfId="1569" priority="1571" operator="lessThan">
      <formula>0.8</formula>
    </cfRule>
  </conditionalFormatting>
  <conditionalFormatting sqref="P32:P39">
    <cfRule type="cellIs" dxfId="1568" priority="1569" operator="greaterThan">
      <formula>0</formula>
    </cfRule>
  </conditionalFormatting>
  <conditionalFormatting sqref="P32:P39">
    <cfRule type="cellIs" dxfId="1567" priority="1563" operator="greaterThan">
      <formula>0</formula>
    </cfRule>
  </conditionalFormatting>
  <conditionalFormatting sqref="Q32:Q39">
    <cfRule type="cellIs" dxfId="1566" priority="1568" operator="lessThan">
      <formula>0</formula>
    </cfRule>
  </conditionalFormatting>
  <conditionalFormatting sqref="R32:R39">
    <cfRule type="cellIs" dxfId="1565" priority="1566" operator="lessThan">
      <formula>0.8</formula>
    </cfRule>
    <cfRule type="cellIs" dxfId="1564" priority="1567" operator="greaterThan">
      <formula>1</formula>
    </cfRule>
  </conditionalFormatting>
  <conditionalFormatting sqref="R32:R39">
    <cfRule type="cellIs" dxfId="1563" priority="1564" operator="greaterThan">
      <formula>1</formula>
    </cfRule>
    <cfRule type="cellIs" dxfId="1562" priority="1565" operator="lessThan">
      <formula>0.8</formula>
    </cfRule>
  </conditionalFormatting>
  <conditionalFormatting sqref="P32:P39">
    <cfRule type="cellIs" dxfId="1561" priority="1557" operator="greaterThan">
      <formula>0</formula>
    </cfRule>
  </conditionalFormatting>
  <conditionalFormatting sqref="Q32:Q39">
    <cfRule type="cellIs" dxfId="1560" priority="1562" operator="lessThan">
      <formula>0</formula>
    </cfRule>
  </conditionalFormatting>
  <conditionalFormatting sqref="R32:R39">
    <cfRule type="cellIs" dxfId="1559" priority="1560" operator="lessThan">
      <formula>0.8</formula>
    </cfRule>
    <cfRule type="cellIs" dxfId="1558" priority="1561" operator="greaterThan">
      <formula>1</formula>
    </cfRule>
  </conditionalFormatting>
  <conditionalFormatting sqref="R32:R39">
    <cfRule type="cellIs" dxfId="1557" priority="1558" operator="greaterThan">
      <formula>1</formula>
    </cfRule>
    <cfRule type="cellIs" dxfId="1556" priority="1559" operator="lessThan">
      <formula>0.8</formula>
    </cfRule>
  </conditionalFormatting>
  <conditionalFormatting sqref="R32:R39">
    <cfRule type="cellIs" dxfId="1555" priority="1554" operator="lessThan">
      <formula>0.8</formula>
    </cfRule>
    <cfRule type="cellIs" dxfId="1554" priority="1555" operator="greaterThan">
      <formula>1</formula>
    </cfRule>
  </conditionalFormatting>
  <conditionalFormatting sqref="R32:R39">
    <cfRule type="cellIs" dxfId="1553" priority="1552" operator="greaterThan">
      <formula>1</formula>
    </cfRule>
    <cfRule type="cellIs" dxfId="1552" priority="1553" operator="lessThan">
      <formula>0.8</formula>
    </cfRule>
  </conditionalFormatting>
  <conditionalFormatting sqref="P32:P39">
    <cfRule type="cellIs" dxfId="1551" priority="1551" operator="greaterThan">
      <formula>0</formula>
    </cfRule>
  </conditionalFormatting>
  <conditionalFormatting sqref="Q32:Q39">
    <cfRule type="cellIs" dxfId="1550" priority="1556" operator="lessThan">
      <formula>0</formula>
    </cfRule>
  </conditionalFormatting>
  <conditionalFormatting sqref="Q32:Q39">
    <cfRule type="cellIs" dxfId="1549" priority="1545" operator="lessThan">
      <formula>0</formula>
    </cfRule>
  </conditionalFormatting>
  <conditionalFormatting sqref="P32:P39">
    <cfRule type="cellIs" dxfId="1548" priority="1546" operator="greaterThan">
      <formula>0</formula>
    </cfRule>
  </conditionalFormatting>
  <conditionalFormatting sqref="R32:R39">
    <cfRule type="cellIs" dxfId="1547" priority="1549" operator="lessThan">
      <formula>0.8</formula>
    </cfRule>
    <cfRule type="cellIs" dxfId="1546" priority="1550" operator="greaterThan">
      <formula>1</formula>
    </cfRule>
  </conditionalFormatting>
  <conditionalFormatting sqref="R32:R39">
    <cfRule type="cellIs" dxfId="1545" priority="1547" operator="greaterThan">
      <formula>1</formula>
    </cfRule>
    <cfRule type="cellIs" dxfId="1544" priority="1548" operator="lessThan">
      <formula>0.8</formula>
    </cfRule>
  </conditionalFormatting>
  <conditionalFormatting sqref="Q32:Q39">
    <cfRule type="cellIs" dxfId="1543" priority="1539" operator="lessThan">
      <formula>0</formula>
    </cfRule>
  </conditionalFormatting>
  <conditionalFormatting sqref="R32:R39">
    <cfRule type="cellIs" dxfId="1542" priority="1543" operator="lessThan">
      <formula>0.8</formula>
    </cfRule>
    <cfRule type="cellIs" dxfId="1541" priority="1544" operator="greaterThan">
      <formula>1</formula>
    </cfRule>
  </conditionalFormatting>
  <conditionalFormatting sqref="R32:R39">
    <cfRule type="cellIs" dxfId="1540" priority="1541" operator="greaterThan">
      <formula>1</formula>
    </cfRule>
    <cfRule type="cellIs" dxfId="1539" priority="1542" operator="lessThan">
      <formula>0.8</formula>
    </cfRule>
  </conditionalFormatting>
  <conditionalFormatting sqref="P32:P39">
    <cfRule type="cellIs" dxfId="1538" priority="1540" operator="greaterThan">
      <formula>0</formula>
    </cfRule>
  </conditionalFormatting>
  <conditionalFormatting sqref="Q32:Q39">
    <cfRule type="cellIs" dxfId="1537" priority="1538" operator="lessThan">
      <formula>0</formula>
    </cfRule>
  </conditionalFormatting>
  <conditionalFormatting sqref="R32:R39">
    <cfRule type="cellIs" dxfId="1536" priority="1536" operator="lessThan">
      <formula>0.8</formula>
    </cfRule>
    <cfRule type="cellIs" dxfId="1535" priority="1537" operator="greaterThan">
      <formula>1</formula>
    </cfRule>
  </conditionalFormatting>
  <conditionalFormatting sqref="R32:R39">
    <cfRule type="cellIs" dxfId="1534" priority="1534" operator="greaterThan">
      <formula>1</formula>
    </cfRule>
    <cfRule type="cellIs" dxfId="1533" priority="1535" operator="lessThan">
      <formula>0.8</formula>
    </cfRule>
  </conditionalFormatting>
  <conditionalFormatting sqref="P32:P39">
    <cfRule type="cellIs" dxfId="1532" priority="1533" operator="greaterThan">
      <formula>0</formula>
    </cfRule>
  </conditionalFormatting>
  <conditionalFormatting sqref="Q32:Q39">
    <cfRule type="cellIs" dxfId="1531" priority="1532" operator="lessThan">
      <formula>0</formula>
    </cfRule>
  </conditionalFormatting>
  <conditionalFormatting sqref="R32:R39">
    <cfRule type="cellIs" dxfId="1530" priority="1530" operator="lessThan">
      <formula>0.8</formula>
    </cfRule>
    <cfRule type="cellIs" dxfId="1529" priority="1531" operator="greaterThan">
      <formula>1</formula>
    </cfRule>
  </conditionalFormatting>
  <conditionalFormatting sqref="R32:R39">
    <cfRule type="cellIs" dxfId="1528" priority="1528" operator="greaterThan">
      <formula>1</formula>
    </cfRule>
    <cfRule type="cellIs" dxfId="1527" priority="1529" operator="lessThan">
      <formula>0.8</formula>
    </cfRule>
  </conditionalFormatting>
  <conditionalFormatting sqref="P32:P39">
    <cfRule type="cellIs" dxfId="1526" priority="1527" operator="greaterThan">
      <formula>0</formula>
    </cfRule>
  </conditionalFormatting>
  <conditionalFormatting sqref="Q32:Q39">
    <cfRule type="cellIs" dxfId="1525" priority="1526" operator="lessThan">
      <formula>0</formula>
    </cfRule>
  </conditionalFormatting>
  <conditionalFormatting sqref="R32:R39">
    <cfRule type="cellIs" dxfId="1524" priority="1524" operator="lessThan">
      <formula>0.8</formula>
    </cfRule>
    <cfRule type="cellIs" dxfId="1523" priority="1525" operator="greaterThan">
      <formula>1</formula>
    </cfRule>
  </conditionalFormatting>
  <conditionalFormatting sqref="R32:R39">
    <cfRule type="cellIs" dxfId="1522" priority="1522" operator="greaterThan">
      <formula>1</formula>
    </cfRule>
    <cfRule type="cellIs" dxfId="1521" priority="1523" operator="lessThan">
      <formula>0.8</formula>
    </cfRule>
  </conditionalFormatting>
  <conditionalFormatting sqref="P32:P39">
    <cfRule type="cellIs" dxfId="1520" priority="1521" operator="greaterThan">
      <formula>0</formula>
    </cfRule>
  </conditionalFormatting>
  <conditionalFormatting sqref="Q32:Q39">
    <cfRule type="cellIs" dxfId="1519" priority="1520" operator="lessThan">
      <formula>0</formula>
    </cfRule>
  </conditionalFormatting>
  <conditionalFormatting sqref="R32:R39">
    <cfRule type="cellIs" dxfId="1518" priority="1518" operator="lessThan">
      <formula>0.8</formula>
    </cfRule>
    <cfRule type="cellIs" dxfId="1517" priority="1519" operator="greaterThan">
      <formula>1</formula>
    </cfRule>
  </conditionalFormatting>
  <conditionalFormatting sqref="R32:R39">
    <cfRule type="cellIs" dxfId="1516" priority="1516" operator="greaterThan">
      <formula>1</formula>
    </cfRule>
    <cfRule type="cellIs" dxfId="1515" priority="1517" operator="lessThan">
      <formula>0.8</formula>
    </cfRule>
  </conditionalFormatting>
  <conditionalFormatting sqref="P32:P39">
    <cfRule type="cellIs" dxfId="1514" priority="1515" operator="greaterThan">
      <formula>0</formula>
    </cfRule>
  </conditionalFormatting>
  <conditionalFormatting sqref="Q97 Q99 Q101:Q104">
    <cfRule type="cellIs" dxfId="1513" priority="1514" operator="lessThan">
      <formula>0</formula>
    </cfRule>
  </conditionalFormatting>
  <conditionalFormatting sqref="P97 P99 P101:P104">
    <cfRule type="cellIs" dxfId="1512" priority="1513" operator="greaterThan">
      <formula>0</formula>
    </cfRule>
  </conditionalFormatting>
  <conditionalFormatting sqref="P97 P99 P101:P104">
    <cfRule type="cellIs" dxfId="1511" priority="1511" operator="greaterThan">
      <formula>0</formula>
    </cfRule>
  </conditionalFormatting>
  <conditionalFormatting sqref="Q97 Q99 Q101:Q104">
    <cfRule type="cellIs" dxfId="1510" priority="1512" operator="lessThan">
      <formula>0</formula>
    </cfRule>
  </conditionalFormatting>
  <conditionalFormatting sqref="P97 P99 P101:P104">
    <cfRule type="cellIs" dxfId="1509" priority="1509" operator="greaterThan">
      <formula>0</formula>
    </cfRule>
  </conditionalFormatting>
  <conditionalFormatting sqref="Q97 Q99 Q101:Q104">
    <cfRule type="cellIs" dxfId="1508" priority="1510" operator="lessThan">
      <formula>0</formula>
    </cfRule>
  </conditionalFormatting>
  <conditionalFormatting sqref="Q97 Q99 Q101:Q104">
    <cfRule type="cellIs" dxfId="1507" priority="1508" operator="lessThan">
      <formula>0</formula>
    </cfRule>
  </conditionalFormatting>
  <conditionalFormatting sqref="P97 P99 P101:P104">
    <cfRule type="cellIs" dxfId="1506" priority="1507" operator="greaterThan">
      <formula>0</formula>
    </cfRule>
  </conditionalFormatting>
  <conditionalFormatting sqref="P97 P99 P101:P104">
    <cfRule type="cellIs" dxfId="1505" priority="1505" operator="greaterThan">
      <formula>0</formula>
    </cfRule>
  </conditionalFormatting>
  <conditionalFormatting sqref="Q97 Q99 Q101:Q104">
    <cfRule type="cellIs" dxfId="1504" priority="1506" operator="lessThan">
      <formula>0</formula>
    </cfRule>
  </conditionalFormatting>
  <conditionalFormatting sqref="Q97 Q99 Q101:Q104">
    <cfRule type="cellIs" dxfId="1503" priority="1504" operator="lessThan">
      <formula>0</formula>
    </cfRule>
  </conditionalFormatting>
  <conditionalFormatting sqref="P97 P99 P101:P104">
    <cfRule type="cellIs" dxfId="1502" priority="1503" operator="greaterThan">
      <formula>0</formula>
    </cfRule>
  </conditionalFormatting>
  <conditionalFormatting sqref="Q97 Q99 Q101:Q104">
    <cfRule type="cellIs" dxfId="1501" priority="1501" operator="lessThan">
      <formula>0</formula>
    </cfRule>
  </conditionalFormatting>
  <conditionalFormatting sqref="P97 P99 P101:P104">
    <cfRule type="cellIs" dxfId="1500" priority="1502" operator="greaterThan">
      <formula>0</formula>
    </cfRule>
  </conditionalFormatting>
  <conditionalFormatting sqref="Q97 Q99 Q101:Q104">
    <cfRule type="cellIs" dxfId="1499" priority="1500" operator="lessThan">
      <formula>0</formula>
    </cfRule>
  </conditionalFormatting>
  <conditionalFormatting sqref="P97 P99 P101:P104">
    <cfRule type="cellIs" dxfId="1498" priority="1499" operator="greaterThan">
      <formula>0</formula>
    </cfRule>
  </conditionalFormatting>
  <conditionalFormatting sqref="Q97 Q99 Q101:Q104">
    <cfRule type="cellIs" dxfId="1497" priority="1498" operator="lessThan">
      <formula>0</formula>
    </cfRule>
  </conditionalFormatting>
  <conditionalFormatting sqref="P97 P99 P101:P104">
    <cfRule type="cellIs" dxfId="1496" priority="1497" operator="greaterThan">
      <formula>0</formula>
    </cfRule>
  </conditionalFormatting>
  <conditionalFormatting sqref="Q97 Q99 Q101:Q104">
    <cfRule type="cellIs" dxfId="1495" priority="1496" operator="lessThan">
      <formula>0</formula>
    </cfRule>
  </conditionalFormatting>
  <conditionalFormatting sqref="P97 P99 P101:P104">
    <cfRule type="cellIs" dxfId="1494" priority="1495" operator="greaterThan">
      <formula>0</formula>
    </cfRule>
  </conditionalFormatting>
  <conditionalFormatting sqref="Q97 Q99 Q101:Q104">
    <cfRule type="cellIs" dxfId="1493" priority="1494" operator="lessThan">
      <formula>0</formula>
    </cfRule>
  </conditionalFormatting>
  <conditionalFormatting sqref="P97 P99 P101:P104">
    <cfRule type="cellIs" dxfId="1492" priority="1493" operator="greaterThan">
      <formula>0</formula>
    </cfRule>
  </conditionalFormatting>
  <conditionalFormatting sqref="Q97 Q99 Q101:Q104">
    <cfRule type="cellIs" dxfId="1491" priority="1492" operator="lessThan">
      <formula>0</formula>
    </cfRule>
  </conditionalFormatting>
  <conditionalFormatting sqref="P97 P99 P101:P104">
    <cfRule type="cellIs" dxfId="1490" priority="1491" operator="greaterThan">
      <formula>0</formula>
    </cfRule>
  </conditionalFormatting>
  <conditionalFormatting sqref="P97 P99 P101:P104">
    <cfRule type="cellIs" dxfId="1489" priority="1489" operator="greaterThan">
      <formula>0</formula>
    </cfRule>
  </conditionalFormatting>
  <conditionalFormatting sqref="Q97 Q99 Q101:Q104">
    <cfRule type="cellIs" dxfId="1488" priority="1490" operator="lessThan">
      <formula>0</formula>
    </cfRule>
  </conditionalFormatting>
  <conditionalFormatting sqref="P97 P99 P101:P104">
    <cfRule type="cellIs" dxfId="1487" priority="1487" operator="greaterThan">
      <formula>0</formula>
    </cfRule>
  </conditionalFormatting>
  <conditionalFormatting sqref="Q97 Q99 Q101:Q104">
    <cfRule type="cellIs" dxfId="1486" priority="1488" operator="lessThan">
      <formula>0</formula>
    </cfRule>
  </conditionalFormatting>
  <conditionalFormatting sqref="P97 P99 P101:P104">
    <cfRule type="cellIs" dxfId="1485" priority="1485" operator="greaterThan">
      <formula>0</formula>
    </cfRule>
  </conditionalFormatting>
  <conditionalFormatting sqref="Q97 Q99 Q101:Q104">
    <cfRule type="cellIs" dxfId="1484" priority="1486" operator="lessThan">
      <formula>0</formula>
    </cfRule>
  </conditionalFormatting>
  <conditionalFormatting sqref="Q97 Q99 Q101:Q104">
    <cfRule type="cellIs" dxfId="1483" priority="1483" operator="lessThan">
      <formula>0</formula>
    </cfRule>
  </conditionalFormatting>
  <conditionalFormatting sqref="P97 P99 P101:P104">
    <cfRule type="cellIs" dxfId="1482" priority="1484" operator="greaterThan">
      <formula>0</formula>
    </cfRule>
  </conditionalFormatting>
  <conditionalFormatting sqref="Q97 Q99 Q101:Q104">
    <cfRule type="cellIs" dxfId="1481" priority="1481" operator="lessThan">
      <formula>0</formula>
    </cfRule>
  </conditionalFormatting>
  <conditionalFormatting sqref="P97 P99 P101:P104">
    <cfRule type="cellIs" dxfId="1480" priority="1482" operator="greaterThan">
      <formula>0</formula>
    </cfRule>
  </conditionalFormatting>
  <conditionalFormatting sqref="Q97 Q99 Q101:Q104">
    <cfRule type="cellIs" dxfId="1479" priority="1480" operator="lessThan">
      <formula>0</formula>
    </cfRule>
  </conditionalFormatting>
  <conditionalFormatting sqref="P97 P99 P101:P104">
    <cfRule type="cellIs" dxfId="1478" priority="1479" operator="greaterThan">
      <formula>0</formula>
    </cfRule>
  </conditionalFormatting>
  <conditionalFormatting sqref="Q97 Q99 Q101:Q104">
    <cfRule type="cellIs" dxfId="1477" priority="1478" operator="lessThan">
      <formula>0</formula>
    </cfRule>
  </conditionalFormatting>
  <conditionalFormatting sqref="P97 P99 P101:P104">
    <cfRule type="cellIs" dxfId="1476" priority="1477" operator="greaterThan">
      <formula>0</formula>
    </cfRule>
  </conditionalFormatting>
  <conditionalFormatting sqref="Q97 Q99 Q101:Q104">
    <cfRule type="cellIs" dxfId="1475" priority="1475" operator="lessThan">
      <formula>0</formula>
    </cfRule>
  </conditionalFormatting>
  <conditionalFormatting sqref="P97 P99 P101:P104">
    <cfRule type="cellIs" dxfId="1474" priority="1476" operator="greaterThan">
      <formula>0</formula>
    </cfRule>
  </conditionalFormatting>
  <conditionalFormatting sqref="Q97 Q99 Q101:Q104">
    <cfRule type="cellIs" dxfId="1473" priority="1473" operator="lessThan">
      <formula>0</formula>
    </cfRule>
  </conditionalFormatting>
  <conditionalFormatting sqref="P97 P99 P101:P104">
    <cfRule type="cellIs" dxfId="1472" priority="1474" operator="greaterThan">
      <formula>0</formula>
    </cfRule>
  </conditionalFormatting>
  <conditionalFormatting sqref="Q97 Q99 Q101:Q104">
    <cfRule type="cellIs" dxfId="1471" priority="1472" operator="lessThan">
      <formula>0</formula>
    </cfRule>
  </conditionalFormatting>
  <conditionalFormatting sqref="P97 P99 P101:P104">
    <cfRule type="cellIs" dxfId="1470" priority="1471" operator="greaterThan">
      <formula>0</formula>
    </cfRule>
  </conditionalFormatting>
  <conditionalFormatting sqref="Q97 Q99 Q101:Q104">
    <cfRule type="cellIs" dxfId="1469" priority="1470" operator="lessThan">
      <formula>0</formula>
    </cfRule>
  </conditionalFormatting>
  <conditionalFormatting sqref="P97 P99 P101:P104">
    <cfRule type="cellIs" dxfId="1468" priority="1469" operator="greaterThan">
      <formula>0</formula>
    </cfRule>
  </conditionalFormatting>
  <conditionalFormatting sqref="P97 P99 P101:P104">
    <cfRule type="cellIs" dxfId="1467" priority="1467" operator="greaterThan">
      <formula>0</formula>
    </cfRule>
  </conditionalFormatting>
  <conditionalFormatting sqref="Q97 Q99 Q101:Q104">
    <cfRule type="cellIs" dxfId="1466" priority="1468" operator="lessThan">
      <formula>0</formula>
    </cfRule>
  </conditionalFormatting>
  <conditionalFormatting sqref="P97 P99 P101:P104">
    <cfRule type="cellIs" dxfId="1465" priority="1465" operator="greaterThan">
      <formula>0</formula>
    </cfRule>
  </conditionalFormatting>
  <conditionalFormatting sqref="Q97 Q99 Q101:Q104">
    <cfRule type="cellIs" dxfId="1464" priority="1466" operator="lessThan">
      <formula>0</formula>
    </cfRule>
  </conditionalFormatting>
  <conditionalFormatting sqref="Q97 Q99 Q101:Q104">
    <cfRule type="cellIs" dxfId="1463" priority="1463" operator="lessThan">
      <formula>0</formula>
    </cfRule>
  </conditionalFormatting>
  <conditionalFormatting sqref="P97 P99 P101:P104">
    <cfRule type="cellIs" dxfId="1462" priority="1464" operator="greaterThan">
      <formula>0</formula>
    </cfRule>
  </conditionalFormatting>
  <conditionalFormatting sqref="Q97 Q99 Q101:Q104">
    <cfRule type="cellIs" dxfId="1461" priority="1462" operator="lessThan">
      <formula>0</formula>
    </cfRule>
  </conditionalFormatting>
  <conditionalFormatting sqref="P97 P99 P101:P104">
    <cfRule type="cellIs" dxfId="1460" priority="1461" operator="greaterThan">
      <formula>0</formula>
    </cfRule>
  </conditionalFormatting>
  <conditionalFormatting sqref="Q97 Q99 Q101:Q104">
    <cfRule type="cellIs" dxfId="1459" priority="1460" operator="lessThan">
      <formula>0</formula>
    </cfRule>
  </conditionalFormatting>
  <conditionalFormatting sqref="P97 P99 P101:P104">
    <cfRule type="cellIs" dxfId="1458" priority="1459" operator="greaterThan">
      <formula>0</formula>
    </cfRule>
  </conditionalFormatting>
  <conditionalFormatting sqref="Q97 Q99 Q101:Q104">
    <cfRule type="cellIs" dxfId="1457" priority="1458" operator="lessThan">
      <formula>0</formula>
    </cfRule>
  </conditionalFormatting>
  <conditionalFormatting sqref="P97 P99 P101:P104">
    <cfRule type="cellIs" dxfId="1456" priority="1457" operator="greaterThan">
      <formula>0</formula>
    </cfRule>
  </conditionalFormatting>
  <conditionalFormatting sqref="Q97 Q99 Q101:Q104">
    <cfRule type="cellIs" dxfId="1455" priority="1456" operator="lessThan">
      <formula>0</formula>
    </cfRule>
  </conditionalFormatting>
  <conditionalFormatting sqref="P97 P99 P101:P104">
    <cfRule type="cellIs" dxfId="1454" priority="1455" operator="greaterThan">
      <formula>0</formula>
    </cfRule>
  </conditionalFormatting>
  <conditionalFormatting sqref="Q97 Q99 Q101:Q104">
    <cfRule type="cellIs" dxfId="1453" priority="1454" operator="lessThan">
      <formula>0</formula>
    </cfRule>
  </conditionalFormatting>
  <conditionalFormatting sqref="P97 P99 P101:P104">
    <cfRule type="cellIs" dxfId="1452" priority="1453" operator="greaterThan">
      <formula>0</formula>
    </cfRule>
  </conditionalFormatting>
  <conditionalFormatting sqref="P97 P99 P101:P104">
    <cfRule type="cellIs" dxfId="1451" priority="1451" operator="greaterThan">
      <formula>0</formula>
    </cfRule>
  </conditionalFormatting>
  <conditionalFormatting sqref="Q97 Q99 Q101:Q104">
    <cfRule type="cellIs" dxfId="1450" priority="1452" operator="lessThan">
      <formula>0</formula>
    </cfRule>
  </conditionalFormatting>
  <conditionalFormatting sqref="P97 P99 P101:P104">
    <cfRule type="cellIs" dxfId="1449" priority="1449" operator="greaterThan">
      <formula>0</formula>
    </cfRule>
  </conditionalFormatting>
  <conditionalFormatting sqref="Q97 Q99 Q101:Q104">
    <cfRule type="cellIs" dxfId="1448" priority="1450" operator="lessThan">
      <formula>0</formula>
    </cfRule>
  </conditionalFormatting>
  <conditionalFormatting sqref="P97 P99 P101:P104">
    <cfRule type="cellIs" dxfId="1447" priority="1447" operator="greaterThan">
      <formula>0</formula>
    </cfRule>
  </conditionalFormatting>
  <conditionalFormatting sqref="Q97 Q99 Q101:Q104">
    <cfRule type="cellIs" dxfId="1446" priority="1448" operator="lessThan">
      <formula>0</formula>
    </cfRule>
  </conditionalFormatting>
  <conditionalFormatting sqref="Q97 Q99 Q101:Q104">
    <cfRule type="cellIs" dxfId="1445" priority="1445" operator="lessThan">
      <formula>0</formula>
    </cfRule>
  </conditionalFormatting>
  <conditionalFormatting sqref="P97 P99 P101:P104">
    <cfRule type="cellIs" dxfId="1444" priority="1446" operator="greaterThan">
      <formula>0</formula>
    </cfRule>
  </conditionalFormatting>
  <conditionalFormatting sqref="Q97 Q99 Q101:Q104">
    <cfRule type="cellIs" dxfId="1443" priority="1443" operator="lessThan">
      <formula>0</formula>
    </cfRule>
  </conditionalFormatting>
  <conditionalFormatting sqref="P97 P99 P101:P104">
    <cfRule type="cellIs" dxfId="1442" priority="1444" operator="greaterThan">
      <formula>0</formula>
    </cfRule>
  </conditionalFormatting>
  <conditionalFormatting sqref="Q97 Q99 Q101:Q104">
    <cfRule type="cellIs" dxfId="1441" priority="1442" operator="lessThan">
      <formula>0</formula>
    </cfRule>
  </conditionalFormatting>
  <conditionalFormatting sqref="P97 P99 P101:P104">
    <cfRule type="cellIs" dxfId="1440" priority="1441" operator="greaterThan">
      <formula>0</formula>
    </cfRule>
  </conditionalFormatting>
  <conditionalFormatting sqref="Q97 Q99 Q101:Q104">
    <cfRule type="cellIs" dxfId="1439" priority="1440" operator="lessThan">
      <formula>0</formula>
    </cfRule>
  </conditionalFormatting>
  <conditionalFormatting sqref="P97 P99 P101:P104">
    <cfRule type="cellIs" dxfId="1438" priority="1439" operator="greaterThan">
      <formula>0</formula>
    </cfRule>
  </conditionalFormatting>
  <conditionalFormatting sqref="Q98 Q105 Q100">
    <cfRule type="cellIs" dxfId="1437" priority="1438" operator="lessThan">
      <formula>0</formula>
    </cfRule>
  </conditionalFormatting>
  <conditionalFormatting sqref="P98 P105 P100">
    <cfRule type="cellIs" dxfId="1436" priority="1437" operator="greaterThan">
      <formula>0</formula>
    </cfRule>
  </conditionalFormatting>
  <conditionalFormatting sqref="P98 P105 P100">
    <cfRule type="cellIs" dxfId="1435" priority="1435" operator="greaterThan">
      <formula>0</formula>
    </cfRule>
  </conditionalFormatting>
  <conditionalFormatting sqref="Q98 Q105 Q100">
    <cfRule type="cellIs" dxfId="1434" priority="1436" operator="lessThan">
      <formula>0</formula>
    </cfRule>
  </conditionalFormatting>
  <conditionalFormatting sqref="Q98 Q105 Q100">
    <cfRule type="cellIs" dxfId="1433" priority="1434" operator="lessThan">
      <formula>0</formula>
    </cfRule>
  </conditionalFormatting>
  <conditionalFormatting sqref="P98 P105 P100">
    <cfRule type="cellIs" dxfId="1432" priority="1433" operator="greaterThan">
      <formula>0</formula>
    </cfRule>
  </conditionalFormatting>
  <conditionalFormatting sqref="Q96">
    <cfRule type="cellIs" dxfId="1431" priority="1427" operator="lessThan">
      <formula>0</formula>
    </cfRule>
  </conditionalFormatting>
  <conditionalFormatting sqref="P96">
    <cfRule type="cellIs" dxfId="1430" priority="1428" operator="greaterThan">
      <formula>0</formula>
    </cfRule>
  </conditionalFormatting>
  <conditionalFormatting sqref="R96:R105">
    <cfRule type="cellIs" dxfId="1429" priority="1431" operator="lessThan">
      <formula>0.8</formula>
    </cfRule>
    <cfRule type="cellIs" dxfId="1428" priority="1432" operator="greaterThan">
      <formula>1</formula>
    </cfRule>
  </conditionalFormatting>
  <conditionalFormatting sqref="R96:R105">
    <cfRule type="cellIs" dxfId="1427" priority="1429" operator="greaterThan">
      <formula>1</formula>
    </cfRule>
    <cfRule type="cellIs" dxfId="1426" priority="1430" operator="lessThan">
      <formula>0.8</formula>
    </cfRule>
  </conditionalFormatting>
  <conditionalFormatting sqref="Q96">
    <cfRule type="cellIs" dxfId="1425" priority="1421" operator="lessThan">
      <formula>0</formula>
    </cfRule>
  </conditionalFormatting>
  <conditionalFormatting sqref="R96:R105">
    <cfRule type="cellIs" dxfId="1424" priority="1425" operator="lessThan">
      <formula>0.8</formula>
    </cfRule>
    <cfRule type="cellIs" dxfId="1423" priority="1426" operator="greaterThan">
      <formula>1</formula>
    </cfRule>
  </conditionalFormatting>
  <conditionalFormatting sqref="R96:R105">
    <cfRule type="cellIs" dxfId="1422" priority="1423" operator="greaterThan">
      <formula>1</formula>
    </cfRule>
    <cfRule type="cellIs" dxfId="1421" priority="1424" operator="lessThan">
      <formula>0.8</formula>
    </cfRule>
  </conditionalFormatting>
  <conditionalFormatting sqref="P96">
    <cfRule type="cellIs" dxfId="1420" priority="1422" operator="greaterThan">
      <formula>0</formula>
    </cfRule>
  </conditionalFormatting>
  <conditionalFormatting sqref="Q96">
    <cfRule type="cellIs" dxfId="1419" priority="1420" operator="lessThan">
      <formula>0</formula>
    </cfRule>
  </conditionalFormatting>
  <conditionalFormatting sqref="R96:R105">
    <cfRule type="cellIs" dxfId="1418" priority="1418" operator="lessThan">
      <formula>0.8</formula>
    </cfRule>
    <cfRule type="cellIs" dxfId="1417" priority="1419" operator="greaterThan">
      <formula>1</formula>
    </cfRule>
  </conditionalFormatting>
  <conditionalFormatting sqref="R96:R105">
    <cfRule type="cellIs" dxfId="1416" priority="1416" operator="greaterThan">
      <formula>1</formula>
    </cfRule>
    <cfRule type="cellIs" dxfId="1415" priority="1417" operator="lessThan">
      <formula>0.8</formula>
    </cfRule>
  </conditionalFormatting>
  <conditionalFormatting sqref="P96">
    <cfRule type="cellIs" dxfId="1414" priority="1415" operator="greaterThan">
      <formula>0</formula>
    </cfRule>
  </conditionalFormatting>
  <conditionalFormatting sqref="Q96">
    <cfRule type="cellIs" dxfId="1413" priority="1414" operator="lessThan">
      <formula>0</formula>
    </cfRule>
  </conditionalFormatting>
  <conditionalFormatting sqref="R96:R105">
    <cfRule type="cellIs" dxfId="1412" priority="1412" operator="lessThan">
      <formula>0.8</formula>
    </cfRule>
    <cfRule type="cellIs" dxfId="1411" priority="1413" operator="greaterThan">
      <formula>1</formula>
    </cfRule>
  </conditionalFormatting>
  <conditionalFormatting sqref="R96:R105">
    <cfRule type="cellIs" dxfId="1410" priority="1410" operator="greaterThan">
      <formula>1</formula>
    </cfRule>
    <cfRule type="cellIs" dxfId="1409" priority="1411" operator="lessThan">
      <formula>0.8</formula>
    </cfRule>
  </conditionalFormatting>
  <conditionalFormatting sqref="P96">
    <cfRule type="cellIs" dxfId="1408" priority="1409" operator="greaterThan">
      <formula>0</formula>
    </cfRule>
  </conditionalFormatting>
  <conditionalFormatting sqref="Q96">
    <cfRule type="cellIs" dxfId="1407" priority="1403" operator="lessThan">
      <formula>0</formula>
    </cfRule>
  </conditionalFormatting>
  <conditionalFormatting sqref="R96:R105">
    <cfRule type="cellIs" dxfId="1406" priority="1407" operator="lessThan">
      <formula>0.8</formula>
    </cfRule>
    <cfRule type="cellIs" dxfId="1405" priority="1408" operator="greaterThan">
      <formula>1</formula>
    </cfRule>
  </conditionalFormatting>
  <conditionalFormatting sqref="R96:R105">
    <cfRule type="cellIs" dxfId="1404" priority="1405" operator="greaterThan">
      <formula>1</formula>
    </cfRule>
    <cfRule type="cellIs" dxfId="1403" priority="1406" operator="lessThan">
      <formula>0.8</formula>
    </cfRule>
  </conditionalFormatting>
  <conditionalFormatting sqref="P96">
    <cfRule type="cellIs" dxfId="1402" priority="1404" operator="greaterThan">
      <formula>0</formula>
    </cfRule>
  </conditionalFormatting>
  <conditionalFormatting sqref="Q96">
    <cfRule type="cellIs" dxfId="1401" priority="1402" operator="lessThan">
      <formula>0</formula>
    </cfRule>
  </conditionalFormatting>
  <conditionalFormatting sqref="R96:R105">
    <cfRule type="cellIs" dxfId="1400" priority="1400" operator="lessThan">
      <formula>0.8</formula>
    </cfRule>
    <cfRule type="cellIs" dxfId="1399" priority="1401" operator="greaterThan">
      <formula>1</formula>
    </cfRule>
  </conditionalFormatting>
  <conditionalFormatting sqref="R96:R105">
    <cfRule type="cellIs" dxfId="1398" priority="1398" operator="greaterThan">
      <formula>1</formula>
    </cfRule>
    <cfRule type="cellIs" dxfId="1397" priority="1399" operator="lessThan">
      <formula>0.8</formula>
    </cfRule>
  </conditionalFormatting>
  <conditionalFormatting sqref="P96">
    <cfRule type="cellIs" dxfId="1396" priority="1397" operator="greaterThan">
      <formula>0</formula>
    </cfRule>
  </conditionalFormatting>
  <conditionalFormatting sqref="Q96">
    <cfRule type="cellIs" dxfId="1395" priority="1396" operator="lessThan">
      <formula>0</formula>
    </cfRule>
  </conditionalFormatting>
  <conditionalFormatting sqref="R96:R105">
    <cfRule type="cellIs" dxfId="1394" priority="1394" operator="lessThan">
      <formula>0.8</formula>
    </cfRule>
    <cfRule type="cellIs" dxfId="1393" priority="1395" operator="greaterThan">
      <formula>1</formula>
    </cfRule>
  </conditionalFormatting>
  <conditionalFormatting sqref="R96:R105">
    <cfRule type="cellIs" dxfId="1392" priority="1392" operator="greaterThan">
      <formula>1</formula>
    </cfRule>
    <cfRule type="cellIs" dxfId="1391" priority="1393" operator="lessThan">
      <formula>0.8</formula>
    </cfRule>
  </conditionalFormatting>
  <conditionalFormatting sqref="P96">
    <cfRule type="cellIs" dxfId="1390" priority="1391" operator="greaterThan">
      <formula>0</formula>
    </cfRule>
  </conditionalFormatting>
  <conditionalFormatting sqref="Q96">
    <cfRule type="cellIs" dxfId="1389" priority="1390" operator="lessThan">
      <formula>0</formula>
    </cfRule>
  </conditionalFormatting>
  <conditionalFormatting sqref="R96:R105">
    <cfRule type="cellIs" dxfId="1388" priority="1388" operator="lessThan">
      <formula>0.8</formula>
    </cfRule>
    <cfRule type="cellIs" dxfId="1387" priority="1389" operator="greaterThan">
      <formula>1</formula>
    </cfRule>
  </conditionalFormatting>
  <conditionalFormatting sqref="R96:R105">
    <cfRule type="cellIs" dxfId="1386" priority="1386" operator="greaterThan">
      <formula>1</formula>
    </cfRule>
    <cfRule type="cellIs" dxfId="1385" priority="1387" operator="lessThan">
      <formula>0.8</formula>
    </cfRule>
  </conditionalFormatting>
  <conditionalFormatting sqref="P96">
    <cfRule type="cellIs" dxfId="1384" priority="1385" operator="greaterThan">
      <formula>0</formula>
    </cfRule>
  </conditionalFormatting>
  <conditionalFormatting sqref="Q96">
    <cfRule type="cellIs" dxfId="1383" priority="1384" operator="lessThan">
      <formula>0</formula>
    </cfRule>
  </conditionalFormatting>
  <conditionalFormatting sqref="R96:R105">
    <cfRule type="cellIs" dxfId="1382" priority="1382" operator="lessThan">
      <formula>0.8</formula>
    </cfRule>
    <cfRule type="cellIs" dxfId="1381" priority="1383" operator="greaterThan">
      <formula>1</formula>
    </cfRule>
  </conditionalFormatting>
  <conditionalFormatting sqref="R96:R105">
    <cfRule type="cellIs" dxfId="1380" priority="1380" operator="greaterThan">
      <formula>1</formula>
    </cfRule>
    <cfRule type="cellIs" dxfId="1379" priority="1381" operator="lessThan">
      <formula>0.8</formula>
    </cfRule>
  </conditionalFormatting>
  <conditionalFormatting sqref="P96">
    <cfRule type="cellIs" dxfId="1378" priority="1379" operator="greaterThan">
      <formula>0</formula>
    </cfRule>
  </conditionalFormatting>
  <conditionalFormatting sqref="Q96">
    <cfRule type="cellIs" dxfId="1377" priority="1378" operator="lessThan">
      <formula>0</formula>
    </cfRule>
  </conditionalFormatting>
  <conditionalFormatting sqref="R96:R105">
    <cfRule type="cellIs" dxfId="1376" priority="1376" operator="lessThan">
      <formula>0.8</formula>
    </cfRule>
    <cfRule type="cellIs" dxfId="1375" priority="1377" operator="greaterThan">
      <formula>1</formula>
    </cfRule>
  </conditionalFormatting>
  <conditionalFormatting sqref="R96:R105">
    <cfRule type="cellIs" dxfId="1374" priority="1374" operator="greaterThan">
      <formula>1</formula>
    </cfRule>
    <cfRule type="cellIs" dxfId="1373" priority="1375" operator="lessThan">
      <formula>0.8</formula>
    </cfRule>
  </conditionalFormatting>
  <conditionalFormatting sqref="P96">
    <cfRule type="cellIs" dxfId="1372" priority="1373" operator="greaterThan">
      <formula>0</formula>
    </cfRule>
  </conditionalFormatting>
  <conditionalFormatting sqref="P96">
    <cfRule type="cellIs" dxfId="1371" priority="1367" operator="greaterThan">
      <formula>0</formula>
    </cfRule>
  </conditionalFormatting>
  <conditionalFormatting sqref="Q96">
    <cfRule type="cellIs" dxfId="1370" priority="1372" operator="lessThan">
      <formula>0</formula>
    </cfRule>
  </conditionalFormatting>
  <conditionalFormatting sqref="R96:R105">
    <cfRule type="cellIs" dxfId="1369" priority="1370" operator="lessThan">
      <formula>0.8</formula>
    </cfRule>
    <cfRule type="cellIs" dxfId="1368" priority="1371" operator="greaterThan">
      <formula>1</formula>
    </cfRule>
  </conditionalFormatting>
  <conditionalFormatting sqref="R96:R105">
    <cfRule type="cellIs" dxfId="1367" priority="1368" operator="greaterThan">
      <formula>1</formula>
    </cfRule>
    <cfRule type="cellIs" dxfId="1366" priority="1369" operator="lessThan">
      <formula>0.8</formula>
    </cfRule>
  </conditionalFormatting>
  <conditionalFormatting sqref="P96">
    <cfRule type="cellIs" dxfId="1365" priority="1361" operator="greaterThan">
      <formula>0</formula>
    </cfRule>
  </conditionalFormatting>
  <conditionalFormatting sqref="Q96">
    <cfRule type="cellIs" dxfId="1364" priority="1366" operator="lessThan">
      <formula>0</formula>
    </cfRule>
  </conditionalFormatting>
  <conditionalFormatting sqref="R96:R105">
    <cfRule type="cellIs" dxfId="1363" priority="1364" operator="lessThan">
      <formula>0.8</formula>
    </cfRule>
    <cfRule type="cellIs" dxfId="1362" priority="1365" operator="greaterThan">
      <formula>1</formula>
    </cfRule>
  </conditionalFormatting>
  <conditionalFormatting sqref="R96:R105">
    <cfRule type="cellIs" dxfId="1361" priority="1362" operator="greaterThan">
      <formula>1</formula>
    </cfRule>
    <cfRule type="cellIs" dxfId="1360" priority="1363" operator="lessThan">
      <formula>0.8</formula>
    </cfRule>
  </conditionalFormatting>
  <conditionalFormatting sqref="R96:R105">
    <cfRule type="cellIs" dxfId="1359" priority="1358" operator="lessThan">
      <formula>0.8</formula>
    </cfRule>
    <cfRule type="cellIs" dxfId="1358" priority="1359" operator="greaterThan">
      <formula>1</formula>
    </cfRule>
  </conditionalFormatting>
  <conditionalFormatting sqref="R96:R105">
    <cfRule type="cellIs" dxfId="1357" priority="1356" operator="greaterThan">
      <formula>1</formula>
    </cfRule>
    <cfRule type="cellIs" dxfId="1356" priority="1357" operator="lessThan">
      <formula>0.8</formula>
    </cfRule>
  </conditionalFormatting>
  <conditionalFormatting sqref="P96">
    <cfRule type="cellIs" dxfId="1355" priority="1355" operator="greaterThan">
      <formula>0</formula>
    </cfRule>
  </conditionalFormatting>
  <conditionalFormatting sqref="Q96">
    <cfRule type="cellIs" dxfId="1354" priority="1360" operator="lessThan">
      <formula>0</formula>
    </cfRule>
  </conditionalFormatting>
  <conditionalFormatting sqref="Q96">
    <cfRule type="cellIs" dxfId="1353" priority="1349" operator="lessThan">
      <formula>0</formula>
    </cfRule>
  </conditionalFormatting>
  <conditionalFormatting sqref="P96">
    <cfRule type="cellIs" dxfId="1352" priority="1350" operator="greaterThan">
      <formula>0</formula>
    </cfRule>
  </conditionalFormatting>
  <conditionalFormatting sqref="R96:R105">
    <cfRule type="cellIs" dxfId="1351" priority="1353" operator="lessThan">
      <formula>0.8</formula>
    </cfRule>
    <cfRule type="cellIs" dxfId="1350" priority="1354" operator="greaterThan">
      <formula>1</formula>
    </cfRule>
  </conditionalFormatting>
  <conditionalFormatting sqref="R96:R105">
    <cfRule type="cellIs" dxfId="1349" priority="1351" operator="greaterThan">
      <formula>1</formula>
    </cfRule>
    <cfRule type="cellIs" dxfId="1348" priority="1352" operator="lessThan">
      <formula>0.8</formula>
    </cfRule>
  </conditionalFormatting>
  <conditionalFormatting sqref="Q96">
    <cfRule type="cellIs" dxfId="1347" priority="1343" operator="lessThan">
      <formula>0</formula>
    </cfRule>
  </conditionalFormatting>
  <conditionalFormatting sqref="R96:R105">
    <cfRule type="cellIs" dxfId="1346" priority="1347" operator="lessThan">
      <formula>0.8</formula>
    </cfRule>
    <cfRule type="cellIs" dxfId="1345" priority="1348" operator="greaterThan">
      <formula>1</formula>
    </cfRule>
  </conditionalFormatting>
  <conditionalFormatting sqref="R96:R105">
    <cfRule type="cellIs" dxfId="1344" priority="1345" operator="greaterThan">
      <formula>1</formula>
    </cfRule>
    <cfRule type="cellIs" dxfId="1343" priority="1346" operator="lessThan">
      <formula>0.8</formula>
    </cfRule>
  </conditionalFormatting>
  <conditionalFormatting sqref="P96">
    <cfRule type="cellIs" dxfId="1342" priority="1344" operator="greaterThan">
      <formula>0</formula>
    </cfRule>
  </conditionalFormatting>
  <conditionalFormatting sqref="Q96">
    <cfRule type="cellIs" dxfId="1341" priority="1342" operator="lessThan">
      <formula>0</formula>
    </cfRule>
  </conditionalFormatting>
  <conditionalFormatting sqref="R96:R105">
    <cfRule type="cellIs" dxfId="1340" priority="1340" operator="lessThan">
      <formula>0.8</formula>
    </cfRule>
    <cfRule type="cellIs" dxfId="1339" priority="1341" operator="greaterThan">
      <formula>1</formula>
    </cfRule>
  </conditionalFormatting>
  <conditionalFormatting sqref="R96:R105">
    <cfRule type="cellIs" dxfId="1338" priority="1338" operator="greaterThan">
      <formula>1</formula>
    </cfRule>
    <cfRule type="cellIs" dxfId="1337" priority="1339" operator="lessThan">
      <formula>0.8</formula>
    </cfRule>
  </conditionalFormatting>
  <conditionalFormatting sqref="P96">
    <cfRule type="cellIs" dxfId="1336" priority="1337" operator="greaterThan">
      <formula>0</formula>
    </cfRule>
  </conditionalFormatting>
  <conditionalFormatting sqref="Q96">
    <cfRule type="cellIs" dxfId="1335" priority="1336" operator="lessThan">
      <formula>0</formula>
    </cfRule>
  </conditionalFormatting>
  <conditionalFormatting sqref="R96:R105">
    <cfRule type="cellIs" dxfId="1334" priority="1334" operator="lessThan">
      <formula>0.8</formula>
    </cfRule>
    <cfRule type="cellIs" dxfId="1333" priority="1335" operator="greaterThan">
      <formula>1</formula>
    </cfRule>
  </conditionalFormatting>
  <conditionalFormatting sqref="R96:R105">
    <cfRule type="cellIs" dxfId="1332" priority="1332" operator="greaterThan">
      <formula>1</formula>
    </cfRule>
    <cfRule type="cellIs" dxfId="1331" priority="1333" operator="lessThan">
      <formula>0.8</formula>
    </cfRule>
  </conditionalFormatting>
  <conditionalFormatting sqref="P96">
    <cfRule type="cellIs" dxfId="1330" priority="1331" operator="greaterThan">
      <formula>0</formula>
    </cfRule>
  </conditionalFormatting>
  <conditionalFormatting sqref="Q96">
    <cfRule type="cellIs" dxfId="1329" priority="1325" operator="lessThan">
      <formula>0</formula>
    </cfRule>
  </conditionalFormatting>
  <conditionalFormatting sqref="P96">
    <cfRule type="cellIs" dxfId="1328" priority="1326" operator="greaterThan">
      <formula>0</formula>
    </cfRule>
  </conditionalFormatting>
  <conditionalFormatting sqref="R96:R105">
    <cfRule type="cellIs" dxfId="1327" priority="1329" operator="lessThan">
      <formula>0.8</formula>
    </cfRule>
    <cfRule type="cellIs" dxfId="1326" priority="1330" operator="greaterThan">
      <formula>1</formula>
    </cfRule>
  </conditionalFormatting>
  <conditionalFormatting sqref="R96:R105">
    <cfRule type="cellIs" dxfId="1325" priority="1327" operator="greaterThan">
      <formula>1</formula>
    </cfRule>
    <cfRule type="cellIs" dxfId="1324" priority="1328" operator="lessThan">
      <formula>0.8</formula>
    </cfRule>
  </conditionalFormatting>
  <conditionalFormatting sqref="Q96">
    <cfRule type="cellIs" dxfId="1323" priority="1319" operator="lessThan">
      <formula>0</formula>
    </cfRule>
  </conditionalFormatting>
  <conditionalFormatting sqref="R96:R105">
    <cfRule type="cellIs" dxfId="1322" priority="1323" operator="lessThan">
      <formula>0.8</formula>
    </cfRule>
    <cfRule type="cellIs" dxfId="1321" priority="1324" operator="greaterThan">
      <formula>1</formula>
    </cfRule>
  </conditionalFormatting>
  <conditionalFormatting sqref="R96:R105">
    <cfRule type="cellIs" dxfId="1320" priority="1321" operator="greaterThan">
      <formula>1</formula>
    </cfRule>
    <cfRule type="cellIs" dxfId="1319" priority="1322" operator="lessThan">
      <formula>0.8</formula>
    </cfRule>
  </conditionalFormatting>
  <conditionalFormatting sqref="P96">
    <cfRule type="cellIs" dxfId="1318" priority="1320" operator="greaterThan">
      <formula>0</formula>
    </cfRule>
  </conditionalFormatting>
  <conditionalFormatting sqref="Q96">
    <cfRule type="cellIs" dxfId="1317" priority="1318" operator="lessThan">
      <formula>0</formula>
    </cfRule>
  </conditionalFormatting>
  <conditionalFormatting sqref="R96:R105">
    <cfRule type="cellIs" dxfId="1316" priority="1316" operator="lessThan">
      <formula>0.8</formula>
    </cfRule>
    <cfRule type="cellIs" dxfId="1315" priority="1317" operator="greaterThan">
      <formula>1</formula>
    </cfRule>
  </conditionalFormatting>
  <conditionalFormatting sqref="R96:R105">
    <cfRule type="cellIs" dxfId="1314" priority="1314" operator="greaterThan">
      <formula>1</formula>
    </cfRule>
    <cfRule type="cellIs" dxfId="1313" priority="1315" operator="lessThan">
      <formula>0.8</formula>
    </cfRule>
  </conditionalFormatting>
  <conditionalFormatting sqref="P96">
    <cfRule type="cellIs" dxfId="1312" priority="1313" operator="greaterThan">
      <formula>0</formula>
    </cfRule>
  </conditionalFormatting>
  <conditionalFormatting sqref="Q96">
    <cfRule type="cellIs" dxfId="1311" priority="1312" operator="lessThan">
      <formula>0</formula>
    </cfRule>
  </conditionalFormatting>
  <conditionalFormatting sqref="R96:R105">
    <cfRule type="cellIs" dxfId="1310" priority="1310" operator="lessThan">
      <formula>0.8</formula>
    </cfRule>
    <cfRule type="cellIs" dxfId="1309" priority="1311" operator="greaterThan">
      <formula>1</formula>
    </cfRule>
  </conditionalFormatting>
  <conditionalFormatting sqref="R96:R105">
    <cfRule type="cellIs" dxfId="1308" priority="1308" operator="greaterThan">
      <formula>1</formula>
    </cfRule>
    <cfRule type="cellIs" dxfId="1307" priority="1309" operator="lessThan">
      <formula>0.8</formula>
    </cfRule>
  </conditionalFormatting>
  <conditionalFormatting sqref="P96">
    <cfRule type="cellIs" dxfId="1306" priority="1307" operator="greaterThan">
      <formula>0</formula>
    </cfRule>
  </conditionalFormatting>
  <conditionalFormatting sqref="P124 P127">
    <cfRule type="cellIs" dxfId="1305" priority="1301" operator="greaterThan">
      <formula>0</formula>
    </cfRule>
  </conditionalFormatting>
  <conditionalFormatting sqref="Q124 Q127">
    <cfRule type="cellIs" dxfId="1304" priority="1306" operator="lessThan">
      <formula>0</formula>
    </cfRule>
  </conditionalFormatting>
  <conditionalFormatting sqref="R124 R127">
    <cfRule type="cellIs" dxfId="1303" priority="1304" operator="lessThan">
      <formula>0.8</formula>
    </cfRule>
    <cfRule type="cellIs" dxfId="1302" priority="1305" operator="greaterThan">
      <formula>1</formula>
    </cfRule>
  </conditionalFormatting>
  <conditionalFormatting sqref="R124 R127">
    <cfRule type="cellIs" dxfId="1301" priority="1302" operator="greaterThan">
      <formula>1</formula>
    </cfRule>
    <cfRule type="cellIs" dxfId="1300" priority="1303" operator="lessThan">
      <formula>0.8</formula>
    </cfRule>
  </conditionalFormatting>
  <conditionalFormatting sqref="Q124 Q127">
    <cfRule type="cellIs" dxfId="1299" priority="1300" operator="lessThan">
      <formula>0</formula>
    </cfRule>
  </conditionalFormatting>
  <conditionalFormatting sqref="R124 R127">
    <cfRule type="cellIs" dxfId="1298" priority="1298" operator="lessThan">
      <formula>0.8</formula>
    </cfRule>
    <cfRule type="cellIs" dxfId="1297" priority="1299" operator="greaterThan">
      <formula>1</formula>
    </cfRule>
  </conditionalFormatting>
  <conditionalFormatting sqref="R124 R127">
    <cfRule type="cellIs" dxfId="1296" priority="1296" operator="greaterThan">
      <formula>1</formula>
    </cfRule>
    <cfRule type="cellIs" dxfId="1295" priority="1297" operator="lessThan">
      <formula>0.8</formula>
    </cfRule>
  </conditionalFormatting>
  <conditionalFormatting sqref="P124 P127">
    <cfRule type="cellIs" dxfId="1294" priority="1295" operator="greaterThan">
      <formula>0</formula>
    </cfRule>
  </conditionalFormatting>
  <conditionalFormatting sqref="Q123 Q125:Q126 Q128:Q129">
    <cfRule type="cellIs" dxfId="1293" priority="1294" operator="lessThan">
      <formula>0</formula>
    </cfRule>
  </conditionalFormatting>
  <conditionalFormatting sqref="R123 R125:R126 R128:R129">
    <cfRule type="cellIs" dxfId="1292" priority="1292" operator="lessThan">
      <formula>0.8</formula>
    </cfRule>
    <cfRule type="cellIs" dxfId="1291" priority="1293" operator="greaterThan">
      <formula>1</formula>
    </cfRule>
  </conditionalFormatting>
  <conditionalFormatting sqref="R123 R125:R126 R128:R129">
    <cfRule type="cellIs" dxfId="1290" priority="1290" operator="greaterThan">
      <formula>1</formula>
    </cfRule>
    <cfRule type="cellIs" dxfId="1289" priority="1291" operator="lessThan">
      <formula>0.8</formula>
    </cfRule>
  </conditionalFormatting>
  <conditionalFormatting sqref="P123 P125:P126 P128:P129">
    <cfRule type="cellIs" dxfId="1288" priority="1289" operator="greaterThan">
      <formula>0</formula>
    </cfRule>
  </conditionalFormatting>
  <conditionalFormatting sqref="P123 P125:P126 P128:P129">
    <cfRule type="cellIs" dxfId="1287" priority="1283" operator="greaterThan">
      <formula>0</formula>
    </cfRule>
  </conditionalFormatting>
  <conditionalFormatting sqref="Q123 Q125:Q126 Q128:Q129">
    <cfRule type="cellIs" dxfId="1286" priority="1288" operator="lessThan">
      <formula>0</formula>
    </cfRule>
  </conditionalFormatting>
  <conditionalFormatting sqref="R123 R125:R126 R128:R129">
    <cfRule type="cellIs" dxfId="1285" priority="1286" operator="lessThan">
      <formula>0.8</formula>
    </cfRule>
    <cfRule type="cellIs" dxfId="1284" priority="1287" operator="greaterThan">
      <formula>1</formula>
    </cfRule>
  </conditionalFormatting>
  <conditionalFormatting sqref="R123 R125:R126 R128:R129">
    <cfRule type="cellIs" dxfId="1283" priority="1284" operator="greaterThan">
      <formula>1</formula>
    </cfRule>
    <cfRule type="cellIs" dxfId="1282" priority="1285" operator="lessThan">
      <formula>0.8</formula>
    </cfRule>
  </conditionalFormatting>
  <conditionalFormatting sqref="P122">
    <cfRule type="cellIs" dxfId="1281" priority="1277" operator="greaterThan">
      <formula>0</formula>
    </cfRule>
  </conditionalFormatting>
  <conditionalFormatting sqref="Q122">
    <cfRule type="cellIs" dxfId="1280" priority="1282" operator="lessThan">
      <formula>0</formula>
    </cfRule>
  </conditionalFormatting>
  <conditionalFormatting sqref="R122">
    <cfRule type="cellIs" dxfId="1279" priority="1280" operator="lessThan">
      <formula>0.8</formula>
    </cfRule>
    <cfRule type="cellIs" dxfId="1278" priority="1281" operator="greaterThan">
      <formula>1</formula>
    </cfRule>
  </conditionalFormatting>
  <conditionalFormatting sqref="R122">
    <cfRule type="cellIs" dxfId="1277" priority="1278" operator="greaterThan">
      <formula>1</formula>
    </cfRule>
    <cfRule type="cellIs" dxfId="1276" priority="1279" operator="lessThan">
      <formula>0.8</formula>
    </cfRule>
  </conditionalFormatting>
  <conditionalFormatting sqref="Q109:Q116">
    <cfRule type="cellIs" dxfId="1275" priority="1276" operator="lessThan">
      <formula>0</formula>
    </cfRule>
  </conditionalFormatting>
  <conditionalFormatting sqref="R109:R116">
    <cfRule type="cellIs" dxfId="1274" priority="1274" operator="lessThan">
      <formula>0.8</formula>
    </cfRule>
    <cfRule type="cellIs" dxfId="1273" priority="1275" operator="greaterThan">
      <formula>1</formula>
    </cfRule>
  </conditionalFormatting>
  <conditionalFormatting sqref="R109:R116">
    <cfRule type="cellIs" dxfId="1272" priority="1272" operator="greaterThan">
      <formula>1</formula>
    </cfRule>
    <cfRule type="cellIs" dxfId="1271" priority="1273" operator="lessThan">
      <formula>0.8</formula>
    </cfRule>
  </conditionalFormatting>
  <conditionalFormatting sqref="P109:P116">
    <cfRule type="cellIs" dxfId="1270" priority="1271" operator="greaterThan">
      <formula>0</formula>
    </cfRule>
  </conditionalFormatting>
  <conditionalFormatting sqref="Q130">
    <cfRule type="cellIs" dxfId="1269" priority="1270" operator="lessThan">
      <formula>0</formula>
    </cfRule>
  </conditionalFormatting>
  <conditionalFormatting sqref="R130">
    <cfRule type="cellIs" dxfId="1268" priority="1268" operator="lessThan">
      <formula>0.8</formula>
    </cfRule>
    <cfRule type="cellIs" dxfId="1267" priority="1269" operator="greaterThan">
      <formula>1</formula>
    </cfRule>
  </conditionalFormatting>
  <conditionalFormatting sqref="R130">
    <cfRule type="cellIs" dxfId="1266" priority="1266" operator="greaterThan">
      <formula>1</formula>
    </cfRule>
    <cfRule type="cellIs" dxfId="1265" priority="1267" operator="lessThan">
      <formula>0.8</formula>
    </cfRule>
  </conditionalFormatting>
  <conditionalFormatting sqref="P130">
    <cfRule type="cellIs" dxfId="1264" priority="1265" operator="greaterThan">
      <formula>0</formula>
    </cfRule>
  </conditionalFormatting>
  <conditionalFormatting sqref="R130">
    <cfRule type="cellIs" dxfId="1263" priority="1262" operator="lessThan">
      <formula>0.8</formula>
    </cfRule>
    <cfRule type="cellIs" dxfId="1262" priority="1263" operator="greaterThan">
      <formula>1</formula>
    </cfRule>
  </conditionalFormatting>
  <conditionalFormatting sqref="R130">
    <cfRule type="cellIs" dxfId="1261" priority="1260" operator="greaterThan">
      <formula>1</formula>
    </cfRule>
    <cfRule type="cellIs" dxfId="1260" priority="1261" operator="lessThan">
      <formula>0.8</formula>
    </cfRule>
  </conditionalFormatting>
  <conditionalFormatting sqref="P130">
    <cfRule type="cellIs" dxfId="1259" priority="1259" operator="greaterThan">
      <formula>0</formula>
    </cfRule>
  </conditionalFormatting>
  <conditionalFormatting sqref="Q130">
    <cfRule type="cellIs" dxfId="1258" priority="1264" operator="lessThan">
      <formula>0</formula>
    </cfRule>
  </conditionalFormatting>
  <conditionalFormatting sqref="R130">
    <cfRule type="cellIs" dxfId="1257" priority="1256" operator="lessThan">
      <formula>0.8</formula>
    </cfRule>
    <cfRule type="cellIs" dxfId="1256" priority="1257" operator="greaterThan">
      <formula>1</formula>
    </cfRule>
  </conditionalFormatting>
  <conditionalFormatting sqref="R130">
    <cfRule type="cellIs" dxfId="1255" priority="1254" operator="greaterThan">
      <formula>1</formula>
    </cfRule>
    <cfRule type="cellIs" dxfId="1254" priority="1255" operator="lessThan">
      <formula>0.8</formula>
    </cfRule>
  </conditionalFormatting>
  <conditionalFormatting sqref="P130">
    <cfRule type="cellIs" dxfId="1253" priority="1253" operator="greaterThan">
      <formula>0</formula>
    </cfRule>
  </conditionalFormatting>
  <conditionalFormatting sqref="Q130">
    <cfRule type="cellIs" dxfId="1252" priority="1258" operator="lessThan">
      <formula>0</formula>
    </cfRule>
  </conditionalFormatting>
  <conditionalFormatting sqref="Q130">
    <cfRule type="cellIs" dxfId="1251" priority="1252" operator="lessThan">
      <formula>0</formula>
    </cfRule>
  </conditionalFormatting>
  <conditionalFormatting sqref="R130">
    <cfRule type="cellIs" dxfId="1250" priority="1250" operator="lessThan">
      <formula>0.8</formula>
    </cfRule>
    <cfRule type="cellIs" dxfId="1249" priority="1251" operator="greaterThan">
      <formula>1</formula>
    </cfRule>
  </conditionalFormatting>
  <conditionalFormatting sqref="R130">
    <cfRule type="cellIs" dxfId="1248" priority="1248" operator="greaterThan">
      <formula>1</formula>
    </cfRule>
    <cfRule type="cellIs" dxfId="1247" priority="1249" operator="lessThan">
      <formula>0.8</formula>
    </cfRule>
  </conditionalFormatting>
  <conditionalFormatting sqref="P130">
    <cfRule type="cellIs" dxfId="1246" priority="1247" operator="greaterThan">
      <formula>0</formula>
    </cfRule>
  </conditionalFormatting>
  <conditionalFormatting sqref="R130">
    <cfRule type="cellIs" dxfId="1245" priority="1244" operator="lessThan">
      <formula>0.8</formula>
    </cfRule>
    <cfRule type="cellIs" dxfId="1244" priority="1245" operator="greaterThan">
      <formula>1</formula>
    </cfRule>
  </conditionalFormatting>
  <conditionalFormatting sqref="R130">
    <cfRule type="cellIs" dxfId="1243" priority="1242" operator="greaterThan">
      <formula>1</formula>
    </cfRule>
    <cfRule type="cellIs" dxfId="1242" priority="1243" operator="lessThan">
      <formula>0.8</formula>
    </cfRule>
  </conditionalFormatting>
  <conditionalFormatting sqref="P130">
    <cfRule type="cellIs" dxfId="1241" priority="1241" operator="greaterThan">
      <formula>0</formula>
    </cfRule>
  </conditionalFormatting>
  <conditionalFormatting sqref="Q130">
    <cfRule type="cellIs" dxfId="1240" priority="1246" operator="lessThan">
      <formula>0</formula>
    </cfRule>
  </conditionalFormatting>
  <conditionalFormatting sqref="Q130">
    <cfRule type="cellIs" dxfId="1239" priority="1240" operator="lessThan">
      <formula>0</formula>
    </cfRule>
  </conditionalFormatting>
  <conditionalFormatting sqref="R130">
    <cfRule type="cellIs" dxfId="1238" priority="1238" operator="lessThan">
      <formula>0.8</formula>
    </cfRule>
    <cfRule type="cellIs" dxfId="1237" priority="1239" operator="greaterThan">
      <formula>1</formula>
    </cfRule>
  </conditionalFormatting>
  <conditionalFormatting sqref="R130">
    <cfRule type="cellIs" dxfId="1236" priority="1236" operator="greaterThan">
      <formula>1</formula>
    </cfRule>
    <cfRule type="cellIs" dxfId="1235" priority="1237" operator="lessThan">
      <formula>0.8</formula>
    </cfRule>
  </conditionalFormatting>
  <conditionalFormatting sqref="P130">
    <cfRule type="cellIs" dxfId="1234" priority="1235" operator="greaterThan">
      <formula>0</formula>
    </cfRule>
  </conditionalFormatting>
  <conditionalFormatting sqref="Q130">
    <cfRule type="cellIs" dxfId="1233" priority="1229" operator="lessThan">
      <formula>0</formula>
    </cfRule>
  </conditionalFormatting>
  <conditionalFormatting sqref="R130">
    <cfRule type="cellIs" dxfId="1232" priority="1233" operator="lessThan">
      <formula>0.8</formula>
    </cfRule>
    <cfRule type="cellIs" dxfId="1231" priority="1234" operator="greaterThan">
      <formula>1</formula>
    </cfRule>
  </conditionalFormatting>
  <conditionalFormatting sqref="R130">
    <cfRule type="cellIs" dxfId="1230" priority="1231" operator="greaterThan">
      <formula>1</formula>
    </cfRule>
    <cfRule type="cellIs" dxfId="1229" priority="1232" operator="lessThan">
      <formula>0.8</formula>
    </cfRule>
  </conditionalFormatting>
  <conditionalFormatting sqref="P130">
    <cfRule type="cellIs" dxfId="1228" priority="1230" operator="greaterThan">
      <formula>0</formula>
    </cfRule>
  </conditionalFormatting>
  <conditionalFormatting sqref="Q130">
    <cfRule type="cellIs" dxfId="1227" priority="1228" operator="lessThan">
      <formula>0</formula>
    </cfRule>
  </conditionalFormatting>
  <conditionalFormatting sqref="R130">
    <cfRule type="cellIs" dxfId="1226" priority="1226" operator="lessThan">
      <formula>0.8</formula>
    </cfRule>
    <cfRule type="cellIs" dxfId="1225" priority="1227" operator="greaterThan">
      <formula>1</formula>
    </cfRule>
  </conditionalFormatting>
  <conditionalFormatting sqref="R130">
    <cfRule type="cellIs" dxfId="1224" priority="1224" operator="greaterThan">
      <formula>1</formula>
    </cfRule>
    <cfRule type="cellIs" dxfId="1223" priority="1225" operator="lessThan">
      <formula>0.8</formula>
    </cfRule>
  </conditionalFormatting>
  <conditionalFormatting sqref="P130">
    <cfRule type="cellIs" dxfId="1222" priority="1223" operator="greaterThan">
      <formula>0</formula>
    </cfRule>
  </conditionalFormatting>
  <conditionalFormatting sqref="Q130">
    <cfRule type="cellIs" dxfId="1221" priority="1222" operator="lessThan">
      <formula>0</formula>
    </cfRule>
  </conditionalFormatting>
  <conditionalFormatting sqref="R130">
    <cfRule type="cellIs" dxfId="1220" priority="1220" operator="lessThan">
      <formula>0.8</formula>
    </cfRule>
    <cfRule type="cellIs" dxfId="1219" priority="1221" operator="greaterThan">
      <formula>1</formula>
    </cfRule>
  </conditionalFormatting>
  <conditionalFormatting sqref="R130">
    <cfRule type="cellIs" dxfId="1218" priority="1218" operator="greaterThan">
      <formula>1</formula>
    </cfRule>
    <cfRule type="cellIs" dxfId="1217" priority="1219" operator="lessThan">
      <formula>0.8</formula>
    </cfRule>
  </conditionalFormatting>
  <conditionalFormatting sqref="P130">
    <cfRule type="cellIs" dxfId="1216" priority="1217" operator="greaterThan">
      <formula>0</formula>
    </cfRule>
  </conditionalFormatting>
  <conditionalFormatting sqref="Q130">
    <cfRule type="cellIs" dxfId="1215" priority="1216" operator="lessThan">
      <formula>0</formula>
    </cfRule>
  </conditionalFormatting>
  <conditionalFormatting sqref="R130">
    <cfRule type="cellIs" dxfId="1214" priority="1214" operator="lessThan">
      <formula>0.8</formula>
    </cfRule>
    <cfRule type="cellIs" dxfId="1213" priority="1215" operator="greaterThan">
      <formula>1</formula>
    </cfRule>
  </conditionalFormatting>
  <conditionalFormatting sqref="R130">
    <cfRule type="cellIs" dxfId="1212" priority="1212" operator="greaterThan">
      <formula>1</formula>
    </cfRule>
    <cfRule type="cellIs" dxfId="1211" priority="1213" operator="lessThan">
      <formula>0.8</formula>
    </cfRule>
  </conditionalFormatting>
  <conditionalFormatting sqref="P130">
    <cfRule type="cellIs" dxfId="1210" priority="1211" operator="greaterThan">
      <formula>0</formula>
    </cfRule>
  </conditionalFormatting>
  <conditionalFormatting sqref="Q130">
    <cfRule type="cellIs" dxfId="1209" priority="1210" operator="lessThan">
      <formula>0</formula>
    </cfRule>
  </conditionalFormatting>
  <conditionalFormatting sqref="R130">
    <cfRule type="cellIs" dxfId="1208" priority="1208" operator="lessThan">
      <formula>0.8</formula>
    </cfRule>
    <cfRule type="cellIs" dxfId="1207" priority="1209" operator="greaterThan">
      <formula>1</formula>
    </cfRule>
  </conditionalFormatting>
  <conditionalFormatting sqref="R130">
    <cfRule type="cellIs" dxfId="1206" priority="1206" operator="greaterThan">
      <formula>1</formula>
    </cfRule>
    <cfRule type="cellIs" dxfId="1205" priority="1207" operator="lessThan">
      <formula>0.8</formula>
    </cfRule>
  </conditionalFormatting>
  <conditionalFormatting sqref="P130">
    <cfRule type="cellIs" dxfId="1204" priority="1205" operator="greaterThan">
      <formula>0</formula>
    </cfRule>
  </conditionalFormatting>
  <conditionalFormatting sqref="Q130">
    <cfRule type="cellIs" dxfId="1203" priority="1204" operator="lessThan">
      <formula>0</formula>
    </cfRule>
  </conditionalFormatting>
  <conditionalFormatting sqref="R130">
    <cfRule type="cellIs" dxfId="1202" priority="1202" operator="lessThan">
      <formula>0.8</formula>
    </cfRule>
    <cfRule type="cellIs" dxfId="1201" priority="1203" operator="greaterThan">
      <formula>1</formula>
    </cfRule>
  </conditionalFormatting>
  <conditionalFormatting sqref="R130">
    <cfRule type="cellIs" dxfId="1200" priority="1200" operator="greaterThan">
      <formula>1</formula>
    </cfRule>
    <cfRule type="cellIs" dxfId="1199" priority="1201" operator="lessThan">
      <formula>0.8</formula>
    </cfRule>
  </conditionalFormatting>
  <conditionalFormatting sqref="P130">
    <cfRule type="cellIs" dxfId="1198" priority="1199" operator="greaterThan">
      <formula>0</formula>
    </cfRule>
  </conditionalFormatting>
  <conditionalFormatting sqref="P130">
    <cfRule type="cellIs" dxfId="1197" priority="1193" operator="greaterThan">
      <formula>0</formula>
    </cfRule>
  </conditionalFormatting>
  <conditionalFormatting sqref="Q130">
    <cfRule type="cellIs" dxfId="1196" priority="1198" operator="lessThan">
      <formula>0</formula>
    </cfRule>
  </conditionalFormatting>
  <conditionalFormatting sqref="R130">
    <cfRule type="cellIs" dxfId="1195" priority="1196" operator="lessThan">
      <formula>0.8</formula>
    </cfRule>
    <cfRule type="cellIs" dxfId="1194" priority="1197" operator="greaterThan">
      <formula>1</formula>
    </cfRule>
  </conditionalFormatting>
  <conditionalFormatting sqref="R130">
    <cfRule type="cellIs" dxfId="1193" priority="1194" operator="greaterThan">
      <formula>1</formula>
    </cfRule>
    <cfRule type="cellIs" dxfId="1192" priority="1195" operator="lessThan">
      <formula>0.8</formula>
    </cfRule>
  </conditionalFormatting>
  <conditionalFormatting sqref="P130">
    <cfRule type="cellIs" dxfId="1191" priority="1187" operator="greaterThan">
      <formula>0</formula>
    </cfRule>
  </conditionalFormatting>
  <conditionalFormatting sqref="Q130">
    <cfRule type="cellIs" dxfId="1190" priority="1192" operator="lessThan">
      <formula>0</formula>
    </cfRule>
  </conditionalFormatting>
  <conditionalFormatting sqref="R130">
    <cfRule type="cellIs" dxfId="1189" priority="1190" operator="lessThan">
      <formula>0.8</formula>
    </cfRule>
    <cfRule type="cellIs" dxfId="1188" priority="1191" operator="greaterThan">
      <formula>1</formula>
    </cfRule>
  </conditionalFormatting>
  <conditionalFormatting sqref="R130">
    <cfRule type="cellIs" dxfId="1187" priority="1188" operator="greaterThan">
      <formula>1</formula>
    </cfRule>
    <cfRule type="cellIs" dxfId="1186" priority="1189" operator="lessThan">
      <formula>0.8</formula>
    </cfRule>
  </conditionalFormatting>
  <conditionalFormatting sqref="R130">
    <cfRule type="cellIs" dxfId="1185" priority="1184" operator="lessThan">
      <formula>0.8</formula>
    </cfRule>
    <cfRule type="cellIs" dxfId="1184" priority="1185" operator="greaterThan">
      <formula>1</formula>
    </cfRule>
  </conditionalFormatting>
  <conditionalFormatting sqref="R130">
    <cfRule type="cellIs" dxfId="1183" priority="1182" operator="greaterThan">
      <formula>1</formula>
    </cfRule>
    <cfRule type="cellIs" dxfId="1182" priority="1183" operator="lessThan">
      <formula>0.8</formula>
    </cfRule>
  </conditionalFormatting>
  <conditionalFormatting sqref="P130">
    <cfRule type="cellIs" dxfId="1181" priority="1181" operator="greaterThan">
      <formula>0</formula>
    </cfRule>
  </conditionalFormatting>
  <conditionalFormatting sqref="Q130">
    <cfRule type="cellIs" dxfId="1180" priority="1186" operator="lessThan">
      <formula>0</formula>
    </cfRule>
  </conditionalFormatting>
  <conditionalFormatting sqref="Q130">
    <cfRule type="cellIs" dxfId="1179" priority="1175" operator="lessThan">
      <formula>0</formula>
    </cfRule>
  </conditionalFormatting>
  <conditionalFormatting sqref="P130">
    <cfRule type="cellIs" dxfId="1178" priority="1176" operator="greaterThan">
      <formula>0</formula>
    </cfRule>
  </conditionalFormatting>
  <conditionalFormatting sqref="R130">
    <cfRule type="cellIs" dxfId="1177" priority="1179" operator="lessThan">
      <formula>0.8</formula>
    </cfRule>
    <cfRule type="cellIs" dxfId="1176" priority="1180" operator="greaterThan">
      <formula>1</formula>
    </cfRule>
  </conditionalFormatting>
  <conditionalFormatting sqref="R130">
    <cfRule type="cellIs" dxfId="1175" priority="1177" operator="greaterThan">
      <formula>1</formula>
    </cfRule>
    <cfRule type="cellIs" dxfId="1174" priority="1178" operator="lessThan">
      <formula>0.8</formula>
    </cfRule>
  </conditionalFormatting>
  <conditionalFormatting sqref="Q130">
    <cfRule type="cellIs" dxfId="1173" priority="1169" operator="lessThan">
      <formula>0</formula>
    </cfRule>
  </conditionalFormatting>
  <conditionalFormatting sqref="R130">
    <cfRule type="cellIs" dxfId="1172" priority="1173" operator="lessThan">
      <formula>0.8</formula>
    </cfRule>
    <cfRule type="cellIs" dxfId="1171" priority="1174" operator="greaterThan">
      <formula>1</formula>
    </cfRule>
  </conditionalFormatting>
  <conditionalFormatting sqref="R130">
    <cfRule type="cellIs" dxfId="1170" priority="1171" operator="greaterThan">
      <formula>1</formula>
    </cfRule>
    <cfRule type="cellIs" dxfId="1169" priority="1172" operator="lessThan">
      <formula>0.8</formula>
    </cfRule>
  </conditionalFormatting>
  <conditionalFormatting sqref="P130">
    <cfRule type="cellIs" dxfId="1168" priority="1170" operator="greaterThan">
      <formula>0</formula>
    </cfRule>
  </conditionalFormatting>
  <conditionalFormatting sqref="Q130">
    <cfRule type="cellIs" dxfId="1167" priority="1168" operator="lessThan">
      <formula>0</formula>
    </cfRule>
  </conditionalFormatting>
  <conditionalFormatting sqref="R130">
    <cfRule type="cellIs" dxfId="1166" priority="1166" operator="lessThan">
      <formula>0.8</formula>
    </cfRule>
    <cfRule type="cellIs" dxfId="1165" priority="1167" operator="greaterThan">
      <formula>1</formula>
    </cfRule>
  </conditionalFormatting>
  <conditionalFormatting sqref="R130">
    <cfRule type="cellIs" dxfId="1164" priority="1164" operator="greaterThan">
      <formula>1</formula>
    </cfRule>
    <cfRule type="cellIs" dxfId="1163" priority="1165" operator="lessThan">
      <formula>0.8</formula>
    </cfRule>
  </conditionalFormatting>
  <conditionalFormatting sqref="P130">
    <cfRule type="cellIs" dxfId="1162" priority="1163" operator="greaterThan">
      <formula>0</formula>
    </cfRule>
  </conditionalFormatting>
  <conditionalFormatting sqref="Q130">
    <cfRule type="cellIs" dxfId="1161" priority="1162" operator="lessThan">
      <formula>0</formula>
    </cfRule>
  </conditionalFormatting>
  <conditionalFormatting sqref="R130">
    <cfRule type="cellIs" dxfId="1160" priority="1160" operator="lessThan">
      <formula>0.8</formula>
    </cfRule>
    <cfRule type="cellIs" dxfId="1159" priority="1161" operator="greaterThan">
      <formula>1</formula>
    </cfRule>
  </conditionalFormatting>
  <conditionalFormatting sqref="R130">
    <cfRule type="cellIs" dxfId="1158" priority="1158" operator="greaterThan">
      <formula>1</formula>
    </cfRule>
    <cfRule type="cellIs" dxfId="1157" priority="1159" operator="lessThan">
      <formula>0.8</formula>
    </cfRule>
  </conditionalFormatting>
  <conditionalFormatting sqref="P130">
    <cfRule type="cellIs" dxfId="1156" priority="1157" operator="greaterThan">
      <formula>0</formula>
    </cfRule>
  </conditionalFormatting>
  <conditionalFormatting sqref="Q130">
    <cfRule type="cellIs" dxfId="1155" priority="1151" operator="lessThan">
      <formula>0</formula>
    </cfRule>
  </conditionalFormatting>
  <conditionalFormatting sqref="P130">
    <cfRule type="cellIs" dxfId="1154" priority="1152" operator="greaterThan">
      <formula>0</formula>
    </cfRule>
  </conditionalFormatting>
  <conditionalFormatting sqref="R130">
    <cfRule type="cellIs" dxfId="1153" priority="1155" operator="lessThan">
      <formula>0.8</formula>
    </cfRule>
    <cfRule type="cellIs" dxfId="1152" priority="1156" operator="greaterThan">
      <formula>1</formula>
    </cfRule>
  </conditionalFormatting>
  <conditionalFormatting sqref="R130">
    <cfRule type="cellIs" dxfId="1151" priority="1153" operator="greaterThan">
      <formula>1</formula>
    </cfRule>
    <cfRule type="cellIs" dxfId="1150" priority="1154" operator="lessThan">
      <formula>0.8</formula>
    </cfRule>
  </conditionalFormatting>
  <conditionalFormatting sqref="Q130">
    <cfRule type="cellIs" dxfId="1149" priority="1145" operator="lessThan">
      <formula>0</formula>
    </cfRule>
  </conditionalFormatting>
  <conditionalFormatting sqref="R130">
    <cfRule type="cellIs" dxfId="1148" priority="1149" operator="lessThan">
      <formula>0.8</formula>
    </cfRule>
    <cfRule type="cellIs" dxfId="1147" priority="1150" operator="greaterThan">
      <formula>1</formula>
    </cfRule>
  </conditionalFormatting>
  <conditionalFormatting sqref="R130">
    <cfRule type="cellIs" dxfId="1146" priority="1147" operator="greaterThan">
      <formula>1</formula>
    </cfRule>
    <cfRule type="cellIs" dxfId="1145" priority="1148" operator="lessThan">
      <formula>0.8</formula>
    </cfRule>
  </conditionalFormatting>
  <conditionalFormatting sqref="P130">
    <cfRule type="cellIs" dxfId="1144" priority="1146" operator="greaterThan">
      <formula>0</formula>
    </cfRule>
  </conditionalFormatting>
  <conditionalFormatting sqref="Q130">
    <cfRule type="cellIs" dxfId="1143" priority="1144" operator="lessThan">
      <formula>0</formula>
    </cfRule>
  </conditionalFormatting>
  <conditionalFormatting sqref="R130">
    <cfRule type="cellIs" dxfId="1142" priority="1142" operator="lessThan">
      <formula>0.8</formula>
    </cfRule>
    <cfRule type="cellIs" dxfId="1141" priority="1143" operator="greaterThan">
      <formula>1</formula>
    </cfRule>
  </conditionalFormatting>
  <conditionalFormatting sqref="R130">
    <cfRule type="cellIs" dxfId="1140" priority="1140" operator="greaterThan">
      <formula>1</formula>
    </cfRule>
    <cfRule type="cellIs" dxfId="1139" priority="1141" operator="lessThan">
      <formula>0.8</formula>
    </cfRule>
  </conditionalFormatting>
  <conditionalFormatting sqref="P130">
    <cfRule type="cellIs" dxfId="1138" priority="1139" operator="greaterThan">
      <formula>0</formula>
    </cfRule>
  </conditionalFormatting>
  <conditionalFormatting sqref="Q130">
    <cfRule type="cellIs" dxfId="1137" priority="1138" operator="lessThan">
      <formula>0</formula>
    </cfRule>
  </conditionalFormatting>
  <conditionalFormatting sqref="R130">
    <cfRule type="cellIs" dxfId="1136" priority="1136" operator="lessThan">
      <formula>0.8</formula>
    </cfRule>
    <cfRule type="cellIs" dxfId="1135" priority="1137" operator="greaterThan">
      <formula>1</formula>
    </cfRule>
  </conditionalFormatting>
  <conditionalFormatting sqref="R130">
    <cfRule type="cellIs" dxfId="1134" priority="1134" operator="greaterThan">
      <formula>1</formula>
    </cfRule>
    <cfRule type="cellIs" dxfId="1133" priority="1135" operator="lessThan">
      <formula>0.8</formula>
    </cfRule>
  </conditionalFormatting>
  <conditionalFormatting sqref="P130">
    <cfRule type="cellIs" dxfId="1132" priority="1133" operator="greaterThan">
      <formula>0</formula>
    </cfRule>
  </conditionalFormatting>
  <conditionalFormatting sqref="P130">
    <cfRule type="cellIs" dxfId="1131" priority="1127" operator="greaterThan">
      <formula>0</formula>
    </cfRule>
  </conditionalFormatting>
  <conditionalFormatting sqref="Q130">
    <cfRule type="cellIs" dxfId="1130" priority="1132" operator="lessThan">
      <formula>0</formula>
    </cfRule>
  </conditionalFormatting>
  <conditionalFormatting sqref="R130">
    <cfRule type="cellIs" dxfId="1129" priority="1130" operator="lessThan">
      <formula>0.8</formula>
    </cfRule>
    <cfRule type="cellIs" dxfId="1128" priority="1131" operator="greaterThan">
      <formula>1</formula>
    </cfRule>
  </conditionalFormatting>
  <conditionalFormatting sqref="R130">
    <cfRule type="cellIs" dxfId="1127" priority="1128" operator="greaterThan">
      <formula>1</formula>
    </cfRule>
    <cfRule type="cellIs" dxfId="1126" priority="1129" operator="lessThan">
      <formula>0.8</formula>
    </cfRule>
  </conditionalFormatting>
  <conditionalFormatting sqref="P130">
    <cfRule type="cellIs" dxfId="1125" priority="1121" operator="greaterThan">
      <formula>0</formula>
    </cfRule>
  </conditionalFormatting>
  <conditionalFormatting sqref="Q130">
    <cfRule type="cellIs" dxfId="1124" priority="1126" operator="lessThan">
      <formula>0</formula>
    </cfRule>
  </conditionalFormatting>
  <conditionalFormatting sqref="R130">
    <cfRule type="cellIs" dxfId="1123" priority="1124" operator="lessThan">
      <formula>0.8</formula>
    </cfRule>
    <cfRule type="cellIs" dxfId="1122" priority="1125" operator="greaterThan">
      <formula>1</formula>
    </cfRule>
  </conditionalFormatting>
  <conditionalFormatting sqref="R130">
    <cfRule type="cellIs" dxfId="1121" priority="1122" operator="greaterThan">
      <formula>1</formula>
    </cfRule>
    <cfRule type="cellIs" dxfId="1120" priority="1123" operator="lessThan">
      <formula>0.8</formula>
    </cfRule>
  </conditionalFormatting>
  <conditionalFormatting sqref="Q130">
    <cfRule type="cellIs" dxfId="1119" priority="1115" operator="lessThan">
      <formula>0</formula>
    </cfRule>
  </conditionalFormatting>
  <conditionalFormatting sqref="R130">
    <cfRule type="cellIs" dxfId="1118" priority="1119" operator="lessThan">
      <formula>0.8</formula>
    </cfRule>
    <cfRule type="cellIs" dxfId="1117" priority="1120" operator="greaterThan">
      <formula>1</formula>
    </cfRule>
  </conditionalFormatting>
  <conditionalFormatting sqref="R130">
    <cfRule type="cellIs" dxfId="1116" priority="1117" operator="greaterThan">
      <formula>1</formula>
    </cfRule>
    <cfRule type="cellIs" dxfId="1115" priority="1118" operator="lessThan">
      <formula>0.8</formula>
    </cfRule>
  </conditionalFormatting>
  <conditionalFormatting sqref="P130">
    <cfRule type="cellIs" dxfId="1114" priority="1116" operator="greaterThan">
      <formula>0</formula>
    </cfRule>
  </conditionalFormatting>
  <conditionalFormatting sqref="Q130">
    <cfRule type="cellIs" dxfId="1113" priority="1114" operator="lessThan">
      <formula>0</formula>
    </cfRule>
  </conditionalFormatting>
  <conditionalFormatting sqref="R130">
    <cfRule type="cellIs" dxfId="1112" priority="1112" operator="lessThan">
      <formula>0.8</formula>
    </cfRule>
    <cfRule type="cellIs" dxfId="1111" priority="1113" operator="greaterThan">
      <formula>1</formula>
    </cfRule>
  </conditionalFormatting>
  <conditionalFormatting sqref="R130">
    <cfRule type="cellIs" dxfId="1110" priority="1110" operator="greaterThan">
      <formula>1</formula>
    </cfRule>
    <cfRule type="cellIs" dxfId="1109" priority="1111" operator="lessThan">
      <formula>0.8</formula>
    </cfRule>
  </conditionalFormatting>
  <conditionalFormatting sqref="P130">
    <cfRule type="cellIs" dxfId="1108" priority="1109" operator="greaterThan">
      <formula>0</formula>
    </cfRule>
  </conditionalFormatting>
  <conditionalFormatting sqref="Q130">
    <cfRule type="cellIs" dxfId="1107" priority="1108" operator="lessThan">
      <formula>0</formula>
    </cfRule>
  </conditionalFormatting>
  <conditionalFormatting sqref="R130">
    <cfRule type="cellIs" dxfId="1106" priority="1106" operator="lessThan">
      <formula>0.8</formula>
    </cfRule>
    <cfRule type="cellIs" dxfId="1105" priority="1107" operator="greaterThan">
      <formula>1</formula>
    </cfRule>
  </conditionalFormatting>
  <conditionalFormatting sqref="R130">
    <cfRule type="cellIs" dxfId="1104" priority="1104" operator="greaterThan">
      <formula>1</formula>
    </cfRule>
    <cfRule type="cellIs" dxfId="1103" priority="1105" operator="lessThan">
      <formula>0.8</formula>
    </cfRule>
  </conditionalFormatting>
  <conditionalFormatting sqref="P130">
    <cfRule type="cellIs" dxfId="1102" priority="1103" operator="greaterThan">
      <formula>0</formula>
    </cfRule>
  </conditionalFormatting>
  <conditionalFormatting sqref="Q130">
    <cfRule type="cellIs" dxfId="1101" priority="1102" operator="lessThan">
      <formula>0</formula>
    </cfRule>
  </conditionalFormatting>
  <conditionalFormatting sqref="R130">
    <cfRule type="cellIs" dxfId="1100" priority="1100" operator="lessThan">
      <formula>0.8</formula>
    </cfRule>
    <cfRule type="cellIs" dxfId="1099" priority="1101" operator="greaterThan">
      <formula>1</formula>
    </cfRule>
  </conditionalFormatting>
  <conditionalFormatting sqref="R130">
    <cfRule type="cellIs" dxfId="1098" priority="1098" operator="greaterThan">
      <formula>1</formula>
    </cfRule>
    <cfRule type="cellIs" dxfId="1097" priority="1099" operator="lessThan">
      <formula>0.8</formula>
    </cfRule>
  </conditionalFormatting>
  <conditionalFormatting sqref="P130">
    <cfRule type="cellIs" dxfId="1096" priority="1097" operator="greaterThan">
      <formula>0</formula>
    </cfRule>
  </conditionalFormatting>
  <conditionalFormatting sqref="Q130">
    <cfRule type="cellIs" dxfId="1095" priority="1096" operator="lessThan">
      <formula>0</formula>
    </cfRule>
  </conditionalFormatting>
  <conditionalFormatting sqref="R130">
    <cfRule type="cellIs" dxfId="1094" priority="1094" operator="lessThan">
      <formula>0.8</formula>
    </cfRule>
    <cfRule type="cellIs" dxfId="1093" priority="1095" operator="greaterThan">
      <formula>1</formula>
    </cfRule>
  </conditionalFormatting>
  <conditionalFormatting sqref="R130">
    <cfRule type="cellIs" dxfId="1092" priority="1092" operator="greaterThan">
      <formula>1</formula>
    </cfRule>
    <cfRule type="cellIs" dxfId="1091" priority="1093" operator="lessThan">
      <formula>0.8</formula>
    </cfRule>
  </conditionalFormatting>
  <conditionalFormatting sqref="P130">
    <cfRule type="cellIs" dxfId="1090" priority="1091" operator="greaterThan">
      <formula>0</formula>
    </cfRule>
  </conditionalFormatting>
  <conditionalFormatting sqref="Q130">
    <cfRule type="cellIs" dxfId="1089" priority="1090" operator="lessThan">
      <formula>0</formula>
    </cfRule>
  </conditionalFormatting>
  <conditionalFormatting sqref="R130">
    <cfRule type="cellIs" dxfId="1088" priority="1088" operator="lessThan">
      <formula>0.8</formula>
    </cfRule>
    <cfRule type="cellIs" dxfId="1087" priority="1089" operator="greaterThan">
      <formula>1</formula>
    </cfRule>
  </conditionalFormatting>
  <conditionalFormatting sqref="R130">
    <cfRule type="cellIs" dxfId="1086" priority="1086" operator="greaterThan">
      <formula>1</formula>
    </cfRule>
    <cfRule type="cellIs" dxfId="1085" priority="1087" operator="lessThan">
      <formula>0.8</formula>
    </cfRule>
  </conditionalFormatting>
  <conditionalFormatting sqref="P130">
    <cfRule type="cellIs" dxfId="1084" priority="1085" operator="greaterThan">
      <formula>0</formula>
    </cfRule>
  </conditionalFormatting>
  <conditionalFormatting sqref="P130">
    <cfRule type="cellIs" dxfId="1083" priority="1079" operator="greaterThan">
      <formula>0</formula>
    </cfRule>
  </conditionalFormatting>
  <conditionalFormatting sqref="Q130">
    <cfRule type="cellIs" dxfId="1082" priority="1084" operator="lessThan">
      <formula>0</formula>
    </cfRule>
  </conditionalFormatting>
  <conditionalFormatting sqref="R130">
    <cfRule type="cellIs" dxfId="1081" priority="1082" operator="lessThan">
      <formula>0.8</formula>
    </cfRule>
    <cfRule type="cellIs" dxfId="1080" priority="1083" operator="greaterThan">
      <formula>1</formula>
    </cfRule>
  </conditionalFormatting>
  <conditionalFormatting sqref="R130">
    <cfRule type="cellIs" dxfId="1079" priority="1080" operator="greaterThan">
      <formula>1</formula>
    </cfRule>
    <cfRule type="cellIs" dxfId="1078" priority="1081" operator="lessThan">
      <formula>0.8</formula>
    </cfRule>
  </conditionalFormatting>
  <conditionalFormatting sqref="P130">
    <cfRule type="cellIs" dxfId="1077" priority="1073" operator="greaterThan">
      <formula>0</formula>
    </cfRule>
  </conditionalFormatting>
  <conditionalFormatting sqref="Q130">
    <cfRule type="cellIs" dxfId="1076" priority="1078" operator="lessThan">
      <formula>0</formula>
    </cfRule>
  </conditionalFormatting>
  <conditionalFormatting sqref="R130">
    <cfRule type="cellIs" dxfId="1075" priority="1076" operator="lessThan">
      <formula>0.8</formula>
    </cfRule>
    <cfRule type="cellIs" dxfId="1074" priority="1077" operator="greaterThan">
      <formula>1</formula>
    </cfRule>
  </conditionalFormatting>
  <conditionalFormatting sqref="R130">
    <cfRule type="cellIs" dxfId="1073" priority="1074" operator="greaterThan">
      <formula>1</formula>
    </cfRule>
    <cfRule type="cellIs" dxfId="1072" priority="1075" operator="lessThan">
      <formula>0.8</formula>
    </cfRule>
  </conditionalFormatting>
  <conditionalFormatting sqref="R130">
    <cfRule type="cellIs" dxfId="1071" priority="1070" operator="lessThan">
      <formula>0.8</formula>
    </cfRule>
    <cfRule type="cellIs" dxfId="1070" priority="1071" operator="greaterThan">
      <formula>1</formula>
    </cfRule>
  </conditionalFormatting>
  <conditionalFormatting sqref="R130">
    <cfRule type="cellIs" dxfId="1069" priority="1068" operator="greaterThan">
      <formula>1</formula>
    </cfRule>
    <cfRule type="cellIs" dxfId="1068" priority="1069" operator="lessThan">
      <formula>0.8</formula>
    </cfRule>
  </conditionalFormatting>
  <conditionalFormatting sqref="P130">
    <cfRule type="cellIs" dxfId="1067" priority="1067" operator="greaterThan">
      <formula>0</formula>
    </cfRule>
  </conditionalFormatting>
  <conditionalFormatting sqref="Q130">
    <cfRule type="cellIs" dxfId="1066" priority="1072" operator="lessThan">
      <formula>0</formula>
    </cfRule>
  </conditionalFormatting>
  <conditionalFormatting sqref="Q130">
    <cfRule type="cellIs" dxfId="1065" priority="1061" operator="lessThan">
      <formula>0</formula>
    </cfRule>
  </conditionalFormatting>
  <conditionalFormatting sqref="P130">
    <cfRule type="cellIs" dxfId="1064" priority="1062" operator="greaterThan">
      <formula>0</formula>
    </cfRule>
  </conditionalFormatting>
  <conditionalFormatting sqref="R130">
    <cfRule type="cellIs" dxfId="1063" priority="1065" operator="lessThan">
      <formula>0.8</formula>
    </cfRule>
    <cfRule type="cellIs" dxfId="1062" priority="1066" operator="greaterThan">
      <formula>1</formula>
    </cfRule>
  </conditionalFormatting>
  <conditionalFormatting sqref="R130">
    <cfRule type="cellIs" dxfId="1061" priority="1063" operator="greaterThan">
      <formula>1</formula>
    </cfRule>
    <cfRule type="cellIs" dxfId="1060" priority="1064" operator="lessThan">
      <formula>0.8</formula>
    </cfRule>
  </conditionalFormatting>
  <conditionalFormatting sqref="Q130">
    <cfRule type="cellIs" dxfId="1059" priority="1055" operator="lessThan">
      <formula>0</formula>
    </cfRule>
  </conditionalFormatting>
  <conditionalFormatting sqref="R130">
    <cfRule type="cellIs" dxfId="1058" priority="1059" operator="lessThan">
      <formula>0.8</formula>
    </cfRule>
    <cfRule type="cellIs" dxfId="1057" priority="1060" operator="greaterThan">
      <formula>1</formula>
    </cfRule>
  </conditionalFormatting>
  <conditionalFormatting sqref="R130">
    <cfRule type="cellIs" dxfId="1056" priority="1057" operator="greaterThan">
      <formula>1</formula>
    </cfRule>
    <cfRule type="cellIs" dxfId="1055" priority="1058" operator="lessThan">
      <formula>0.8</formula>
    </cfRule>
  </conditionalFormatting>
  <conditionalFormatting sqref="P130">
    <cfRule type="cellIs" dxfId="1054" priority="1056" operator="greaterThan">
      <formula>0</formula>
    </cfRule>
  </conditionalFormatting>
  <conditionalFormatting sqref="Q130">
    <cfRule type="cellIs" dxfId="1053" priority="1054" operator="lessThan">
      <formula>0</formula>
    </cfRule>
  </conditionalFormatting>
  <conditionalFormatting sqref="R130">
    <cfRule type="cellIs" dxfId="1052" priority="1052" operator="lessThan">
      <formula>0.8</formula>
    </cfRule>
    <cfRule type="cellIs" dxfId="1051" priority="1053" operator="greaterThan">
      <formula>1</formula>
    </cfRule>
  </conditionalFormatting>
  <conditionalFormatting sqref="R130">
    <cfRule type="cellIs" dxfId="1050" priority="1050" operator="greaterThan">
      <formula>1</formula>
    </cfRule>
    <cfRule type="cellIs" dxfId="1049" priority="1051" operator="lessThan">
      <formula>0.8</formula>
    </cfRule>
  </conditionalFormatting>
  <conditionalFormatting sqref="P130">
    <cfRule type="cellIs" dxfId="1048" priority="1049" operator="greaterThan">
      <formula>0</formula>
    </cfRule>
  </conditionalFormatting>
  <conditionalFormatting sqref="Q130">
    <cfRule type="cellIs" dxfId="1047" priority="1048" operator="lessThan">
      <formula>0</formula>
    </cfRule>
  </conditionalFormatting>
  <conditionalFormatting sqref="R130">
    <cfRule type="cellIs" dxfId="1046" priority="1046" operator="lessThan">
      <formula>0.8</formula>
    </cfRule>
    <cfRule type="cellIs" dxfId="1045" priority="1047" operator="greaterThan">
      <formula>1</formula>
    </cfRule>
  </conditionalFormatting>
  <conditionalFormatting sqref="R130">
    <cfRule type="cellIs" dxfId="1044" priority="1044" operator="greaterThan">
      <formula>1</formula>
    </cfRule>
    <cfRule type="cellIs" dxfId="1043" priority="1045" operator="lessThan">
      <formula>0.8</formula>
    </cfRule>
  </conditionalFormatting>
  <conditionalFormatting sqref="P130">
    <cfRule type="cellIs" dxfId="1042" priority="1043" operator="greaterThan">
      <formula>0</formula>
    </cfRule>
  </conditionalFormatting>
  <conditionalFormatting sqref="P131">
    <cfRule type="cellIs" dxfId="1041" priority="1042" operator="greaterThan">
      <formula>0</formula>
    </cfRule>
  </conditionalFormatting>
  <conditionalFormatting sqref="Q131">
    <cfRule type="cellIs" dxfId="1040" priority="1041" operator="lessThan">
      <formula>0</formula>
    </cfRule>
  </conditionalFormatting>
  <conditionalFormatting sqref="R131">
    <cfRule type="cellIs" dxfId="1039" priority="1039" operator="lessThan">
      <formula>0.8</formula>
    </cfRule>
    <cfRule type="cellIs" dxfId="1038" priority="1040" operator="greaterThan">
      <formula>1</formula>
    </cfRule>
  </conditionalFormatting>
  <conditionalFormatting sqref="R131">
    <cfRule type="cellIs" dxfId="1037" priority="1037" operator="greaterThan">
      <formula>1</formula>
    </cfRule>
    <cfRule type="cellIs" dxfId="1036" priority="1038" operator="lessThan">
      <formula>0.8</formula>
    </cfRule>
  </conditionalFormatting>
  <conditionalFormatting sqref="P131">
    <cfRule type="cellIs" dxfId="1035" priority="1036" operator="greaterThan">
      <formula>0</formula>
    </cfRule>
  </conditionalFormatting>
  <conditionalFormatting sqref="P137 P139 P141:P142 P144">
    <cfRule type="cellIs" dxfId="1034" priority="1035" operator="greaterThan">
      <formula>0</formula>
    </cfRule>
  </conditionalFormatting>
  <conditionalFormatting sqref="Q137 Q139 Q141:Q142 Q144">
    <cfRule type="cellIs" dxfId="1033" priority="1034" operator="lessThan">
      <formula>0</formula>
    </cfRule>
  </conditionalFormatting>
  <conditionalFormatting sqref="R137 R139 R141:R142 R144">
    <cfRule type="cellIs" dxfId="1032" priority="1032" operator="lessThan">
      <formula>0.8</formula>
    </cfRule>
    <cfRule type="cellIs" dxfId="1031" priority="1033" operator="greaterThan">
      <formula>1</formula>
    </cfRule>
  </conditionalFormatting>
  <conditionalFormatting sqref="R137 R139 R141:R142 R144">
    <cfRule type="cellIs" dxfId="1030" priority="1030" operator="greaterThan">
      <formula>1</formula>
    </cfRule>
    <cfRule type="cellIs" dxfId="1029" priority="1031" operator="lessThan">
      <formula>0.8</formula>
    </cfRule>
  </conditionalFormatting>
  <conditionalFormatting sqref="P137 P139 P141:P142 P144">
    <cfRule type="cellIs" dxfId="1028" priority="1029" operator="greaterThan">
      <formula>0</formula>
    </cfRule>
  </conditionalFormatting>
  <conditionalFormatting sqref="Q137 Q139 Q141:Q142 Q144">
    <cfRule type="cellIs" dxfId="1027" priority="1028" operator="lessThan">
      <formula>0</formula>
    </cfRule>
  </conditionalFormatting>
  <conditionalFormatting sqref="R137 R139 R141:R142 R144">
    <cfRule type="cellIs" dxfId="1026" priority="1026" operator="lessThan">
      <formula>0.8</formula>
    </cfRule>
    <cfRule type="cellIs" dxfId="1025" priority="1027" operator="greaterThan">
      <formula>1</formula>
    </cfRule>
  </conditionalFormatting>
  <conditionalFormatting sqref="R137 R139 R141:R142 R144">
    <cfRule type="cellIs" dxfId="1024" priority="1024" operator="greaterThan">
      <formula>1</formula>
    </cfRule>
    <cfRule type="cellIs" dxfId="1023" priority="1025" operator="lessThan">
      <formula>0.8</formula>
    </cfRule>
  </conditionalFormatting>
  <conditionalFormatting sqref="P137 P139 P141:P142 P144">
    <cfRule type="cellIs" dxfId="1022" priority="1023" operator="greaterThan">
      <formula>0</formula>
    </cfRule>
  </conditionalFormatting>
  <conditionalFormatting sqref="P137 P139 P141:P142 P144">
    <cfRule type="cellIs" dxfId="1021" priority="1017" operator="greaterThan">
      <formula>0</formula>
    </cfRule>
  </conditionalFormatting>
  <conditionalFormatting sqref="Q137 Q139 Q141:Q142 Q144">
    <cfRule type="cellIs" dxfId="1020" priority="1022" operator="lessThan">
      <formula>0</formula>
    </cfRule>
  </conditionalFormatting>
  <conditionalFormatting sqref="R137 R139 R141:R142 R144">
    <cfRule type="cellIs" dxfId="1019" priority="1020" operator="lessThan">
      <formula>0.8</formula>
    </cfRule>
    <cfRule type="cellIs" dxfId="1018" priority="1021" operator="greaterThan">
      <formula>1</formula>
    </cfRule>
  </conditionalFormatting>
  <conditionalFormatting sqref="R137 R139 R141:R142 R144">
    <cfRule type="cellIs" dxfId="1017" priority="1018" operator="greaterThan">
      <formula>1</formula>
    </cfRule>
    <cfRule type="cellIs" dxfId="1016" priority="1019" operator="lessThan">
      <formula>0.8</formula>
    </cfRule>
  </conditionalFormatting>
  <conditionalFormatting sqref="Q137 Q139 Q141:Q142 Q144">
    <cfRule type="cellIs" dxfId="1015" priority="1016" operator="lessThan">
      <formula>0</formula>
    </cfRule>
  </conditionalFormatting>
  <conditionalFormatting sqref="R137 R139 R141:R142 R144">
    <cfRule type="cellIs" dxfId="1014" priority="1014" operator="lessThan">
      <formula>0.8</formula>
    </cfRule>
    <cfRule type="cellIs" dxfId="1013" priority="1015" operator="greaterThan">
      <formula>1</formula>
    </cfRule>
  </conditionalFormatting>
  <conditionalFormatting sqref="R137 R139 R141:R142 R144">
    <cfRule type="cellIs" dxfId="1012" priority="1012" operator="greaterThan">
      <formula>1</formula>
    </cfRule>
    <cfRule type="cellIs" dxfId="1011" priority="1013" operator="lessThan">
      <formula>0.8</formula>
    </cfRule>
  </conditionalFormatting>
  <conditionalFormatting sqref="P137 P139 P141:P142 P144">
    <cfRule type="cellIs" dxfId="1010" priority="1011" operator="greaterThan">
      <formula>0</formula>
    </cfRule>
  </conditionalFormatting>
  <conditionalFormatting sqref="Q137 Q139 Q141:Q142 Q144">
    <cfRule type="cellIs" dxfId="1009" priority="1010" operator="lessThan">
      <formula>0</formula>
    </cfRule>
  </conditionalFormatting>
  <conditionalFormatting sqref="R137 R139 R141:R142 R144">
    <cfRule type="cellIs" dxfId="1008" priority="1008" operator="lessThan">
      <formula>0.8</formula>
    </cfRule>
    <cfRule type="cellIs" dxfId="1007" priority="1009" operator="greaterThan">
      <formula>1</formula>
    </cfRule>
  </conditionalFormatting>
  <conditionalFormatting sqref="R137 R139 R141:R142 R144">
    <cfRule type="cellIs" dxfId="1006" priority="1006" operator="greaterThan">
      <formula>1</formula>
    </cfRule>
    <cfRule type="cellIs" dxfId="1005" priority="1007" operator="lessThan">
      <formula>0.8</formula>
    </cfRule>
  </conditionalFormatting>
  <conditionalFormatting sqref="P137 P139 P141:P142 P144">
    <cfRule type="cellIs" dxfId="1004" priority="1005" operator="greaterThan">
      <formula>0</formula>
    </cfRule>
  </conditionalFormatting>
  <conditionalFormatting sqref="P137 P139 P141:P142 P144">
    <cfRule type="cellIs" dxfId="1003" priority="999" operator="greaterThan">
      <formula>0</formula>
    </cfRule>
  </conditionalFormatting>
  <conditionalFormatting sqref="Q137 Q139 Q141:Q142 Q144">
    <cfRule type="cellIs" dxfId="1002" priority="1004" operator="lessThan">
      <formula>0</formula>
    </cfRule>
  </conditionalFormatting>
  <conditionalFormatting sqref="R137 R139 R141:R142 R144">
    <cfRule type="cellIs" dxfId="1001" priority="1002" operator="lessThan">
      <formula>0.8</formula>
    </cfRule>
    <cfRule type="cellIs" dxfId="1000" priority="1003" operator="greaterThan">
      <formula>1</formula>
    </cfRule>
  </conditionalFormatting>
  <conditionalFormatting sqref="R137 R139 R141:R142 R144">
    <cfRule type="cellIs" dxfId="999" priority="1000" operator="greaterThan">
      <formula>1</formula>
    </cfRule>
    <cfRule type="cellIs" dxfId="998" priority="1001" operator="lessThan">
      <formula>0.8</formula>
    </cfRule>
  </conditionalFormatting>
  <conditionalFormatting sqref="Q137 Q139 Q141:Q142 Q144">
    <cfRule type="cellIs" dxfId="997" priority="998" operator="lessThan">
      <formula>0</formula>
    </cfRule>
  </conditionalFormatting>
  <conditionalFormatting sqref="R137 R139 R141:R142 R144">
    <cfRule type="cellIs" dxfId="996" priority="996" operator="lessThan">
      <formula>0.8</formula>
    </cfRule>
    <cfRule type="cellIs" dxfId="995" priority="997" operator="greaterThan">
      <formula>1</formula>
    </cfRule>
  </conditionalFormatting>
  <conditionalFormatting sqref="R137 R139 R141:R142 R144">
    <cfRule type="cellIs" dxfId="994" priority="994" operator="greaterThan">
      <formula>1</formula>
    </cfRule>
    <cfRule type="cellIs" dxfId="993" priority="995" operator="lessThan">
      <formula>0.8</formula>
    </cfRule>
  </conditionalFormatting>
  <conditionalFormatting sqref="P137 P139 P141:P142 P144">
    <cfRule type="cellIs" dxfId="992" priority="993" operator="greaterThan">
      <formula>0</formula>
    </cfRule>
  </conditionalFormatting>
  <conditionalFormatting sqref="Q137 Q139 Q141:Q142 Q144">
    <cfRule type="cellIs" dxfId="991" priority="992" operator="lessThan">
      <formula>0</formula>
    </cfRule>
  </conditionalFormatting>
  <conditionalFormatting sqref="R137 R139 R141:R142 R144">
    <cfRule type="cellIs" dxfId="990" priority="990" operator="lessThan">
      <formula>0.8</formula>
    </cfRule>
    <cfRule type="cellIs" dxfId="989" priority="991" operator="greaterThan">
      <formula>1</formula>
    </cfRule>
  </conditionalFormatting>
  <conditionalFormatting sqref="R137 R139 R141:R142 R144">
    <cfRule type="cellIs" dxfId="988" priority="988" operator="greaterThan">
      <formula>1</formula>
    </cfRule>
    <cfRule type="cellIs" dxfId="987" priority="989" operator="lessThan">
      <formula>0.8</formula>
    </cfRule>
  </conditionalFormatting>
  <conditionalFormatting sqref="P137 P139 P141:P142 P144">
    <cfRule type="cellIs" dxfId="986" priority="987" operator="greaterThan">
      <formula>0</formula>
    </cfRule>
  </conditionalFormatting>
  <conditionalFormatting sqref="P137 P139 P141:P142 P144">
    <cfRule type="cellIs" dxfId="985" priority="981" operator="greaterThan">
      <formula>0</formula>
    </cfRule>
  </conditionalFormatting>
  <conditionalFormatting sqref="Q137 Q139 Q141:Q142 Q144">
    <cfRule type="cellIs" dxfId="984" priority="986" operator="lessThan">
      <formula>0</formula>
    </cfRule>
  </conditionalFormatting>
  <conditionalFormatting sqref="R137 R139 R141:R142 R144">
    <cfRule type="cellIs" dxfId="983" priority="984" operator="lessThan">
      <formula>0.8</formula>
    </cfRule>
    <cfRule type="cellIs" dxfId="982" priority="985" operator="greaterThan">
      <formula>1</formula>
    </cfRule>
  </conditionalFormatting>
  <conditionalFormatting sqref="R137 R139 R141:R142 R144">
    <cfRule type="cellIs" dxfId="981" priority="982" operator="greaterThan">
      <formula>1</formula>
    </cfRule>
    <cfRule type="cellIs" dxfId="980" priority="983" operator="lessThan">
      <formula>0.8</formula>
    </cfRule>
  </conditionalFormatting>
  <conditionalFormatting sqref="Q137 Q139 Q141:Q142 Q144">
    <cfRule type="cellIs" dxfId="979" priority="980" operator="lessThan">
      <formula>0</formula>
    </cfRule>
  </conditionalFormatting>
  <conditionalFormatting sqref="R137 R139 R141:R142 R144">
    <cfRule type="cellIs" dxfId="978" priority="978" operator="lessThan">
      <formula>0.8</formula>
    </cfRule>
    <cfRule type="cellIs" dxfId="977" priority="979" operator="greaterThan">
      <formula>1</formula>
    </cfRule>
  </conditionalFormatting>
  <conditionalFormatting sqref="R137 R139 R141:R142 R144">
    <cfRule type="cellIs" dxfId="976" priority="976" operator="greaterThan">
      <formula>1</formula>
    </cfRule>
    <cfRule type="cellIs" dxfId="975" priority="977" operator="lessThan">
      <formula>0.8</formula>
    </cfRule>
  </conditionalFormatting>
  <conditionalFormatting sqref="P137 P139 P141:P142 P144">
    <cfRule type="cellIs" dxfId="974" priority="975" operator="greaterThan">
      <formula>0</formula>
    </cfRule>
  </conditionalFormatting>
  <conditionalFormatting sqref="P138 P140 P143">
    <cfRule type="cellIs" dxfId="973" priority="969" operator="greaterThan">
      <formula>0</formula>
    </cfRule>
  </conditionalFormatting>
  <conditionalFormatting sqref="Q138 Q140 Q143">
    <cfRule type="cellIs" dxfId="972" priority="974" operator="lessThan">
      <formula>0</formula>
    </cfRule>
  </conditionalFormatting>
  <conditionalFormatting sqref="R138 R140 R143">
    <cfRule type="cellIs" dxfId="971" priority="972" operator="lessThan">
      <formula>0.8</formula>
    </cfRule>
    <cfRule type="cellIs" dxfId="970" priority="973" operator="greaterThan">
      <formula>1</formula>
    </cfRule>
  </conditionalFormatting>
  <conditionalFormatting sqref="R138 R140 R143">
    <cfRule type="cellIs" dxfId="969" priority="970" operator="greaterThan">
      <formula>1</formula>
    </cfRule>
    <cfRule type="cellIs" dxfId="968" priority="971" operator="lessThan">
      <formula>0.8</formula>
    </cfRule>
  </conditionalFormatting>
  <conditionalFormatting sqref="Q138 Q140 Q143">
    <cfRule type="cellIs" dxfId="967" priority="968" operator="lessThan">
      <formula>0</formula>
    </cfRule>
  </conditionalFormatting>
  <conditionalFormatting sqref="R138 R140 R143">
    <cfRule type="cellIs" dxfId="966" priority="966" operator="lessThan">
      <formula>0.8</formula>
    </cfRule>
    <cfRule type="cellIs" dxfId="965" priority="967" operator="greaterThan">
      <formula>1</formula>
    </cfRule>
  </conditionalFormatting>
  <conditionalFormatting sqref="R138 R140 R143">
    <cfRule type="cellIs" dxfId="964" priority="964" operator="greaterThan">
      <formula>1</formula>
    </cfRule>
    <cfRule type="cellIs" dxfId="963" priority="965" operator="lessThan">
      <formula>0.8</formula>
    </cfRule>
  </conditionalFormatting>
  <conditionalFormatting sqref="P138 P140 P143">
    <cfRule type="cellIs" dxfId="962" priority="963" operator="greaterThan">
      <formula>0</formula>
    </cfRule>
  </conditionalFormatting>
  <conditionalFormatting sqref="Q138 Q140 Q143">
    <cfRule type="cellIs" dxfId="961" priority="962" operator="lessThan">
      <formula>0</formula>
    </cfRule>
  </conditionalFormatting>
  <conditionalFormatting sqref="R138 R140 R143">
    <cfRule type="cellIs" dxfId="960" priority="960" operator="lessThan">
      <formula>0.8</formula>
    </cfRule>
    <cfRule type="cellIs" dxfId="959" priority="961" operator="greaterThan">
      <formula>1</formula>
    </cfRule>
  </conditionalFormatting>
  <conditionalFormatting sqref="R138 R140 R143">
    <cfRule type="cellIs" dxfId="958" priority="958" operator="greaterThan">
      <formula>1</formula>
    </cfRule>
    <cfRule type="cellIs" dxfId="957" priority="959" operator="lessThan">
      <formula>0.8</formula>
    </cfRule>
  </conditionalFormatting>
  <conditionalFormatting sqref="P138 P140 P143">
    <cfRule type="cellIs" dxfId="956" priority="957" operator="greaterThan">
      <formula>0</formula>
    </cfRule>
  </conditionalFormatting>
  <conditionalFormatting sqref="Q138 Q140 Q143">
    <cfRule type="cellIs" dxfId="955" priority="956" operator="lessThan">
      <formula>0</formula>
    </cfRule>
  </conditionalFormatting>
  <conditionalFormatting sqref="R138 R140 R143">
    <cfRule type="cellIs" dxfId="954" priority="954" operator="lessThan">
      <formula>0.8</formula>
    </cfRule>
    <cfRule type="cellIs" dxfId="953" priority="955" operator="greaterThan">
      <formula>1</formula>
    </cfRule>
  </conditionalFormatting>
  <conditionalFormatting sqref="R138 R140 R143">
    <cfRule type="cellIs" dxfId="952" priority="952" operator="greaterThan">
      <formula>1</formula>
    </cfRule>
    <cfRule type="cellIs" dxfId="951" priority="953" operator="lessThan">
      <formula>0.8</formula>
    </cfRule>
  </conditionalFormatting>
  <conditionalFormatting sqref="P138 P140 P143">
    <cfRule type="cellIs" dxfId="950" priority="951" operator="greaterThan">
      <formula>0</formula>
    </cfRule>
  </conditionalFormatting>
  <conditionalFormatting sqref="Q138 Q140 Q143">
    <cfRule type="cellIs" dxfId="949" priority="950" operator="lessThan">
      <formula>0</formula>
    </cfRule>
  </conditionalFormatting>
  <conditionalFormatting sqref="R138 R140 R143">
    <cfRule type="cellIs" dxfId="948" priority="948" operator="lessThan">
      <formula>0.8</formula>
    </cfRule>
    <cfRule type="cellIs" dxfId="947" priority="949" operator="greaterThan">
      <formula>1</formula>
    </cfRule>
  </conditionalFormatting>
  <conditionalFormatting sqref="R138 R140 R143">
    <cfRule type="cellIs" dxfId="946" priority="946" operator="greaterThan">
      <formula>1</formula>
    </cfRule>
    <cfRule type="cellIs" dxfId="945" priority="947" operator="lessThan">
      <formula>0.8</formula>
    </cfRule>
  </conditionalFormatting>
  <conditionalFormatting sqref="Q138 Q140 Q143">
    <cfRule type="cellIs" dxfId="944" priority="945" operator="lessThan">
      <formula>0</formula>
    </cfRule>
  </conditionalFormatting>
  <conditionalFormatting sqref="R138 R140 R143">
    <cfRule type="cellIs" dxfId="943" priority="943" operator="lessThan">
      <formula>0.8</formula>
    </cfRule>
    <cfRule type="cellIs" dxfId="942" priority="944" operator="greaterThan">
      <formula>1</formula>
    </cfRule>
  </conditionalFormatting>
  <conditionalFormatting sqref="R138 R140 R143">
    <cfRule type="cellIs" dxfId="941" priority="941" operator="greaterThan">
      <formula>1</formula>
    </cfRule>
    <cfRule type="cellIs" dxfId="940" priority="942" operator="lessThan">
      <formula>0.8</formula>
    </cfRule>
  </conditionalFormatting>
  <conditionalFormatting sqref="P138 P140 P143">
    <cfRule type="cellIs" dxfId="939" priority="940" operator="greaterThan">
      <formula>0</formula>
    </cfRule>
  </conditionalFormatting>
  <conditionalFormatting sqref="P138 P140 P143">
    <cfRule type="cellIs" dxfId="938" priority="934" operator="greaterThan">
      <formula>0</formula>
    </cfRule>
  </conditionalFormatting>
  <conditionalFormatting sqref="Q138 Q140 Q143">
    <cfRule type="cellIs" dxfId="937" priority="939" operator="lessThan">
      <formula>0</formula>
    </cfRule>
  </conditionalFormatting>
  <conditionalFormatting sqref="R138 R140 R143">
    <cfRule type="cellIs" dxfId="936" priority="937" operator="lessThan">
      <formula>0.8</formula>
    </cfRule>
    <cfRule type="cellIs" dxfId="935" priority="938" operator="greaterThan">
      <formula>1</formula>
    </cfRule>
  </conditionalFormatting>
  <conditionalFormatting sqref="R138 R140 R143">
    <cfRule type="cellIs" dxfId="934" priority="935" operator="greaterThan">
      <formula>1</formula>
    </cfRule>
    <cfRule type="cellIs" dxfId="933" priority="936" operator="lessThan">
      <formula>0.8</formula>
    </cfRule>
  </conditionalFormatting>
  <conditionalFormatting sqref="Q138 Q140 Q143">
    <cfRule type="cellIs" dxfId="932" priority="933" operator="lessThan">
      <formula>0</formula>
    </cfRule>
  </conditionalFormatting>
  <conditionalFormatting sqref="R138 R140 R143">
    <cfRule type="cellIs" dxfId="931" priority="931" operator="lessThan">
      <formula>0.8</formula>
    </cfRule>
    <cfRule type="cellIs" dxfId="930" priority="932" operator="greaterThan">
      <formula>1</formula>
    </cfRule>
  </conditionalFormatting>
  <conditionalFormatting sqref="R138 R140 R143">
    <cfRule type="cellIs" dxfId="929" priority="929" operator="greaterThan">
      <formula>1</formula>
    </cfRule>
    <cfRule type="cellIs" dxfId="928" priority="930" operator="lessThan">
      <formula>0.8</formula>
    </cfRule>
  </conditionalFormatting>
  <conditionalFormatting sqref="P138 P140 P143">
    <cfRule type="cellIs" dxfId="927" priority="928" operator="greaterThan">
      <formula>0</formula>
    </cfRule>
  </conditionalFormatting>
  <conditionalFormatting sqref="Q148:Q153">
    <cfRule type="cellIs" dxfId="926" priority="927" operator="lessThan">
      <formula>0</formula>
    </cfRule>
  </conditionalFormatting>
  <conditionalFormatting sqref="R148:R153">
    <cfRule type="cellIs" dxfId="925" priority="925" operator="lessThan">
      <formula>0.8</formula>
    </cfRule>
    <cfRule type="cellIs" dxfId="924" priority="926" operator="greaterThan">
      <formula>1</formula>
    </cfRule>
  </conditionalFormatting>
  <conditionalFormatting sqref="R148:R153">
    <cfRule type="cellIs" dxfId="923" priority="923" operator="greaterThan">
      <formula>1</formula>
    </cfRule>
    <cfRule type="cellIs" dxfId="922" priority="924" operator="lessThan">
      <formula>0.8</formula>
    </cfRule>
  </conditionalFormatting>
  <conditionalFormatting sqref="P148:P153">
    <cfRule type="cellIs" dxfId="921" priority="922" operator="greaterThan">
      <formula>0</formula>
    </cfRule>
  </conditionalFormatting>
  <conditionalFormatting sqref="P148:P153">
    <cfRule type="cellIs" dxfId="920" priority="916" operator="greaterThan">
      <formula>0</formula>
    </cfRule>
  </conditionalFormatting>
  <conditionalFormatting sqref="Q148:Q153">
    <cfRule type="cellIs" dxfId="919" priority="921" operator="lessThan">
      <formula>0</formula>
    </cfRule>
  </conditionalFormatting>
  <conditionalFormatting sqref="R148:R153">
    <cfRule type="cellIs" dxfId="918" priority="919" operator="lessThan">
      <formula>0.8</formula>
    </cfRule>
    <cfRule type="cellIs" dxfId="917" priority="920" operator="greaterThan">
      <formula>1</formula>
    </cfRule>
  </conditionalFormatting>
  <conditionalFormatting sqref="R148:R153">
    <cfRule type="cellIs" dxfId="916" priority="917" operator="greaterThan">
      <formula>1</formula>
    </cfRule>
    <cfRule type="cellIs" dxfId="915" priority="918" operator="lessThan">
      <formula>0.8</formula>
    </cfRule>
  </conditionalFormatting>
  <conditionalFormatting sqref="Q148:Q153">
    <cfRule type="cellIs" dxfId="914" priority="915" operator="lessThan">
      <formula>0</formula>
    </cfRule>
  </conditionalFormatting>
  <conditionalFormatting sqref="R148:R153">
    <cfRule type="cellIs" dxfId="913" priority="913" operator="lessThan">
      <formula>0.8</formula>
    </cfRule>
    <cfRule type="cellIs" dxfId="912" priority="914" operator="greaterThan">
      <formula>1</formula>
    </cfRule>
  </conditionalFormatting>
  <conditionalFormatting sqref="R148:R153">
    <cfRule type="cellIs" dxfId="911" priority="911" operator="greaterThan">
      <formula>1</formula>
    </cfRule>
    <cfRule type="cellIs" dxfId="910" priority="912" operator="lessThan">
      <formula>0.8</formula>
    </cfRule>
  </conditionalFormatting>
  <conditionalFormatting sqref="P148:P153">
    <cfRule type="cellIs" dxfId="909" priority="910" operator="greaterThan">
      <formula>0</formula>
    </cfRule>
  </conditionalFormatting>
  <conditionalFormatting sqref="Q148:Q153">
    <cfRule type="cellIs" dxfId="908" priority="909" operator="lessThan">
      <formula>0</formula>
    </cfRule>
  </conditionalFormatting>
  <conditionalFormatting sqref="R148:R153">
    <cfRule type="cellIs" dxfId="907" priority="907" operator="lessThan">
      <formula>0.8</formula>
    </cfRule>
    <cfRule type="cellIs" dxfId="906" priority="908" operator="greaterThan">
      <formula>1</formula>
    </cfRule>
  </conditionalFormatting>
  <conditionalFormatting sqref="R148:R153">
    <cfRule type="cellIs" dxfId="905" priority="905" operator="greaterThan">
      <formula>1</formula>
    </cfRule>
    <cfRule type="cellIs" dxfId="904" priority="906" operator="lessThan">
      <formula>0.8</formula>
    </cfRule>
  </conditionalFormatting>
  <conditionalFormatting sqref="P148:P153">
    <cfRule type="cellIs" dxfId="903" priority="904" operator="greaterThan">
      <formula>0</formula>
    </cfRule>
  </conditionalFormatting>
  <conditionalFormatting sqref="P148:P153">
    <cfRule type="cellIs" dxfId="902" priority="898" operator="greaterThan">
      <formula>0</formula>
    </cfRule>
  </conditionalFormatting>
  <conditionalFormatting sqref="Q148:Q153">
    <cfRule type="cellIs" dxfId="901" priority="903" operator="lessThan">
      <formula>0</formula>
    </cfRule>
  </conditionalFormatting>
  <conditionalFormatting sqref="R148:R153">
    <cfRule type="cellIs" dxfId="900" priority="901" operator="lessThan">
      <formula>0.8</formula>
    </cfRule>
    <cfRule type="cellIs" dxfId="899" priority="902" operator="greaterThan">
      <formula>1</formula>
    </cfRule>
  </conditionalFormatting>
  <conditionalFormatting sqref="R148:R153">
    <cfRule type="cellIs" dxfId="898" priority="899" operator="greaterThan">
      <formula>1</formula>
    </cfRule>
    <cfRule type="cellIs" dxfId="897" priority="900" operator="lessThan">
      <formula>0.8</formula>
    </cfRule>
  </conditionalFormatting>
  <conditionalFormatting sqref="Q148:Q153">
    <cfRule type="cellIs" dxfId="896" priority="897" operator="lessThan">
      <formula>0</formula>
    </cfRule>
  </conditionalFormatting>
  <conditionalFormatting sqref="R148:R153">
    <cfRule type="cellIs" dxfId="895" priority="895" operator="lessThan">
      <formula>0.8</formula>
    </cfRule>
    <cfRule type="cellIs" dxfId="894" priority="896" operator="greaterThan">
      <formula>1</formula>
    </cfRule>
  </conditionalFormatting>
  <conditionalFormatting sqref="R148:R153">
    <cfRule type="cellIs" dxfId="893" priority="893" operator="greaterThan">
      <formula>1</formula>
    </cfRule>
    <cfRule type="cellIs" dxfId="892" priority="894" operator="lessThan">
      <formula>0.8</formula>
    </cfRule>
  </conditionalFormatting>
  <conditionalFormatting sqref="P148:P153">
    <cfRule type="cellIs" dxfId="891" priority="892" operator="greaterThan">
      <formula>0</formula>
    </cfRule>
  </conditionalFormatting>
  <conditionalFormatting sqref="Q148:Q153">
    <cfRule type="cellIs" dxfId="890" priority="886" operator="lessThan">
      <formula>0</formula>
    </cfRule>
  </conditionalFormatting>
  <conditionalFormatting sqref="P148:P153">
    <cfRule type="cellIs" dxfId="889" priority="887" operator="greaterThan">
      <formula>0</formula>
    </cfRule>
  </conditionalFormatting>
  <conditionalFormatting sqref="R148:R153">
    <cfRule type="cellIs" dxfId="888" priority="890" operator="lessThan">
      <formula>0.8</formula>
    </cfRule>
    <cfRule type="cellIs" dxfId="887" priority="891" operator="greaterThan">
      <formula>1</formula>
    </cfRule>
  </conditionalFormatting>
  <conditionalFormatting sqref="R148:R153">
    <cfRule type="cellIs" dxfId="886" priority="888" operator="greaterThan">
      <formula>1</formula>
    </cfRule>
    <cfRule type="cellIs" dxfId="885" priority="889" operator="lessThan">
      <formula>0.8</formula>
    </cfRule>
  </conditionalFormatting>
  <conditionalFormatting sqref="Q148:Q153">
    <cfRule type="cellIs" dxfId="884" priority="880" operator="lessThan">
      <formula>0</formula>
    </cfRule>
  </conditionalFormatting>
  <conditionalFormatting sqref="R148:R153">
    <cfRule type="cellIs" dxfId="883" priority="884" operator="lessThan">
      <formula>0.8</formula>
    </cfRule>
    <cfRule type="cellIs" dxfId="882" priority="885" operator="greaterThan">
      <formula>1</formula>
    </cfRule>
  </conditionalFormatting>
  <conditionalFormatting sqref="R148:R153">
    <cfRule type="cellIs" dxfId="881" priority="882" operator="greaterThan">
      <formula>1</formula>
    </cfRule>
    <cfRule type="cellIs" dxfId="880" priority="883" operator="lessThan">
      <formula>0.8</formula>
    </cfRule>
  </conditionalFormatting>
  <conditionalFormatting sqref="P148:P153">
    <cfRule type="cellIs" dxfId="879" priority="881" operator="greaterThan">
      <formula>0</formula>
    </cfRule>
  </conditionalFormatting>
  <conditionalFormatting sqref="Q148:Q153">
    <cfRule type="cellIs" dxfId="878" priority="879" operator="lessThan">
      <formula>0</formula>
    </cfRule>
  </conditionalFormatting>
  <conditionalFormatting sqref="R148:R153">
    <cfRule type="cellIs" dxfId="877" priority="877" operator="lessThan">
      <formula>0.8</formula>
    </cfRule>
    <cfRule type="cellIs" dxfId="876" priority="878" operator="greaterThan">
      <formula>1</formula>
    </cfRule>
  </conditionalFormatting>
  <conditionalFormatting sqref="R148:R153">
    <cfRule type="cellIs" dxfId="875" priority="875" operator="greaterThan">
      <formula>1</formula>
    </cfRule>
    <cfRule type="cellIs" dxfId="874" priority="876" operator="lessThan">
      <formula>0.8</formula>
    </cfRule>
  </conditionalFormatting>
  <conditionalFormatting sqref="P148:P153">
    <cfRule type="cellIs" dxfId="873" priority="874" operator="greaterThan">
      <formula>0</formula>
    </cfRule>
  </conditionalFormatting>
  <conditionalFormatting sqref="Q148:Q153">
    <cfRule type="cellIs" dxfId="872" priority="873" operator="lessThan">
      <formula>0</formula>
    </cfRule>
  </conditionalFormatting>
  <conditionalFormatting sqref="R148:R153">
    <cfRule type="cellIs" dxfId="871" priority="871" operator="lessThan">
      <formula>0.8</formula>
    </cfRule>
    <cfRule type="cellIs" dxfId="870" priority="872" operator="greaterThan">
      <formula>1</formula>
    </cfRule>
  </conditionalFormatting>
  <conditionalFormatting sqref="R148:R153">
    <cfRule type="cellIs" dxfId="869" priority="869" operator="greaterThan">
      <formula>1</formula>
    </cfRule>
    <cfRule type="cellIs" dxfId="868" priority="870" operator="lessThan">
      <formula>0.8</formula>
    </cfRule>
  </conditionalFormatting>
  <conditionalFormatting sqref="P148:P153">
    <cfRule type="cellIs" dxfId="867" priority="868" operator="greaterThan">
      <formula>0</formula>
    </cfRule>
  </conditionalFormatting>
  <conditionalFormatting sqref="Q148:Q153">
    <cfRule type="cellIs" dxfId="866" priority="867" operator="lessThan">
      <formula>0</formula>
    </cfRule>
  </conditionalFormatting>
  <conditionalFormatting sqref="R148:R153">
    <cfRule type="cellIs" dxfId="865" priority="865" operator="lessThan">
      <formula>0.8</formula>
    </cfRule>
    <cfRule type="cellIs" dxfId="864" priority="866" operator="greaterThan">
      <formula>1</formula>
    </cfRule>
  </conditionalFormatting>
  <conditionalFormatting sqref="R148:R153">
    <cfRule type="cellIs" dxfId="863" priority="863" operator="greaterThan">
      <formula>1</formula>
    </cfRule>
    <cfRule type="cellIs" dxfId="862" priority="864" operator="lessThan">
      <formula>0.8</formula>
    </cfRule>
  </conditionalFormatting>
  <conditionalFormatting sqref="P148:P153">
    <cfRule type="cellIs" dxfId="861" priority="862" operator="greaterThan">
      <formula>0</formula>
    </cfRule>
  </conditionalFormatting>
  <conditionalFormatting sqref="Q148:Q153">
    <cfRule type="cellIs" dxfId="860" priority="861" operator="lessThan">
      <formula>0</formula>
    </cfRule>
  </conditionalFormatting>
  <conditionalFormatting sqref="R148:R153">
    <cfRule type="cellIs" dxfId="859" priority="859" operator="lessThan">
      <formula>0.8</formula>
    </cfRule>
    <cfRule type="cellIs" dxfId="858" priority="860" operator="greaterThan">
      <formula>1</formula>
    </cfRule>
  </conditionalFormatting>
  <conditionalFormatting sqref="R148:R153">
    <cfRule type="cellIs" dxfId="857" priority="857" operator="greaterThan">
      <formula>1</formula>
    </cfRule>
    <cfRule type="cellIs" dxfId="856" priority="858" operator="lessThan">
      <formula>0.8</formula>
    </cfRule>
  </conditionalFormatting>
  <conditionalFormatting sqref="P148:P153">
    <cfRule type="cellIs" dxfId="855" priority="856" operator="greaterThan">
      <formula>0</formula>
    </cfRule>
  </conditionalFormatting>
  <conditionalFormatting sqref="Q148:Q153">
    <cfRule type="cellIs" dxfId="854" priority="855" operator="lessThan">
      <formula>0</formula>
    </cfRule>
  </conditionalFormatting>
  <conditionalFormatting sqref="R148:R153">
    <cfRule type="cellIs" dxfId="853" priority="853" operator="lessThan">
      <formula>0.8</formula>
    </cfRule>
    <cfRule type="cellIs" dxfId="852" priority="854" operator="greaterThan">
      <formula>1</formula>
    </cfRule>
  </conditionalFormatting>
  <conditionalFormatting sqref="R148:R153">
    <cfRule type="cellIs" dxfId="851" priority="851" operator="greaterThan">
      <formula>1</formula>
    </cfRule>
    <cfRule type="cellIs" dxfId="850" priority="852" operator="lessThan">
      <formula>0.8</formula>
    </cfRule>
  </conditionalFormatting>
  <conditionalFormatting sqref="P148:P153">
    <cfRule type="cellIs" dxfId="849" priority="850" operator="greaterThan">
      <formula>0</formula>
    </cfRule>
  </conditionalFormatting>
  <conditionalFormatting sqref="Q148:Q153">
    <cfRule type="cellIs" dxfId="848" priority="849" operator="lessThan">
      <formula>0</formula>
    </cfRule>
  </conditionalFormatting>
  <conditionalFormatting sqref="R148:R153">
    <cfRule type="cellIs" dxfId="847" priority="847" operator="lessThan">
      <formula>0.8</formula>
    </cfRule>
    <cfRule type="cellIs" dxfId="846" priority="848" operator="greaterThan">
      <formula>1</formula>
    </cfRule>
  </conditionalFormatting>
  <conditionalFormatting sqref="R148:R153">
    <cfRule type="cellIs" dxfId="845" priority="845" operator="greaterThan">
      <formula>1</formula>
    </cfRule>
    <cfRule type="cellIs" dxfId="844" priority="846" operator="lessThan">
      <formula>0.8</formula>
    </cfRule>
  </conditionalFormatting>
  <conditionalFormatting sqref="P148:P153">
    <cfRule type="cellIs" dxfId="843" priority="844" operator="greaterThan">
      <formula>0</formula>
    </cfRule>
  </conditionalFormatting>
  <conditionalFormatting sqref="Q148:Q153">
    <cfRule type="cellIs" dxfId="842" priority="843" operator="lessThan">
      <formula>0</formula>
    </cfRule>
  </conditionalFormatting>
  <conditionalFormatting sqref="R148:R153">
    <cfRule type="cellIs" dxfId="841" priority="841" operator="lessThan">
      <formula>0.8</formula>
    </cfRule>
    <cfRule type="cellIs" dxfId="840" priority="842" operator="greaterThan">
      <formula>1</formula>
    </cfRule>
  </conditionalFormatting>
  <conditionalFormatting sqref="R148:R153">
    <cfRule type="cellIs" dxfId="839" priority="839" operator="greaterThan">
      <formula>1</formula>
    </cfRule>
    <cfRule type="cellIs" dxfId="838" priority="840" operator="lessThan">
      <formula>0.8</formula>
    </cfRule>
  </conditionalFormatting>
  <conditionalFormatting sqref="P148:P153">
    <cfRule type="cellIs" dxfId="837" priority="838" operator="greaterThan">
      <formula>0</formula>
    </cfRule>
  </conditionalFormatting>
  <conditionalFormatting sqref="P148:P153">
    <cfRule type="cellIs" dxfId="836" priority="832" operator="greaterThan">
      <formula>0</formula>
    </cfRule>
  </conditionalFormatting>
  <conditionalFormatting sqref="Q148:Q153">
    <cfRule type="cellIs" dxfId="835" priority="837" operator="lessThan">
      <formula>0</formula>
    </cfRule>
  </conditionalFormatting>
  <conditionalFormatting sqref="R148:R153">
    <cfRule type="cellIs" dxfId="834" priority="835" operator="lessThan">
      <formula>0.8</formula>
    </cfRule>
    <cfRule type="cellIs" dxfId="833" priority="836" operator="greaterThan">
      <formula>1</formula>
    </cfRule>
  </conditionalFormatting>
  <conditionalFormatting sqref="R148:R153">
    <cfRule type="cellIs" dxfId="832" priority="833" operator="greaterThan">
      <formula>1</formula>
    </cfRule>
    <cfRule type="cellIs" dxfId="831" priority="834" operator="lessThan">
      <formula>0.8</formula>
    </cfRule>
  </conditionalFormatting>
  <conditionalFormatting sqref="P148:P153">
    <cfRule type="cellIs" dxfId="830" priority="826" operator="greaterThan">
      <formula>0</formula>
    </cfRule>
  </conditionalFormatting>
  <conditionalFormatting sqref="Q148:Q153">
    <cfRule type="cellIs" dxfId="829" priority="831" operator="lessThan">
      <formula>0</formula>
    </cfRule>
  </conditionalFormatting>
  <conditionalFormatting sqref="R148:R153">
    <cfRule type="cellIs" dxfId="828" priority="829" operator="lessThan">
      <formula>0.8</formula>
    </cfRule>
    <cfRule type="cellIs" dxfId="827" priority="830" operator="greaterThan">
      <formula>1</formula>
    </cfRule>
  </conditionalFormatting>
  <conditionalFormatting sqref="R148:R153">
    <cfRule type="cellIs" dxfId="826" priority="827" operator="greaterThan">
      <formula>1</formula>
    </cfRule>
    <cfRule type="cellIs" dxfId="825" priority="828" operator="lessThan">
      <formula>0.8</formula>
    </cfRule>
  </conditionalFormatting>
  <conditionalFormatting sqref="R148:R153">
    <cfRule type="cellIs" dxfId="824" priority="823" operator="lessThan">
      <formula>0.8</formula>
    </cfRule>
    <cfRule type="cellIs" dxfId="823" priority="824" operator="greaterThan">
      <formula>1</formula>
    </cfRule>
  </conditionalFormatting>
  <conditionalFormatting sqref="R148:R153">
    <cfRule type="cellIs" dxfId="822" priority="821" operator="greaterThan">
      <formula>1</formula>
    </cfRule>
    <cfRule type="cellIs" dxfId="821" priority="822" operator="lessThan">
      <formula>0.8</formula>
    </cfRule>
  </conditionalFormatting>
  <conditionalFormatting sqref="P148:P153">
    <cfRule type="cellIs" dxfId="820" priority="820" operator="greaterThan">
      <formula>0</formula>
    </cfRule>
  </conditionalFormatting>
  <conditionalFormatting sqref="Q148:Q153">
    <cfRule type="cellIs" dxfId="819" priority="825" operator="lessThan">
      <formula>0</formula>
    </cfRule>
  </conditionalFormatting>
  <conditionalFormatting sqref="Q148:Q153">
    <cfRule type="cellIs" dxfId="818" priority="819" operator="lessThan">
      <formula>0</formula>
    </cfRule>
  </conditionalFormatting>
  <conditionalFormatting sqref="R148:R153">
    <cfRule type="cellIs" dxfId="817" priority="817" operator="lessThan">
      <formula>0.8</formula>
    </cfRule>
    <cfRule type="cellIs" dxfId="816" priority="818" operator="greaterThan">
      <formula>1</formula>
    </cfRule>
  </conditionalFormatting>
  <conditionalFormatting sqref="R148:R153">
    <cfRule type="cellIs" dxfId="815" priority="815" operator="greaterThan">
      <formula>1</formula>
    </cfRule>
    <cfRule type="cellIs" dxfId="814" priority="816" operator="lessThan">
      <formula>0.8</formula>
    </cfRule>
  </conditionalFormatting>
  <conditionalFormatting sqref="P148:P153">
    <cfRule type="cellIs" dxfId="813" priority="814" operator="greaterThan">
      <formula>0</formula>
    </cfRule>
  </conditionalFormatting>
  <conditionalFormatting sqref="P148:P153">
    <cfRule type="cellIs" dxfId="812" priority="808" operator="greaterThan">
      <formula>0</formula>
    </cfRule>
  </conditionalFormatting>
  <conditionalFormatting sqref="Q148:Q153">
    <cfRule type="cellIs" dxfId="811" priority="813" operator="lessThan">
      <formula>0</formula>
    </cfRule>
  </conditionalFormatting>
  <conditionalFormatting sqref="R148:R153">
    <cfRule type="cellIs" dxfId="810" priority="811" operator="lessThan">
      <formula>0.8</formula>
    </cfRule>
    <cfRule type="cellIs" dxfId="809" priority="812" operator="greaterThan">
      <formula>1</formula>
    </cfRule>
  </conditionalFormatting>
  <conditionalFormatting sqref="R148:R153">
    <cfRule type="cellIs" dxfId="808" priority="809" operator="greaterThan">
      <formula>1</formula>
    </cfRule>
    <cfRule type="cellIs" dxfId="807" priority="810" operator="lessThan">
      <formula>0.8</formula>
    </cfRule>
  </conditionalFormatting>
  <conditionalFormatting sqref="P148:P153">
    <cfRule type="cellIs" dxfId="806" priority="802" operator="greaterThan">
      <formula>0</formula>
    </cfRule>
  </conditionalFormatting>
  <conditionalFormatting sqref="Q148:Q153">
    <cfRule type="cellIs" dxfId="805" priority="807" operator="lessThan">
      <formula>0</formula>
    </cfRule>
  </conditionalFormatting>
  <conditionalFormatting sqref="R148:R153">
    <cfRule type="cellIs" dxfId="804" priority="805" operator="lessThan">
      <formula>0.8</formula>
    </cfRule>
    <cfRule type="cellIs" dxfId="803" priority="806" operator="greaterThan">
      <formula>1</formula>
    </cfRule>
  </conditionalFormatting>
  <conditionalFormatting sqref="R148:R153">
    <cfRule type="cellIs" dxfId="802" priority="803" operator="greaterThan">
      <formula>1</formula>
    </cfRule>
    <cfRule type="cellIs" dxfId="801" priority="804" operator="lessThan">
      <formula>0.8</formula>
    </cfRule>
  </conditionalFormatting>
  <conditionalFormatting sqref="R148:R153">
    <cfRule type="cellIs" dxfId="800" priority="799" operator="lessThan">
      <formula>0.8</formula>
    </cfRule>
    <cfRule type="cellIs" dxfId="799" priority="800" operator="greaterThan">
      <formula>1</formula>
    </cfRule>
  </conditionalFormatting>
  <conditionalFormatting sqref="R148:R153">
    <cfRule type="cellIs" dxfId="798" priority="797" operator="greaterThan">
      <formula>1</formula>
    </cfRule>
    <cfRule type="cellIs" dxfId="797" priority="798" operator="lessThan">
      <formula>0.8</formula>
    </cfRule>
  </conditionalFormatting>
  <conditionalFormatting sqref="P148:P153">
    <cfRule type="cellIs" dxfId="796" priority="796" operator="greaterThan">
      <formula>0</formula>
    </cfRule>
  </conditionalFormatting>
  <conditionalFormatting sqref="Q148:Q153">
    <cfRule type="cellIs" dxfId="795" priority="801" operator="lessThan">
      <formula>0</formula>
    </cfRule>
  </conditionalFormatting>
  <conditionalFormatting sqref="P148:P153">
    <cfRule type="cellIs" dxfId="794" priority="790" operator="greaterThan">
      <formula>0</formula>
    </cfRule>
  </conditionalFormatting>
  <conditionalFormatting sqref="Q148:Q153">
    <cfRule type="cellIs" dxfId="793" priority="795" operator="lessThan">
      <formula>0</formula>
    </cfRule>
  </conditionalFormatting>
  <conditionalFormatting sqref="R148:R153">
    <cfRule type="cellIs" dxfId="792" priority="793" operator="lessThan">
      <formula>0.8</formula>
    </cfRule>
    <cfRule type="cellIs" dxfId="791" priority="794" operator="greaterThan">
      <formula>1</formula>
    </cfRule>
  </conditionalFormatting>
  <conditionalFormatting sqref="R148:R153">
    <cfRule type="cellIs" dxfId="790" priority="791" operator="greaterThan">
      <formula>1</formula>
    </cfRule>
    <cfRule type="cellIs" dxfId="789" priority="792" operator="lessThan">
      <formula>0.8</formula>
    </cfRule>
  </conditionalFormatting>
  <conditionalFormatting sqref="R148:R153">
    <cfRule type="cellIs" dxfId="788" priority="787" operator="lessThan">
      <formula>0.8</formula>
    </cfRule>
    <cfRule type="cellIs" dxfId="787" priority="788" operator="greaterThan">
      <formula>1</formula>
    </cfRule>
  </conditionalFormatting>
  <conditionalFormatting sqref="R148:R153">
    <cfRule type="cellIs" dxfId="786" priority="785" operator="greaterThan">
      <formula>1</formula>
    </cfRule>
    <cfRule type="cellIs" dxfId="785" priority="786" operator="lessThan">
      <formula>0.8</formula>
    </cfRule>
  </conditionalFormatting>
  <conditionalFormatting sqref="P148:P153">
    <cfRule type="cellIs" dxfId="784" priority="784" operator="greaterThan">
      <formula>0</formula>
    </cfRule>
  </conditionalFormatting>
  <conditionalFormatting sqref="Q148:Q153">
    <cfRule type="cellIs" dxfId="783" priority="789" operator="lessThan">
      <formula>0</formula>
    </cfRule>
  </conditionalFormatting>
  <conditionalFormatting sqref="R148:R153">
    <cfRule type="cellIs" dxfId="782" priority="781" operator="lessThan">
      <formula>0.8</formula>
    </cfRule>
    <cfRule type="cellIs" dxfId="781" priority="782" operator="greaterThan">
      <formula>1</formula>
    </cfRule>
  </conditionalFormatting>
  <conditionalFormatting sqref="R148:R153">
    <cfRule type="cellIs" dxfId="780" priority="779" operator="greaterThan">
      <formula>1</formula>
    </cfRule>
    <cfRule type="cellIs" dxfId="779" priority="780" operator="lessThan">
      <formula>0.8</formula>
    </cfRule>
  </conditionalFormatting>
  <conditionalFormatting sqref="P148:P153">
    <cfRule type="cellIs" dxfId="778" priority="778" operator="greaterThan">
      <formula>0</formula>
    </cfRule>
  </conditionalFormatting>
  <conditionalFormatting sqref="Q148:Q153">
    <cfRule type="cellIs" dxfId="777" priority="783" operator="lessThan">
      <formula>0</formula>
    </cfRule>
  </conditionalFormatting>
  <conditionalFormatting sqref="Q148:Q153">
    <cfRule type="cellIs" dxfId="776" priority="777" operator="lessThan">
      <formula>0</formula>
    </cfRule>
  </conditionalFormatting>
  <conditionalFormatting sqref="R148:R153">
    <cfRule type="cellIs" dxfId="775" priority="775" operator="lessThan">
      <formula>0.8</formula>
    </cfRule>
    <cfRule type="cellIs" dxfId="774" priority="776" operator="greaterThan">
      <formula>1</formula>
    </cfRule>
  </conditionalFormatting>
  <conditionalFormatting sqref="R148:R153">
    <cfRule type="cellIs" dxfId="773" priority="773" operator="greaterThan">
      <formula>1</formula>
    </cfRule>
    <cfRule type="cellIs" dxfId="772" priority="774" operator="lessThan">
      <formula>0.8</formula>
    </cfRule>
  </conditionalFormatting>
  <conditionalFormatting sqref="P148:P153">
    <cfRule type="cellIs" dxfId="771" priority="772" operator="greaterThan">
      <formula>0</formula>
    </cfRule>
  </conditionalFormatting>
  <conditionalFormatting sqref="Q148:Q153">
    <cfRule type="cellIs" dxfId="770" priority="766" operator="lessThan">
      <formula>0</formula>
    </cfRule>
  </conditionalFormatting>
  <conditionalFormatting sqref="R148:R153">
    <cfRule type="cellIs" dxfId="769" priority="770" operator="lessThan">
      <formula>0.8</formula>
    </cfRule>
    <cfRule type="cellIs" dxfId="768" priority="771" operator="greaterThan">
      <formula>1</formula>
    </cfRule>
  </conditionalFormatting>
  <conditionalFormatting sqref="R148:R153">
    <cfRule type="cellIs" dxfId="767" priority="768" operator="greaterThan">
      <formula>1</formula>
    </cfRule>
    <cfRule type="cellIs" dxfId="766" priority="769" operator="lessThan">
      <formula>0.8</formula>
    </cfRule>
  </conditionalFormatting>
  <conditionalFormatting sqref="P148:P153">
    <cfRule type="cellIs" dxfId="765" priority="767" operator="greaterThan">
      <formula>0</formula>
    </cfRule>
  </conditionalFormatting>
  <conditionalFormatting sqref="Q148:Q153">
    <cfRule type="cellIs" dxfId="764" priority="765" operator="lessThan">
      <formula>0</formula>
    </cfRule>
  </conditionalFormatting>
  <conditionalFormatting sqref="R148:R153">
    <cfRule type="cellIs" dxfId="763" priority="763" operator="lessThan">
      <formula>0.8</formula>
    </cfRule>
    <cfRule type="cellIs" dxfId="762" priority="764" operator="greaterThan">
      <formula>1</formula>
    </cfRule>
  </conditionalFormatting>
  <conditionalFormatting sqref="R148:R153">
    <cfRule type="cellIs" dxfId="761" priority="761" operator="greaterThan">
      <formula>1</formula>
    </cfRule>
    <cfRule type="cellIs" dxfId="760" priority="762" operator="lessThan">
      <formula>0.8</formula>
    </cfRule>
  </conditionalFormatting>
  <conditionalFormatting sqref="P148:P153">
    <cfRule type="cellIs" dxfId="759" priority="760" operator="greaterThan">
      <formula>0</formula>
    </cfRule>
  </conditionalFormatting>
  <conditionalFormatting sqref="Q148:Q153">
    <cfRule type="cellIs" dxfId="758" priority="759" operator="lessThan">
      <formula>0</formula>
    </cfRule>
  </conditionalFormatting>
  <conditionalFormatting sqref="R148:R153">
    <cfRule type="cellIs" dxfId="757" priority="757" operator="lessThan">
      <formula>0.8</formula>
    </cfRule>
    <cfRule type="cellIs" dxfId="756" priority="758" operator="greaterThan">
      <formula>1</formula>
    </cfRule>
  </conditionalFormatting>
  <conditionalFormatting sqref="R148:R153">
    <cfRule type="cellIs" dxfId="755" priority="755" operator="greaterThan">
      <formula>1</formula>
    </cfRule>
    <cfRule type="cellIs" dxfId="754" priority="756" operator="lessThan">
      <formula>0.8</formula>
    </cfRule>
  </conditionalFormatting>
  <conditionalFormatting sqref="P148:P153">
    <cfRule type="cellIs" dxfId="753" priority="754" operator="greaterThan">
      <formula>0</formula>
    </cfRule>
  </conditionalFormatting>
  <conditionalFormatting sqref="Q148:Q153">
    <cfRule type="cellIs" dxfId="752" priority="753" operator="lessThan">
      <formula>0</formula>
    </cfRule>
  </conditionalFormatting>
  <conditionalFormatting sqref="R148:R153">
    <cfRule type="cellIs" dxfId="751" priority="751" operator="lessThan">
      <formula>0.8</formula>
    </cfRule>
    <cfRule type="cellIs" dxfId="750" priority="752" operator="greaterThan">
      <formula>1</formula>
    </cfRule>
  </conditionalFormatting>
  <conditionalFormatting sqref="R148:R153">
    <cfRule type="cellIs" dxfId="749" priority="749" operator="greaterThan">
      <formula>1</formula>
    </cfRule>
    <cfRule type="cellIs" dxfId="748" priority="750" operator="lessThan">
      <formula>0.8</formula>
    </cfRule>
  </conditionalFormatting>
  <conditionalFormatting sqref="P148:P153">
    <cfRule type="cellIs" dxfId="747" priority="748" operator="greaterThan">
      <formula>0</formula>
    </cfRule>
  </conditionalFormatting>
  <conditionalFormatting sqref="Q148:Q153">
    <cfRule type="cellIs" dxfId="746" priority="747" operator="lessThan">
      <formula>0</formula>
    </cfRule>
  </conditionalFormatting>
  <conditionalFormatting sqref="R148:R153">
    <cfRule type="cellIs" dxfId="745" priority="745" operator="lessThan">
      <formula>0.8</formula>
    </cfRule>
    <cfRule type="cellIs" dxfId="744" priority="746" operator="greaterThan">
      <formula>1</formula>
    </cfRule>
  </conditionalFormatting>
  <conditionalFormatting sqref="R148:R153">
    <cfRule type="cellIs" dxfId="743" priority="743" operator="greaterThan">
      <formula>1</formula>
    </cfRule>
    <cfRule type="cellIs" dxfId="742" priority="744" operator="lessThan">
      <formula>0.8</formula>
    </cfRule>
  </conditionalFormatting>
  <conditionalFormatting sqref="P148:P153">
    <cfRule type="cellIs" dxfId="741" priority="742" operator="greaterThan">
      <formula>0</formula>
    </cfRule>
  </conditionalFormatting>
  <conditionalFormatting sqref="Q148:Q153">
    <cfRule type="cellIs" dxfId="740" priority="741" operator="lessThan">
      <formula>0</formula>
    </cfRule>
  </conditionalFormatting>
  <conditionalFormatting sqref="R148:R153">
    <cfRule type="cellIs" dxfId="739" priority="739" operator="lessThan">
      <formula>0.8</formula>
    </cfRule>
    <cfRule type="cellIs" dxfId="738" priority="740" operator="greaterThan">
      <formula>1</formula>
    </cfRule>
  </conditionalFormatting>
  <conditionalFormatting sqref="R148:R153">
    <cfRule type="cellIs" dxfId="737" priority="737" operator="greaterThan">
      <formula>1</formula>
    </cfRule>
    <cfRule type="cellIs" dxfId="736" priority="738" operator="lessThan">
      <formula>0.8</formula>
    </cfRule>
  </conditionalFormatting>
  <conditionalFormatting sqref="P148:P153">
    <cfRule type="cellIs" dxfId="735" priority="736" operator="greaterThan">
      <formula>0</formula>
    </cfRule>
  </conditionalFormatting>
  <conditionalFormatting sqref="P148:P153">
    <cfRule type="cellIs" dxfId="734" priority="730" operator="greaterThan">
      <formula>0</formula>
    </cfRule>
  </conditionalFormatting>
  <conditionalFormatting sqref="Q148:Q153">
    <cfRule type="cellIs" dxfId="733" priority="735" operator="lessThan">
      <formula>0</formula>
    </cfRule>
  </conditionalFormatting>
  <conditionalFormatting sqref="R148:R153">
    <cfRule type="cellIs" dxfId="732" priority="733" operator="lessThan">
      <formula>0.8</formula>
    </cfRule>
    <cfRule type="cellIs" dxfId="731" priority="734" operator="greaterThan">
      <formula>1</formula>
    </cfRule>
  </conditionalFormatting>
  <conditionalFormatting sqref="R148:R153">
    <cfRule type="cellIs" dxfId="730" priority="731" operator="greaterThan">
      <formula>1</formula>
    </cfRule>
    <cfRule type="cellIs" dxfId="729" priority="732" operator="lessThan">
      <formula>0.8</formula>
    </cfRule>
  </conditionalFormatting>
  <conditionalFormatting sqref="P148:P153">
    <cfRule type="cellIs" dxfId="728" priority="724" operator="greaterThan">
      <formula>0</formula>
    </cfRule>
  </conditionalFormatting>
  <conditionalFormatting sqref="Q148:Q153">
    <cfRule type="cellIs" dxfId="727" priority="729" operator="lessThan">
      <formula>0</formula>
    </cfRule>
  </conditionalFormatting>
  <conditionalFormatting sqref="R148:R153">
    <cfRule type="cellIs" dxfId="726" priority="727" operator="lessThan">
      <formula>0.8</formula>
    </cfRule>
    <cfRule type="cellIs" dxfId="725" priority="728" operator="greaterThan">
      <formula>1</formula>
    </cfRule>
  </conditionalFormatting>
  <conditionalFormatting sqref="R148:R153">
    <cfRule type="cellIs" dxfId="724" priority="725" operator="greaterThan">
      <formula>1</formula>
    </cfRule>
    <cfRule type="cellIs" dxfId="723" priority="726" operator="lessThan">
      <formula>0.8</formula>
    </cfRule>
  </conditionalFormatting>
  <conditionalFormatting sqref="R148:R153">
    <cfRule type="cellIs" dxfId="722" priority="721" operator="lessThan">
      <formula>0.8</formula>
    </cfRule>
    <cfRule type="cellIs" dxfId="721" priority="722" operator="greaterThan">
      <formula>1</formula>
    </cfRule>
  </conditionalFormatting>
  <conditionalFormatting sqref="R148:R153">
    <cfRule type="cellIs" dxfId="720" priority="719" operator="greaterThan">
      <formula>1</formula>
    </cfRule>
    <cfRule type="cellIs" dxfId="719" priority="720" operator="lessThan">
      <formula>0.8</formula>
    </cfRule>
  </conditionalFormatting>
  <conditionalFormatting sqref="P148:P153">
    <cfRule type="cellIs" dxfId="718" priority="718" operator="greaterThan">
      <formula>0</formula>
    </cfRule>
  </conditionalFormatting>
  <conditionalFormatting sqref="Q148:Q153">
    <cfRule type="cellIs" dxfId="717" priority="723" operator="lessThan">
      <formula>0</formula>
    </cfRule>
  </conditionalFormatting>
  <conditionalFormatting sqref="P44:P51">
    <cfRule type="cellIs" dxfId="716" priority="712" operator="greaterThan">
      <formula>0</formula>
    </cfRule>
  </conditionalFormatting>
  <conditionalFormatting sqref="Q44:Q51">
    <cfRule type="cellIs" dxfId="715" priority="717" operator="lessThan">
      <formula>0</formula>
    </cfRule>
  </conditionalFormatting>
  <conditionalFormatting sqref="R44:R51">
    <cfRule type="cellIs" dxfId="714" priority="715" operator="lessThan">
      <formula>0.8</formula>
    </cfRule>
    <cfRule type="cellIs" dxfId="713" priority="716" operator="greaterThan">
      <formula>1</formula>
    </cfRule>
  </conditionalFormatting>
  <conditionalFormatting sqref="R44:R51">
    <cfRule type="cellIs" dxfId="712" priority="713" operator="greaterThan">
      <formula>1</formula>
    </cfRule>
    <cfRule type="cellIs" dxfId="711" priority="714" operator="lessThan">
      <formula>0.8</formula>
    </cfRule>
  </conditionalFormatting>
  <conditionalFormatting sqref="Q84:Q91">
    <cfRule type="cellIs" dxfId="710" priority="711" operator="lessThan">
      <formula>0</formula>
    </cfRule>
  </conditionalFormatting>
  <conditionalFormatting sqref="R84:R91">
    <cfRule type="cellIs" dxfId="709" priority="709" operator="lessThan">
      <formula>0.8</formula>
    </cfRule>
    <cfRule type="cellIs" dxfId="708" priority="710" operator="greaterThan">
      <formula>1</formula>
    </cfRule>
  </conditionalFormatting>
  <conditionalFormatting sqref="R84:R91">
    <cfRule type="cellIs" dxfId="707" priority="707" operator="greaterThan">
      <formula>1</formula>
    </cfRule>
    <cfRule type="cellIs" dxfId="706" priority="708" operator="lessThan">
      <formula>0.8</formula>
    </cfRule>
  </conditionalFormatting>
  <conditionalFormatting sqref="P84:P91">
    <cfRule type="cellIs" dxfId="705" priority="706" operator="greaterThan">
      <formula>0</formula>
    </cfRule>
  </conditionalFormatting>
  <conditionalFormatting sqref="Q84:Q91">
    <cfRule type="cellIs" dxfId="704" priority="705" operator="lessThan">
      <formula>0</formula>
    </cfRule>
  </conditionalFormatting>
  <conditionalFormatting sqref="R84:R91">
    <cfRule type="cellIs" dxfId="703" priority="703" operator="lessThan">
      <formula>0.8</formula>
    </cfRule>
    <cfRule type="cellIs" dxfId="702" priority="704" operator="greaterThan">
      <formula>1</formula>
    </cfRule>
  </conditionalFormatting>
  <conditionalFormatting sqref="R84:R91">
    <cfRule type="cellIs" dxfId="701" priority="701" operator="greaterThan">
      <formula>1</formula>
    </cfRule>
    <cfRule type="cellIs" dxfId="700" priority="702" operator="lessThan">
      <formula>0.8</formula>
    </cfRule>
  </conditionalFormatting>
  <conditionalFormatting sqref="P84:P91">
    <cfRule type="cellIs" dxfId="699" priority="700" operator="greaterThan">
      <formula>0</formula>
    </cfRule>
  </conditionalFormatting>
  <conditionalFormatting sqref="Q84:Q91">
    <cfRule type="cellIs" dxfId="698" priority="699" operator="lessThan">
      <formula>0</formula>
    </cfRule>
  </conditionalFormatting>
  <conditionalFormatting sqref="R84:R91">
    <cfRule type="cellIs" dxfId="697" priority="697" operator="lessThan">
      <formula>0.8</formula>
    </cfRule>
    <cfRule type="cellIs" dxfId="696" priority="698" operator="greaterThan">
      <formula>1</formula>
    </cfRule>
  </conditionalFormatting>
  <conditionalFormatting sqref="R84:R91">
    <cfRule type="cellIs" dxfId="695" priority="695" operator="greaterThan">
      <formula>1</formula>
    </cfRule>
    <cfRule type="cellIs" dxfId="694" priority="696" operator="lessThan">
      <formula>0.8</formula>
    </cfRule>
  </conditionalFormatting>
  <conditionalFormatting sqref="P84:P91">
    <cfRule type="cellIs" dxfId="693" priority="694" operator="greaterThan">
      <formula>0</formula>
    </cfRule>
  </conditionalFormatting>
  <conditionalFormatting sqref="Q84:Q91">
    <cfRule type="cellIs" dxfId="692" priority="693" operator="lessThan">
      <formula>0</formula>
    </cfRule>
  </conditionalFormatting>
  <conditionalFormatting sqref="R84:R91">
    <cfRule type="cellIs" dxfId="691" priority="691" operator="lessThan">
      <formula>0.8</formula>
    </cfRule>
    <cfRule type="cellIs" dxfId="690" priority="692" operator="greaterThan">
      <formula>1</formula>
    </cfRule>
  </conditionalFormatting>
  <conditionalFormatting sqref="R84:R91">
    <cfRule type="cellIs" dxfId="689" priority="689" operator="greaterThan">
      <formula>1</formula>
    </cfRule>
    <cfRule type="cellIs" dxfId="688" priority="690" operator="lessThan">
      <formula>0.8</formula>
    </cfRule>
  </conditionalFormatting>
  <conditionalFormatting sqref="P84:P91">
    <cfRule type="cellIs" dxfId="687" priority="688" operator="greaterThan">
      <formula>0</formula>
    </cfRule>
  </conditionalFormatting>
  <conditionalFormatting sqref="P84:P91">
    <cfRule type="cellIs" dxfId="686" priority="682" operator="greaterThan">
      <formula>0</formula>
    </cfRule>
  </conditionalFormatting>
  <conditionalFormatting sqref="Q84:Q91">
    <cfRule type="cellIs" dxfId="685" priority="687" operator="lessThan">
      <formula>0</formula>
    </cfRule>
  </conditionalFormatting>
  <conditionalFormatting sqref="R84:R91">
    <cfRule type="cellIs" dxfId="684" priority="685" operator="lessThan">
      <formula>0.8</formula>
    </cfRule>
    <cfRule type="cellIs" dxfId="683" priority="686" operator="greaterThan">
      <formula>1</formula>
    </cfRule>
  </conditionalFormatting>
  <conditionalFormatting sqref="R84:R91">
    <cfRule type="cellIs" dxfId="682" priority="683" operator="greaterThan">
      <formula>1</formula>
    </cfRule>
    <cfRule type="cellIs" dxfId="681" priority="684" operator="lessThan">
      <formula>0.8</formula>
    </cfRule>
  </conditionalFormatting>
  <conditionalFormatting sqref="P84:P91">
    <cfRule type="cellIs" dxfId="680" priority="676" operator="greaterThan">
      <formula>0</formula>
    </cfRule>
  </conditionalFormatting>
  <conditionalFormatting sqref="Q84:Q91">
    <cfRule type="cellIs" dxfId="679" priority="681" operator="lessThan">
      <formula>0</formula>
    </cfRule>
  </conditionalFormatting>
  <conditionalFormatting sqref="R84:R91">
    <cfRule type="cellIs" dxfId="678" priority="679" operator="lessThan">
      <formula>0.8</formula>
    </cfRule>
    <cfRule type="cellIs" dxfId="677" priority="680" operator="greaterThan">
      <formula>1</formula>
    </cfRule>
  </conditionalFormatting>
  <conditionalFormatting sqref="R84:R91">
    <cfRule type="cellIs" dxfId="676" priority="677" operator="greaterThan">
      <formula>1</formula>
    </cfRule>
    <cfRule type="cellIs" dxfId="675" priority="678" operator="lessThan">
      <formula>0.8</formula>
    </cfRule>
  </conditionalFormatting>
  <conditionalFormatting sqref="R84:R91">
    <cfRule type="cellIs" dxfId="674" priority="673" operator="lessThan">
      <formula>0.8</formula>
    </cfRule>
    <cfRule type="cellIs" dxfId="673" priority="674" operator="greaterThan">
      <formula>1</formula>
    </cfRule>
  </conditionalFormatting>
  <conditionalFormatting sqref="R84:R91">
    <cfRule type="cellIs" dxfId="672" priority="671" operator="greaterThan">
      <formula>1</formula>
    </cfRule>
    <cfRule type="cellIs" dxfId="671" priority="672" operator="lessThan">
      <formula>0.8</formula>
    </cfRule>
  </conditionalFormatting>
  <conditionalFormatting sqref="P84:P91">
    <cfRule type="cellIs" dxfId="670" priority="670" operator="greaterThan">
      <formula>0</formula>
    </cfRule>
  </conditionalFormatting>
  <conditionalFormatting sqref="Q84:Q91">
    <cfRule type="cellIs" dxfId="669" priority="675" operator="lessThan">
      <formula>0</formula>
    </cfRule>
  </conditionalFormatting>
  <conditionalFormatting sqref="Q84:Q91">
    <cfRule type="cellIs" dxfId="668" priority="669" operator="lessThan">
      <formula>0</formula>
    </cfRule>
  </conditionalFormatting>
  <conditionalFormatting sqref="R84:R91">
    <cfRule type="cellIs" dxfId="667" priority="667" operator="lessThan">
      <formula>0.8</formula>
    </cfRule>
    <cfRule type="cellIs" dxfId="666" priority="668" operator="greaterThan">
      <formula>1</formula>
    </cfRule>
  </conditionalFormatting>
  <conditionalFormatting sqref="R84:R91">
    <cfRule type="cellIs" dxfId="665" priority="665" operator="greaterThan">
      <formula>1</formula>
    </cfRule>
    <cfRule type="cellIs" dxfId="664" priority="666" operator="lessThan">
      <formula>0.8</formula>
    </cfRule>
  </conditionalFormatting>
  <conditionalFormatting sqref="P84:P91">
    <cfRule type="cellIs" dxfId="663" priority="664" operator="greaterThan">
      <formula>0</formula>
    </cfRule>
  </conditionalFormatting>
  <conditionalFormatting sqref="P84:P91">
    <cfRule type="cellIs" dxfId="662" priority="658" operator="greaterThan">
      <formula>0</formula>
    </cfRule>
  </conditionalFormatting>
  <conditionalFormatting sqref="Q84:Q91">
    <cfRule type="cellIs" dxfId="661" priority="663" operator="lessThan">
      <formula>0</formula>
    </cfRule>
  </conditionalFormatting>
  <conditionalFormatting sqref="R84:R91">
    <cfRule type="cellIs" dxfId="660" priority="661" operator="lessThan">
      <formula>0.8</formula>
    </cfRule>
    <cfRule type="cellIs" dxfId="659" priority="662" operator="greaterThan">
      <formula>1</formula>
    </cfRule>
  </conditionalFormatting>
  <conditionalFormatting sqref="R84:R91">
    <cfRule type="cellIs" dxfId="658" priority="659" operator="greaterThan">
      <formula>1</formula>
    </cfRule>
    <cfRule type="cellIs" dxfId="657" priority="660" operator="lessThan">
      <formula>0.8</formula>
    </cfRule>
  </conditionalFormatting>
  <conditionalFormatting sqref="P84:P91">
    <cfRule type="cellIs" dxfId="656" priority="652" operator="greaterThan">
      <formula>0</formula>
    </cfRule>
  </conditionalFormatting>
  <conditionalFormatting sqref="Q84:Q91">
    <cfRule type="cellIs" dxfId="655" priority="657" operator="lessThan">
      <formula>0</formula>
    </cfRule>
  </conditionalFormatting>
  <conditionalFormatting sqref="R84:R91">
    <cfRule type="cellIs" dxfId="654" priority="655" operator="lessThan">
      <formula>0.8</formula>
    </cfRule>
    <cfRule type="cellIs" dxfId="653" priority="656" operator="greaterThan">
      <formula>1</formula>
    </cfRule>
  </conditionalFormatting>
  <conditionalFormatting sqref="R84:R91">
    <cfRule type="cellIs" dxfId="652" priority="653" operator="greaterThan">
      <formula>1</formula>
    </cfRule>
    <cfRule type="cellIs" dxfId="651" priority="654" operator="lessThan">
      <formula>0.8</formula>
    </cfRule>
  </conditionalFormatting>
  <conditionalFormatting sqref="R84:R91">
    <cfRule type="cellIs" dxfId="650" priority="649" operator="lessThan">
      <formula>0.8</formula>
    </cfRule>
    <cfRule type="cellIs" dxfId="649" priority="650" operator="greaterThan">
      <formula>1</formula>
    </cfRule>
  </conditionalFormatting>
  <conditionalFormatting sqref="R84:R91">
    <cfRule type="cellIs" dxfId="648" priority="647" operator="greaterThan">
      <formula>1</formula>
    </cfRule>
    <cfRule type="cellIs" dxfId="647" priority="648" operator="lessThan">
      <formula>0.8</formula>
    </cfRule>
  </conditionalFormatting>
  <conditionalFormatting sqref="P84:P91">
    <cfRule type="cellIs" dxfId="646" priority="646" operator="greaterThan">
      <formula>0</formula>
    </cfRule>
  </conditionalFormatting>
  <conditionalFormatting sqref="Q84:Q91">
    <cfRule type="cellIs" dxfId="645" priority="651" operator="lessThan">
      <formula>0</formula>
    </cfRule>
  </conditionalFormatting>
  <conditionalFormatting sqref="P84:P91">
    <cfRule type="cellIs" dxfId="644" priority="640" operator="greaterThan">
      <formula>0</formula>
    </cfRule>
  </conditionalFormatting>
  <conditionalFormatting sqref="Q84:Q91">
    <cfRule type="cellIs" dxfId="643" priority="645" operator="lessThan">
      <formula>0</formula>
    </cfRule>
  </conditionalFormatting>
  <conditionalFormatting sqref="R84:R91">
    <cfRule type="cellIs" dxfId="642" priority="643" operator="lessThan">
      <formula>0.8</formula>
    </cfRule>
    <cfRule type="cellIs" dxfId="641" priority="644" operator="greaterThan">
      <formula>1</formula>
    </cfRule>
  </conditionalFormatting>
  <conditionalFormatting sqref="R84:R91">
    <cfRule type="cellIs" dxfId="640" priority="641" operator="greaterThan">
      <formula>1</formula>
    </cfRule>
    <cfRule type="cellIs" dxfId="639" priority="642" operator="lessThan">
      <formula>0.8</formula>
    </cfRule>
  </conditionalFormatting>
  <conditionalFormatting sqref="R84:R91">
    <cfRule type="cellIs" dxfId="638" priority="637" operator="lessThan">
      <formula>0.8</formula>
    </cfRule>
    <cfRule type="cellIs" dxfId="637" priority="638" operator="greaterThan">
      <formula>1</formula>
    </cfRule>
  </conditionalFormatting>
  <conditionalFormatting sqref="R84:R91">
    <cfRule type="cellIs" dxfId="636" priority="635" operator="greaterThan">
      <formula>1</formula>
    </cfRule>
    <cfRule type="cellIs" dxfId="635" priority="636" operator="lessThan">
      <formula>0.8</formula>
    </cfRule>
  </conditionalFormatting>
  <conditionalFormatting sqref="P84:P91">
    <cfRule type="cellIs" dxfId="634" priority="634" operator="greaterThan">
      <formula>0</formula>
    </cfRule>
  </conditionalFormatting>
  <conditionalFormatting sqref="Q84:Q91">
    <cfRule type="cellIs" dxfId="633" priority="639" operator="lessThan">
      <formula>0</formula>
    </cfRule>
  </conditionalFormatting>
  <conditionalFormatting sqref="R84:R91">
    <cfRule type="cellIs" dxfId="632" priority="631" operator="lessThan">
      <formula>0.8</formula>
    </cfRule>
    <cfRule type="cellIs" dxfId="631" priority="632" operator="greaterThan">
      <formula>1</formula>
    </cfRule>
  </conditionalFormatting>
  <conditionalFormatting sqref="R84:R91">
    <cfRule type="cellIs" dxfId="630" priority="629" operator="greaterThan">
      <formula>1</formula>
    </cfRule>
    <cfRule type="cellIs" dxfId="629" priority="630" operator="lessThan">
      <formula>0.8</formula>
    </cfRule>
  </conditionalFormatting>
  <conditionalFormatting sqref="P84:P91">
    <cfRule type="cellIs" dxfId="628" priority="628" operator="greaterThan">
      <formula>0</formula>
    </cfRule>
  </conditionalFormatting>
  <conditionalFormatting sqref="Q84:Q91">
    <cfRule type="cellIs" dxfId="627" priority="633" operator="lessThan">
      <formula>0</formula>
    </cfRule>
  </conditionalFormatting>
  <conditionalFormatting sqref="Q84:Q91">
    <cfRule type="cellIs" dxfId="626" priority="627" operator="lessThan">
      <formula>0</formula>
    </cfRule>
  </conditionalFormatting>
  <conditionalFormatting sqref="R84:R91">
    <cfRule type="cellIs" dxfId="625" priority="625" operator="lessThan">
      <formula>0.8</formula>
    </cfRule>
    <cfRule type="cellIs" dxfId="624" priority="626" operator="greaterThan">
      <formula>1</formula>
    </cfRule>
  </conditionalFormatting>
  <conditionalFormatting sqref="R84:R91">
    <cfRule type="cellIs" dxfId="623" priority="623" operator="greaterThan">
      <formula>1</formula>
    </cfRule>
    <cfRule type="cellIs" dxfId="622" priority="624" operator="lessThan">
      <formula>0.8</formula>
    </cfRule>
  </conditionalFormatting>
  <conditionalFormatting sqref="P84:P91">
    <cfRule type="cellIs" dxfId="621" priority="622" operator="greaterThan">
      <formula>0</formula>
    </cfRule>
  </conditionalFormatting>
  <conditionalFormatting sqref="Q84:Q91">
    <cfRule type="cellIs" dxfId="620" priority="616" operator="lessThan">
      <formula>0</formula>
    </cfRule>
  </conditionalFormatting>
  <conditionalFormatting sqref="R84:R91">
    <cfRule type="cellIs" dxfId="619" priority="620" operator="lessThan">
      <formula>0.8</formula>
    </cfRule>
    <cfRule type="cellIs" dxfId="618" priority="621" operator="greaterThan">
      <formula>1</formula>
    </cfRule>
  </conditionalFormatting>
  <conditionalFormatting sqref="R84:R91">
    <cfRule type="cellIs" dxfId="617" priority="618" operator="greaterThan">
      <formula>1</formula>
    </cfRule>
    <cfRule type="cellIs" dxfId="616" priority="619" operator="lessThan">
      <formula>0.8</formula>
    </cfRule>
  </conditionalFormatting>
  <conditionalFormatting sqref="P84:P91">
    <cfRule type="cellIs" dxfId="615" priority="617" operator="greaterThan">
      <formula>0</formula>
    </cfRule>
  </conditionalFormatting>
  <conditionalFormatting sqref="Q84:Q91">
    <cfRule type="cellIs" dxfId="614" priority="615" operator="lessThan">
      <formula>0</formula>
    </cfRule>
  </conditionalFormatting>
  <conditionalFormatting sqref="R84:R91">
    <cfRule type="cellIs" dxfId="613" priority="613" operator="lessThan">
      <formula>0.8</formula>
    </cfRule>
    <cfRule type="cellIs" dxfId="612" priority="614" operator="greaterThan">
      <formula>1</formula>
    </cfRule>
  </conditionalFormatting>
  <conditionalFormatting sqref="R84:R91">
    <cfRule type="cellIs" dxfId="611" priority="611" operator="greaterThan">
      <formula>1</formula>
    </cfRule>
    <cfRule type="cellIs" dxfId="610" priority="612" operator="lessThan">
      <formula>0.8</formula>
    </cfRule>
  </conditionalFormatting>
  <conditionalFormatting sqref="P84:P91">
    <cfRule type="cellIs" dxfId="609" priority="610" operator="greaterThan">
      <formula>0</formula>
    </cfRule>
  </conditionalFormatting>
  <conditionalFormatting sqref="Q84:Q91">
    <cfRule type="cellIs" dxfId="608" priority="609" operator="lessThan">
      <formula>0</formula>
    </cfRule>
  </conditionalFormatting>
  <conditionalFormatting sqref="R84:R91">
    <cfRule type="cellIs" dxfId="607" priority="607" operator="lessThan">
      <formula>0.8</formula>
    </cfRule>
    <cfRule type="cellIs" dxfId="606" priority="608" operator="greaterThan">
      <formula>1</formula>
    </cfRule>
  </conditionalFormatting>
  <conditionalFormatting sqref="R84:R91">
    <cfRule type="cellIs" dxfId="605" priority="605" operator="greaterThan">
      <formula>1</formula>
    </cfRule>
    <cfRule type="cellIs" dxfId="604" priority="606" operator="lessThan">
      <formula>0.8</formula>
    </cfRule>
  </conditionalFormatting>
  <conditionalFormatting sqref="P84:P91">
    <cfRule type="cellIs" dxfId="603" priority="604" operator="greaterThan">
      <formula>0</formula>
    </cfRule>
  </conditionalFormatting>
  <conditionalFormatting sqref="Q84:Q91">
    <cfRule type="cellIs" dxfId="602" priority="603" operator="lessThan">
      <formula>0</formula>
    </cfRule>
  </conditionalFormatting>
  <conditionalFormatting sqref="R84:R91">
    <cfRule type="cellIs" dxfId="601" priority="601" operator="lessThan">
      <formula>0.8</formula>
    </cfRule>
    <cfRule type="cellIs" dxfId="600" priority="602" operator="greaterThan">
      <formula>1</formula>
    </cfRule>
  </conditionalFormatting>
  <conditionalFormatting sqref="R84:R91">
    <cfRule type="cellIs" dxfId="599" priority="599" operator="greaterThan">
      <formula>1</formula>
    </cfRule>
    <cfRule type="cellIs" dxfId="598" priority="600" operator="lessThan">
      <formula>0.8</formula>
    </cfRule>
  </conditionalFormatting>
  <conditionalFormatting sqref="P84:P91">
    <cfRule type="cellIs" dxfId="597" priority="598" operator="greaterThan">
      <formula>0</formula>
    </cfRule>
  </conditionalFormatting>
  <conditionalFormatting sqref="Q84:Q91">
    <cfRule type="cellIs" dxfId="596" priority="597" operator="lessThan">
      <formula>0</formula>
    </cfRule>
  </conditionalFormatting>
  <conditionalFormatting sqref="R84:R91">
    <cfRule type="cellIs" dxfId="595" priority="595" operator="lessThan">
      <formula>0.8</formula>
    </cfRule>
    <cfRule type="cellIs" dxfId="594" priority="596" operator="greaterThan">
      <formula>1</formula>
    </cfRule>
  </conditionalFormatting>
  <conditionalFormatting sqref="R84:R91">
    <cfRule type="cellIs" dxfId="593" priority="593" operator="greaterThan">
      <formula>1</formula>
    </cfRule>
    <cfRule type="cellIs" dxfId="592" priority="594" operator="lessThan">
      <formula>0.8</formula>
    </cfRule>
  </conditionalFormatting>
  <conditionalFormatting sqref="P84:P91">
    <cfRule type="cellIs" dxfId="591" priority="592" operator="greaterThan">
      <formula>0</formula>
    </cfRule>
  </conditionalFormatting>
  <conditionalFormatting sqref="Q84:Q91">
    <cfRule type="cellIs" dxfId="590" priority="591" operator="lessThan">
      <formula>0</formula>
    </cfRule>
  </conditionalFormatting>
  <conditionalFormatting sqref="R84:R91">
    <cfRule type="cellIs" dxfId="589" priority="589" operator="lessThan">
      <formula>0.8</formula>
    </cfRule>
    <cfRule type="cellIs" dxfId="588" priority="590" operator="greaterThan">
      <formula>1</formula>
    </cfRule>
  </conditionalFormatting>
  <conditionalFormatting sqref="R84:R91">
    <cfRule type="cellIs" dxfId="587" priority="587" operator="greaterThan">
      <formula>1</formula>
    </cfRule>
    <cfRule type="cellIs" dxfId="586" priority="588" operator="lessThan">
      <formula>0.8</formula>
    </cfRule>
  </conditionalFormatting>
  <conditionalFormatting sqref="P84:P91">
    <cfRule type="cellIs" dxfId="585" priority="586" operator="greaterThan">
      <formula>0</formula>
    </cfRule>
  </conditionalFormatting>
  <conditionalFormatting sqref="P84:P91">
    <cfRule type="cellIs" dxfId="584" priority="580" operator="greaterThan">
      <formula>0</formula>
    </cfRule>
  </conditionalFormatting>
  <conditionalFormatting sqref="Q84:Q91">
    <cfRule type="cellIs" dxfId="583" priority="585" operator="lessThan">
      <formula>0</formula>
    </cfRule>
  </conditionalFormatting>
  <conditionalFormatting sqref="R84:R91">
    <cfRule type="cellIs" dxfId="582" priority="583" operator="lessThan">
      <formula>0.8</formula>
    </cfRule>
    <cfRule type="cellIs" dxfId="581" priority="584" operator="greaterThan">
      <formula>1</formula>
    </cfRule>
  </conditionalFormatting>
  <conditionalFormatting sqref="R84:R91">
    <cfRule type="cellIs" dxfId="580" priority="581" operator="greaterThan">
      <formula>1</formula>
    </cfRule>
    <cfRule type="cellIs" dxfId="579" priority="582" operator="lessThan">
      <formula>0.8</formula>
    </cfRule>
  </conditionalFormatting>
  <conditionalFormatting sqref="P84:P91">
    <cfRule type="cellIs" dxfId="578" priority="574" operator="greaterThan">
      <formula>0</formula>
    </cfRule>
  </conditionalFormatting>
  <conditionalFormatting sqref="Q84:Q91">
    <cfRule type="cellIs" dxfId="577" priority="579" operator="lessThan">
      <formula>0</formula>
    </cfRule>
  </conditionalFormatting>
  <conditionalFormatting sqref="R84:R91">
    <cfRule type="cellIs" dxfId="576" priority="577" operator="lessThan">
      <formula>0.8</formula>
    </cfRule>
    <cfRule type="cellIs" dxfId="575" priority="578" operator="greaterThan">
      <formula>1</formula>
    </cfRule>
  </conditionalFormatting>
  <conditionalFormatting sqref="R84:R91">
    <cfRule type="cellIs" dxfId="574" priority="575" operator="greaterThan">
      <formula>1</formula>
    </cfRule>
    <cfRule type="cellIs" dxfId="573" priority="576" operator="lessThan">
      <formula>0.8</formula>
    </cfRule>
  </conditionalFormatting>
  <conditionalFormatting sqref="R84:R91">
    <cfRule type="cellIs" dxfId="572" priority="571" operator="lessThan">
      <formula>0.8</formula>
    </cfRule>
    <cfRule type="cellIs" dxfId="571" priority="572" operator="greaterThan">
      <formula>1</formula>
    </cfRule>
  </conditionalFormatting>
  <conditionalFormatting sqref="R84:R91">
    <cfRule type="cellIs" dxfId="570" priority="569" operator="greaterThan">
      <formula>1</formula>
    </cfRule>
    <cfRule type="cellIs" dxfId="569" priority="570" operator="lessThan">
      <formula>0.8</formula>
    </cfRule>
  </conditionalFormatting>
  <conditionalFormatting sqref="P84:P91">
    <cfRule type="cellIs" dxfId="568" priority="568" operator="greaterThan">
      <formula>0</formula>
    </cfRule>
  </conditionalFormatting>
  <conditionalFormatting sqref="Q84:Q91">
    <cfRule type="cellIs" dxfId="567" priority="573" operator="lessThan">
      <formula>0</formula>
    </cfRule>
  </conditionalFormatting>
  <conditionalFormatting sqref="Q84:Q91">
    <cfRule type="cellIs" dxfId="566" priority="567" operator="lessThan">
      <formula>0</formula>
    </cfRule>
  </conditionalFormatting>
  <conditionalFormatting sqref="R84:R91">
    <cfRule type="cellIs" dxfId="565" priority="565" operator="lessThan">
      <formula>0.8</formula>
    </cfRule>
    <cfRule type="cellIs" dxfId="564" priority="566" operator="greaterThan">
      <formula>1</formula>
    </cfRule>
  </conditionalFormatting>
  <conditionalFormatting sqref="R84:R91">
    <cfRule type="cellIs" dxfId="563" priority="563" operator="greaterThan">
      <formula>1</formula>
    </cfRule>
    <cfRule type="cellIs" dxfId="562" priority="564" operator="lessThan">
      <formula>0.8</formula>
    </cfRule>
  </conditionalFormatting>
  <conditionalFormatting sqref="P84:P91">
    <cfRule type="cellIs" dxfId="561" priority="562" operator="greaterThan">
      <formula>0</formula>
    </cfRule>
  </conditionalFormatting>
  <conditionalFormatting sqref="Q84:Q91">
    <cfRule type="cellIs" dxfId="560" priority="561" operator="lessThan">
      <formula>0</formula>
    </cfRule>
  </conditionalFormatting>
  <conditionalFormatting sqref="R84:R91">
    <cfRule type="cellIs" dxfId="559" priority="559" operator="lessThan">
      <formula>0.8</formula>
    </cfRule>
    <cfRule type="cellIs" dxfId="558" priority="560" operator="greaterThan">
      <formula>1</formula>
    </cfRule>
  </conditionalFormatting>
  <conditionalFormatting sqref="R84:R91">
    <cfRule type="cellIs" dxfId="557" priority="557" operator="greaterThan">
      <formula>1</formula>
    </cfRule>
    <cfRule type="cellIs" dxfId="556" priority="558" operator="lessThan">
      <formula>0.8</formula>
    </cfRule>
  </conditionalFormatting>
  <conditionalFormatting sqref="P84:P91">
    <cfRule type="cellIs" dxfId="555" priority="556" operator="greaterThan">
      <formula>0</formula>
    </cfRule>
  </conditionalFormatting>
  <conditionalFormatting sqref="Q84:Q91">
    <cfRule type="cellIs" dxfId="554" priority="555" operator="lessThan">
      <formula>0</formula>
    </cfRule>
  </conditionalFormatting>
  <conditionalFormatting sqref="R84:R91">
    <cfRule type="cellIs" dxfId="553" priority="553" operator="lessThan">
      <formula>0.8</formula>
    </cfRule>
    <cfRule type="cellIs" dxfId="552" priority="554" operator="greaterThan">
      <formula>1</formula>
    </cfRule>
  </conditionalFormatting>
  <conditionalFormatting sqref="R84:R91">
    <cfRule type="cellIs" dxfId="551" priority="551" operator="greaterThan">
      <formula>1</formula>
    </cfRule>
    <cfRule type="cellIs" dxfId="550" priority="552" operator="lessThan">
      <formula>0.8</formula>
    </cfRule>
  </conditionalFormatting>
  <conditionalFormatting sqref="P84:P91">
    <cfRule type="cellIs" dxfId="549" priority="550" operator="greaterThan">
      <formula>0</formula>
    </cfRule>
  </conditionalFormatting>
  <conditionalFormatting sqref="Q84:Q91">
    <cfRule type="cellIs" dxfId="548" priority="549" operator="lessThan">
      <formula>0</formula>
    </cfRule>
  </conditionalFormatting>
  <conditionalFormatting sqref="R84:R91">
    <cfRule type="cellIs" dxfId="547" priority="547" operator="lessThan">
      <formula>0.8</formula>
    </cfRule>
    <cfRule type="cellIs" dxfId="546" priority="548" operator="greaterThan">
      <formula>1</formula>
    </cfRule>
  </conditionalFormatting>
  <conditionalFormatting sqref="R84:R91">
    <cfRule type="cellIs" dxfId="545" priority="545" operator="greaterThan">
      <formula>1</formula>
    </cfRule>
    <cfRule type="cellIs" dxfId="544" priority="546" operator="lessThan">
      <formula>0.8</formula>
    </cfRule>
  </conditionalFormatting>
  <conditionalFormatting sqref="P84:P91">
    <cfRule type="cellIs" dxfId="543" priority="544" operator="greaterThan">
      <formula>0</formula>
    </cfRule>
  </conditionalFormatting>
  <conditionalFormatting sqref="P84:P91">
    <cfRule type="cellIs" dxfId="542" priority="538" operator="greaterThan">
      <formula>0</formula>
    </cfRule>
  </conditionalFormatting>
  <conditionalFormatting sqref="Q84:Q91">
    <cfRule type="cellIs" dxfId="541" priority="543" operator="lessThan">
      <formula>0</formula>
    </cfRule>
  </conditionalFormatting>
  <conditionalFormatting sqref="R84:R91">
    <cfRule type="cellIs" dxfId="540" priority="541" operator="lessThan">
      <formula>0.8</formula>
    </cfRule>
    <cfRule type="cellIs" dxfId="539" priority="542" operator="greaterThan">
      <formula>1</formula>
    </cfRule>
  </conditionalFormatting>
  <conditionalFormatting sqref="R84:R91">
    <cfRule type="cellIs" dxfId="538" priority="539" operator="greaterThan">
      <formula>1</formula>
    </cfRule>
    <cfRule type="cellIs" dxfId="537" priority="540" operator="lessThan">
      <formula>0.8</formula>
    </cfRule>
  </conditionalFormatting>
  <conditionalFormatting sqref="P84:P91">
    <cfRule type="cellIs" dxfId="536" priority="532" operator="greaterThan">
      <formula>0</formula>
    </cfRule>
  </conditionalFormatting>
  <conditionalFormatting sqref="Q84:Q91">
    <cfRule type="cellIs" dxfId="535" priority="537" operator="lessThan">
      <formula>0</formula>
    </cfRule>
  </conditionalFormatting>
  <conditionalFormatting sqref="R84:R91">
    <cfRule type="cellIs" dxfId="534" priority="535" operator="lessThan">
      <formula>0.8</formula>
    </cfRule>
    <cfRule type="cellIs" dxfId="533" priority="536" operator="greaterThan">
      <formula>1</formula>
    </cfRule>
  </conditionalFormatting>
  <conditionalFormatting sqref="R84:R91">
    <cfRule type="cellIs" dxfId="532" priority="533" operator="greaterThan">
      <formula>1</formula>
    </cfRule>
    <cfRule type="cellIs" dxfId="531" priority="534" operator="lessThan">
      <formula>0.8</formula>
    </cfRule>
  </conditionalFormatting>
  <conditionalFormatting sqref="R84:R91">
    <cfRule type="cellIs" dxfId="530" priority="529" operator="lessThan">
      <formula>0.8</formula>
    </cfRule>
    <cfRule type="cellIs" dxfId="529" priority="530" operator="greaterThan">
      <formula>1</formula>
    </cfRule>
  </conditionalFormatting>
  <conditionalFormatting sqref="R84:R91">
    <cfRule type="cellIs" dxfId="528" priority="527" operator="greaterThan">
      <formula>1</formula>
    </cfRule>
    <cfRule type="cellIs" dxfId="527" priority="528" operator="lessThan">
      <formula>0.8</formula>
    </cfRule>
  </conditionalFormatting>
  <conditionalFormatting sqref="P84:P91">
    <cfRule type="cellIs" dxfId="526" priority="526" operator="greaterThan">
      <formula>0</formula>
    </cfRule>
  </conditionalFormatting>
  <conditionalFormatting sqref="Q84:Q91">
    <cfRule type="cellIs" dxfId="525" priority="531" operator="lessThan">
      <formula>0</formula>
    </cfRule>
  </conditionalFormatting>
  <conditionalFormatting sqref="Q84:Q91">
    <cfRule type="cellIs" dxfId="524" priority="525" operator="lessThan">
      <formula>0</formula>
    </cfRule>
  </conditionalFormatting>
  <conditionalFormatting sqref="R84:R91">
    <cfRule type="cellIs" dxfId="523" priority="523" operator="lessThan">
      <formula>0.8</formula>
    </cfRule>
    <cfRule type="cellIs" dxfId="522" priority="524" operator="greaterThan">
      <formula>1</formula>
    </cfRule>
  </conditionalFormatting>
  <conditionalFormatting sqref="R84:R91">
    <cfRule type="cellIs" dxfId="521" priority="521" operator="greaterThan">
      <formula>1</formula>
    </cfRule>
    <cfRule type="cellIs" dxfId="520" priority="522" operator="lessThan">
      <formula>0.8</formula>
    </cfRule>
  </conditionalFormatting>
  <conditionalFormatting sqref="P84:P91">
    <cfRule type="cellIs" dxfId="519" priority="520" operator="greaterThan">
      <formula>0</formula>
    </cfRule>
  </conditionalFormatting>
  <conditionalFormatting sqref="P84:P91">
    <cfRule type="cellIs" dxfId="518" priority="514" operator="greaterThan">
      <formula>0</formula>
    </cfRule>
  </conditionalFormatting>
  <conditionalFormatting sqref="Q84:Q91">
    <cfRule type="cellIs" dxfId="517" priority="519" operator="lessThan">
      <formula>0</formula>
    </cfRule>
  </conditionalFormatting>
  <conditionalFormatting sqref="R84:R91">
    <cfRule type="cellIs" dxfId="516" priority="517" operator="lessThan">
      <formula>0.8</formula>
    </cfRule>
    <cfRule type="cellIs" dxfId="515" priority="518" operator="greaterThan">
      <formula>1</formula>
    </cfRule>
  </conditionalFormatting>
  <conditionalFormatting sqref="R84:R91">
    <cfRule type="cellIs" dxfId="514" priority="515" operator="greaterThan">
      <formula>1</formula>
    </cfRule>
    <cfRule type="cellIs" dxfId="513" priority="516" operator="lessThan">
      <formula>0.8</formula>
    </cfRule>
  </conditionalFormatting>
  <conditionalFormatting sqref="P84:P91">
    <cfRule type="cellIs" dxfId="512" priority="508" operator="greaterThan">
      <formula>0</formula>
    </cfRule>
  </conditionalFormatting>
  <conditionalFormatting sqref="Q84:Q91">
    <cfRule type="cellIs" dxfId="511" priority="513" operator="lessThan">
      <formula>0</formula>
    </cfRule>
  </conditionalFormatting>
  <conditionalFormatting sqref="R84:R91">
    <cfRule type="cellIs" dxfId="510" priority="511" operator="lessThan">
      <formula>0.8</formula>
    </cfRule>
    <cfRule type="cellIs" dxfId="509" priority="512" operator="greaterThan">
      <formula>1</formula>
    </cfRule>
  </conditionalFormatting>
  <conditionalFormatting sqref="R84:R91">
    <cfRule type="cellIs" dxfId="508" priority="509" operator="greaterThan">
      <formula>1</formula>
    </cfRule>
    <cfRule type="cellIs" dxfId="507" priority="510" operator="lessThan">
      <formula>0.8</formula>
    </cfRule>
  </conditionalFormatting>
  <conditionalFormatting sqref="R84:R91">
    <cfRule type="cellIs" dxfId="506" priority="505" operator="lessThan">
      <formula>0.8</formula>
    </cfRule>
    <cfRule type="cellIs" dxfId="505" priority="506" operator="greaterThan">
      <formula>1</formula>
    </cfRule>
  </conditionalFormatting>
  <conditionalFormatting sqref="R84:R91">
    <cfRule type="cellIs" dxfId="504" priority="503" operator="greaterThan">
      <formula>1</formula>
    </cfRule>
    <cfRule type="cellIs" dxfId="503" priority="504" operator="lessThan">
      <formula>0.8</formula>
    </cfRule>
  </conditionalFormatting>
  <conditionalFormatting sqref="P84:P91">
    <cfRule type="cellIs" dxfId="502" priority="502" operator="greaterThan">
      <formula>0</formula>
    </cfRule>
  </conditionalFormatting>
  <conditionalFormatting sqref="Q84:Q91">
    <cfRule type="cellIs" dxfId="501" priority="507" operator="lessThan">
      <formula>0</formula>
    </cfRule>
  </conditionalFormatting>
  <conditionalFormatting sqref="P84:P91">
    <cfRule type="cellIs" dxfId="500" priority="496" operator="greaterThan">
      <formula>0</formula>
    </cfRule>
  </conditionalFormatting>
  <conditionalFormatting sqref="Q84:Q91">
    <cfRule type="cellIs" dxfId="499" priority="501" operator="lessThan">
      <formula>0</formula>
    </cfRule>
  </conditionalFormatting>
  <conditionalFormatting sqref="R84:R91">
    <cfRule type="cellIs" dxfId="498" priority="499" operator="lessThan">
      <formula>0.8</formula>
    </cfRule>
    <cfRule type="cellIs" dxfId="497" priority="500" operator="greaterThan">
      <formula>1</formula>
    </cfRule>
  </conditionalFormatting>
  <conditionalFormatting sqref="R84:R91">
    <cfRule type="cellIs" dxfId="496" priority="497" operator="greaterThan">
      <formula>1</formula>
    </cfRule>
    <cfRule type="cellIs" dxfId="495" priority="498" operator="lessThan">
      <formula>0.8</formula>
    </cfRule>
  </conditionalFormatting>
  <conditionalFormatting sqref="R84:R91">
    <cfRule type="cellIs" dxfId="494" priority="493" operator="lessThan">
      <formula>0.8</formula>
    </cfRule>
    <cfRule type="cellIs" dxfId="493" priority="494" operator="greaterThan">
      <formula>1</formula>
    </cfRule>
  </conditionalFormatting>
  <conditionalFormatting sqref="R84:R91">
    <cfRule type="cellIs" dxfId="492" priority="491" operator="greaterThan">
      <formula>1</formula>
    </cfRule>
    <cfRule type="cellIs" dxfId="491" priority="492" operator="lessThan">
      <formula>0.8</formula>
    </cfRule>
  </conditionalFormatting>
  <conditionalFormatting sqref="P84:P91">
    <cfRule type="cellIs" dxfId="490" priority="490" operator="greaterThan">
      <formula>0</formula>
    </cfRule>
  </conditionalFormatting>
  <conditionalFormatting sqref="Q84:Q91">
    <cfRule type="cellIs" dxfId="489" priority="495" operator="lessThan">
      <formula>0</formula>
    </cfRule>
  </conditionalFormatting>
  <conditionalFormatting sqref="R84:R91">
    <cfRule type="cellIs" dxfId="488" priority="487" operator="lessThan">
      <formula>0.8</formula>
    </cfRule>
    <cfRule type="cellIs" dxfId="487" priority="488" operator="greaterThan">
      <formula>1</formula>
    </cfRule>
  </conditionalFormatting>
  <conditionalFormatting sqref="R84:R91">
    <cfRule type="cellIs" dxfId="486" priority="485" operator="greaterThan">
      <formula>1</formula>
    </cfRule>
    <cfRule type="cellIs" dxfId="485" priority="486" operator="lessThan">
      <formula>0.8</formula>
    </cfRule>
  </conditionalFormatting>
  <conditionalFormatting sqref="P84:P91">
    <cfRule type="cellIs" dxfId="484" priority="484" operator="greaterThan">
      <formula>0</formula>
    </cfRule>
  </conditionalFormatting>
  <conditionalFormatting sqref="Q84:Q91">
    <cfRule type="cellIs" dxfId="483" priority="489" operator="lessThan">
      <formula>0</formula>
    </cfRule>
  </conditionalFormatting>
  <conditionalFormatting sqref="Q84:Q91">
    <cfRule type="cellIs" dxfId="482" priority="483" operator="lessThan">
      <formula>0</formula>
    </cfRule>
  </conditionalFormatting>
  <conditionalFormatting sqref="R84:R91">
    <cfRule type="cellIs" dxfId="481" priority="481" operator="lessThan">
      <formula>0.8</formula>
    </cfRule>
    <cfRule type="cellIs" dxfId="480" priority="482" operator="greaterThan">
      <formula>1</formula>
    </cfRule>
  </conditionalFormatting>
  <conditionalFormatting sqref="R84:R91">
    <cfRule type="cellIs" dxfId="479" priority="479" operator="greaterThan">
      <formula>1</formula>
    </cfRule>
    <cfRule type="cellIs" dxfId="478" priority="480" operator="lessThan">
      <formula>0.8</formula>
    </cfRule>
  </conditionalFormatting>
  <conditionalFormatting sqref="P84:P91">
    <cfRule type="cellIs" dxfId="477" priority="478" operator="greaterThan">
      <formula>0</formula>
    </cfRule>
  </conditionalFormatting>
  <conditionalFormatting sqref="Q84:Q91">
    <cfRule type="cellIs" dxfId="476" priority="472" operator="lessThan">
      <formula>0</formula>
    </cfRule>
  </conditionalFormatting>
  <conditionalFormatting sqref="R84:R91">
    <cfRule type="cellIs" dxfId="475" priority="476" operator="lessThan">
      <formula>0.8</formula>
    </cfRule>
    <cfRule type="cellIs" dxfId="474" priority="477" operator="greaterThan">
      <formula>1</formula>
    </cfRule>
  </conditionalFormatting>
  <conditionalFormatting sqref="R84:R91">
    <cfRule type="cellIs" dxfId="473" priority="474" operator="greaterThan">
      <formula>1</formula>
    </cfRule>
    <cfRule type="cellIs" dxfId="472" priority="475" operator="lessThan">
      <formula>0.8</formula>
    </cfRule>
  </conditionalFormatting>
  <conditionalFormatting sqref="P84:P91">
    <cfRule type="cellIs" dxfId="471" priority="473" operator="greaterThan">
      <formula>0</formula>
    </cfRule>
  </conditionalFormatting>
  <conditionalFormatting sqref="Q84:Q91">
    <cfRule type="cellIs" dxfId="470" priority="471" operator="lessThan">
      <formula>0</formula>
    </cfRule>
  </conditionalFormatting>
  <conditionalFormatting sqref="R84:R91">
    <cfRule type="cellIs" dxfId="469" priority="469" operator="lessThan">
      <formula>0.8</formula>
    </cfRule>
    <cfRule type="cellIs" dxfId="468" priority="470" operator="greaterThan">
      <formula>1</formula>
    </cfRule>
  </conditionalFormatting>
  <conditionalFormatting sqref="R84:R91">
    <cfRule type="cellIs" dxfId="467" priority="467" operator="greaterThan">
      <formula>1</formula>
    </cfRule>
    <cfRule type="cellIs" dxfId="466" priority="468" operator="lessThan">
      <formula>0.8</formula>
    </cfRule>
  </conditionalFormatting>
  <conditionalFormatting sqref="P84:P91">
    <cfRule type="cellIs" dxfId="465" priority="466" operator="greaterThan">
      <formula>0</formula>
    </cfRule>
  </conditionalFormatting>
  <conditionalFormatting sqref="Q84:Q91">
    <cfRule type="cellIs" dxfId="464" priority="465" operator="lessThan">
      <formula>0</formula>
    </cfRule>
  </conditionalFormatting>
  <conditionalFormatting sqref="R84:R91">
    <cfRule type="cellIs" dxfId="463" priority="463" operator="lessThan">
      <formula>0.8</formula>
    </cfRule>
    <cfRule type="cellIs" dxfId="462" priority="464" operator="greaterThan">
      <formula>1</formula>
    </cfRule>
  </conditionalFormatting>
  <conditionalFormatting sqref="R84:R91">
    <cfRule type="cellIs" dxfId="461" priority="461" operator="greaterThan">
      <formula>1</formula>
    </cfRule>
    <cfRule type="cellIs" dxfId="460" priority="462" operator="lessThan">
      <formula>0.8</formula>
    </cfRule>
  </conditionalFormatting>
  <conditionalFormatting sqref="P84:P91">
    <cfRule type="cellIs" dxfId="459" priority="460" operator="greaterThan">
      <formula>0</formula>
    </cfRule>
  </conditionalFormatting>
  <conditionalFormatting sqref="Q84:Q91">
    <cfRule type="cellIs" dxfId="458" priority="459" operator="lessThan">
      <formula>0</formula>
    </cfRule>
  </conditionalFormatting>
  <conditionalFormatting sqref="R84:R91">
    <cfRule type="cellIs" dxfId="457" priority="457" operator="lessThan">
      <formula>0.8</formula>
    </cfRule>
    <cfRule type="cellIs" dxfId="456" priority="458" operator="greaterThan">
      <formula>1</formula>
    </cfRule>
  </conditionalFormatting>
  <conditionalFormatting sqref="R84:R91">
    <cfRule type="cellIs" dxfId="455" priority="455" operator="greaterThan">
      <formula>1</formula>
    </cfRule>
    <cfRule type="cellIs" dxfId="454" priority="456" operator="lessThan">
      <formula>0.8</formula>
    </cfRule>
  </conditionalFormatting>
  <conditionalFormatting sqref="P84:P91">
    <cfRule type="cellIs" dxfId="453" priority="454" operator="greaterThan">
      <formula>0</formula>
    </cfRule>
  </conditionalFormatting>
  <conditionalFormatting sqref="Q84:Q91">
    <cfRule type="cellIs" dxfId="452" priority="453" operator="lessThan">
      <formula>0</formula>
    </cfRule>
  </conditionalFormatting>
  <conditionalFormatting sqref="R84:R91">
    <cfRule type="cellIs" dxfId="451" priority="451" operator="lessThan">
      <formula>0.8</formula>
    </cfRule>
    <cfRule type="cellIs" dxfId="450" priority="452" operator="greaterThan">
      <formula>1</formula>
    </cfRule>
  </conditionalFormatting>
  <conditionalFormatting sqref="R84:R91">
    <cfRule type="cellIs" dxfId="449" priority="449" operator="greaterThan">
      <formula>1</formula>
    </cfRule>
    <cfRule type="cellIs" dxfId="448" priority="450" operator="lessThan">
      <formula>0.8</formula>
    </cfRule>
  </conditionalFormatting>
  <conditionalFormatting sqref="P84:P91">
    <cfRule type="cellIs" dxfId="447" priority="448" operator="greaterThan">
      <formula>0</formula>
    </cfRule>
  </conditionalFormatting>
  <conditionalFormatting sqref="Q84:Q91">
    <cfRule type="cellIs" dxfId="446" priority="447" operator="lessThan">
      <formula>0</formula>
    </cfRule>
  </conditionalFormatting>
  <conditionalFormatting sqref="R84:R91">
    <cfRule type="cellIs" dxfId="445" priority="445" operator="lessThan">
      <formula>0.8</formula>
    </cfRule>
    <cfRule type="cellIs" dxfId="444" priority="446" operator="greaterThan">
      <formula>1</formula>
    </cfRule>
  </conditionalFormatting>
  <conditionalFormatting sqref="R84:R91">
    <cfRule type="cellIs" dxfId="443" priority="443" operator="greaterThan">
      <formula>1</formula>
    </cfRule>
    <cfRule type="cellIs" dxfId="442" priority="444" operator="lessThan">
      <formula>0.8</formula>
    </cfRule>
  </conditionalFormatting>
  <conditionalFormatting sqref="P84:P91">
    <cfRule type="cellIs" dxfId="441" priority="442" operator="greaterThan">
      <formula>0</formula>
    </cfRule>
  </conditionalFormatting>
  <conditionalFormatting sqref="P84:P91">
    <cfRule type="cellIs" dxfId="440" priority="436" operator="greaterThan">
      <formula>0</formula>
    </cfRule>
  </conditionalFormatting>
  <conditionalFormatting sqref="Q84:Q91">
    <cfRule type="cellIs" dxfId="439" priority="441" operator="lessThan">
      <formula>0</formula>
    </cfRule>
  </conditionalFormatting>
  <conditionalFormatting sqref="R84:R91">
    <cfRule type="cellIs" dxfId="438" priority="439" operator="lessThan">
      <formula>0.8</formula>
    </cfRule>
    <cfRule type="cellIs" dxfId="437" priority="440" operator="greaterThan">
      <formula>1</formula>
    </cfRule>
  </conditionalFormatting>
  <conditionalFormatting sqref="R84:R91">
    <cfRule type="cellIs" dxfId="436" priority="437" operator="greaterThan">
      <formula>1</formula>
    </cfRule>
    <cfRule type="cellIs" dxfId="435" priority="438" operator="lessThan">
      <formula>0.8</formula>
    </cfRule>
  </conditionalFormatting>
  <conditionalFormatting sqref="P84:P91">
    <cfRule type="cellIs" dxfId="434" priority="430" operator="greaterThan">
      <formula>0</formula>
    </cfRule>
  </conditionalFormatting>
  <conditionalFormatting sqref="Q84:Q91">
    <cfRule type="cellIs" dxfId="433" priority="435" operator="lessThan">
      <formula>0</formula>
    </cfRule>
  </conditionalFormatting>
  <conditionalFormatting sqref="R84:R91">
    <cfRule type="cellIs" dxfId="432" priority="433" operator="lessThan">
      <formula>0.8</formula>
    </cfRule>
    <cfRule type="cellIs" dxfId="431" priority="434" operator="greaterThan">
      <formula>1</formula>
    </cfRule>
  </conditionalFormatting>
  <conditionalFormatting sqref="R84:R91">
    <cfRule type="cellIs" dxfId="430" priority="431" operator="greaterThan">
      <formula>1</formula>
    </cfRule>
    <cfRule type="cellIs" dxfId="429" priority="432" operator="lessThan">
      <formula>0.8</formula>
    </cfRule>
  </conditionalFormatting>
  <conditionalFormatting sqref="R84:R91">
    <cfRule type="cellIs" dxfId="428" priority="427" operator="lessThan">
      <formula>0.8</formula>
    </cfRule>
    <cfRule type="cellIs" dxfId="427" priority="428" operator="greaterThan">
      <formula>1</formula>
    </cfRule>
  </conditionalFormatting>
  <conditionalFormatting sqref="R84:R91">
    <cfRule type="cellIs" dxfId="426" priority="425" operator="greaterThan">
      <formula>1</formula>
    </cfRule>
    <cfRule type="cellIs" dxfId="425" priority="426" operator="lessThan">
      <formula>0.8</formula>
    </cfRule>
  </conditionalFormatting>
  <conditionalFormatting sqref="P84:P91">
    <cfRule type="cellIs" dxfId="424" priority="424" operator="greaterThan">
      <formula>0</formula>
    </cfRule>
  </conditionalFormatting>
  <conditionalFormatting sqref="Q84:Q91">
    <cfRule type="cellIs" dxfId="423" priority="429" operator="lessThan">
      <formula>0</formula>
    </cfRule>
  </conditionalFormatting>
  <conditionalFormatting sqref="Q84:Q91">
    <cfRule type="cellIs" dxfId="422" priority="418" operator="lessThan">
      <formula>0</formula>
    </cfRule>
  </conditionalFormatting>
  <conditionalFormatting sqref="P84:P91">
    <cfRule type="cellIs" dxfId="421" priority="419" operator="greaterThan">
      <formula>0</formula>
    </cfRule>
  </conditionalFormatting>
  <conditionalFormatting sqref="R84:R91">
    <cfRule type="cellIs" dxfId="420" priority="422" operator="lessThan">
      <formula>0.8</formula>
    </cfRule>
    <cfRule type="cellIs" dxfId="419" priority="423" operator="greaterThan">
      <formula>1</formula>
    </cfRule>
  </conditionalFormatting>
  <conditionalFormatting sqref="R84:R91">
    <cfRule type="cellIs" dxfId="418" priority="420" operator="greaterThan">
      <formula>1</formula>
    </cfRule>
    <cfRule type="cellIs" dxfId="417" priority="421" operator="lessThan">
      <formula>0.8</formula>
    </cfRule>
  </conditionalFormatting>
  <conditionalFormatting sqref="Q84:Q91">
    <cfRule type="cellIs" dxfId="416" priority="412" operator="lessThan">
      <formula>0</formula>
    </cfRule>
  </conditionalFormatting>
  <conditionalFormatting sqref="R84:R91">
    <cfRule type="cellIs" dxfId="415" priority="416" operator="lessThan">
      <formula>0.8</formula>
    </cfRule>
    <cfRule type="cellIs" dxfId="414" priority="417" operator="greaterThan">
      <formula>1</formula>
    </cfRule>
  </conditionalFormatting>
  <conditionalFormatting sqref="R84:R91">
    <cfRule type="cellIs" dxfId="413" priority="414" operator="greaterThan">
      <formula>1</formula>
    </cfRule>
    <cfRule type="cellIs" dxfId="412" priority="415" operator="lessThan">
      <formula>0.8</formula>
    </cfRule>
  </conditionalFormatting>
  <conditionalFormatting sqref="P84:P91">
    <cfRule type="cellIs" dxfId="411" priority="413" operator="greaterThan">
      <formula>0</formula>
    </cfRule>
  </conditionalFormatting>
  <conditionalFormatting sqref="Q84:Q91">
    <cfRule type="cellIs" dxfId="410" priority="411" operator="lessThan">
      <formula>0</formula>
    </cfRule>
  </conditionalFormatting>
  <conditionalFormatting sqref="R84:R91">
    <cfRule type="cellIs" dxfId="409" priority="409" operator="lessThan">
      <formula>0.8</formula>
    </cfRule>
    <cfRule type="cellIs" dxfId="408" priority="410" operator="greaterThan">
      <formula>1</formula>
    </cfRule>
  </conditionalFormatting>
  <conditionalFormatting sqref="R84:R91">
    <cfRule type="cellIs" dxfId="407" priority="407" operator="greaterThan">
      <formula>1</formula>
    </cfRule>
    <cfRule type="cellIs" dxfId="406" priority="408" operator="lessThan">
      <formula>0.8</formula>
    </cfRule>
  </conditionalFormatting>
  <conditionalFormatting sqref="P84:P91">
    <cfRule type="cellIs" dxfId="405" priority="406" operator="greaterThan">
      <formula>0</formula>
    </cfRule>
  </conditionalFormatting>
  <conditionalFormatting sqref="Q84:Q91">
    <cfRule type="cellIs" dxfId="404" priority="405" operator="lessThan">
      <formula>0</formula>
    </cfRule>
  </conditionalFormatting>
  <conditionalFormatting sqref="R84:R91">
    <cfRule type="cellIs" dxfId="403" priority="403" operator="lessThan">
      <formula>0.8</formula>
    </cfRule>
    <cfRule type="cellIs" dxfId="402" priority="404" operator="greaterThan">
      <formula>1</formula>
    </cfRule>
  </conditionalFormatting>
  <conditionalFormatting sqref="R84:R91">
    <cfRule type="cellIs" dxfId="401" priority="401" operator="greaterThan">
      <formula>1</formula>
    </cfRule>
    <cfRule type="cellIs" dxfId="400" priority="402" operator="lessThan">
      <formula>0.8</formula>
    </cfRule>
  </conditionalFormatting>
  <conditionalFormatting sqref="P84:P91">
    <cfRule type="cellIs" dxfId="399" priority="400" operator="greaterThan">
      <formula>0</formula>
    </cfRule>
  </conditionalFormatting>
  <conditionalFormatting sqref="Q84:Q91">
    <cfRule type="cellIs" dxfId="398" priority="399" operator="lessThan">
      <formula>0</formula>
    </cfRule>
  </conditionalFormatting>
  <conditionalFormatting sqref="R84:R91">
    <cfRule type="cellIs" dxfId="397" priority="397" operator="lessThan">
      <formula>0.8</formula>
    </cfRule>
    <cfRule type="cellIs" dxfId="396" priority="398" operator="greaterThan">
      <formula>1</formula>
    </cfRule>
  </conditionalFormatting>
  <conditionalFormatting sqref="R84:R91">
    <cfRule type="cellIs" dxfId="395" priority="395" operator="greaterThan">
      <formula>1</formula>
    </cfRule>
    <cfRule type="cellIs" dxfId="394" priority="396" operator="lessThan">
      <formula>0.8</formula>
    </cfRule>
  </conditionalFormatting>
  <conditionalFormatting sqref="P84:P91">
    <cfRule type="cellIs" dxfId="393" priority="394" operator="greaterThan">
      <formula>0</formula>
    </cfRule>
  </conditionalFormatting>
  <conditionalFormatting sqref="Q84:Q91">
    <cfRule type="cellIs" dxfId="392" priority="393" operator="lessThan">
      <formula>0</formula>
    </cfRule>
  </conditionalFormatting>
  <conditionalFormatting sqref="R84:R91">
    <cfRule type="cellIs" dxfId="391" priority="391" operator="lessThan">
      <formula>0.8</formula>
    </cfRule>
    <cfRule type="cellIs" dxfId="390" priority="392" operator="greaterThan">
      <formula>1</formula>
    </cfRule>
  </conditionalFormatting>
  <conditionalFormatting sqref="R84:R91">
    <cfRule type="cellIs" dxfId="389" priority="389" operator="greaterThan">
      <formula>1</formula>
    </cfRule>
    <cfRule type="cellIs" dxfId="388" priority="390" operator="lessThan">
      <formula>0.8</formula>
    </cfRule>
  </conditionalFormatting>
  <conditionalFormatting sqref="P84:P91">
    <cfRule type="cellIs" dxfId="387" priority="388" operator="greaterThan">
      <formula>0</formula>
    </cfRule>
  </conditionalFormatting>
  <conditionalFormatting sqref="Q84:Q91">
    <cfRule type="cellIs" dxfId="386" priority="387" operator="lessThan">
      <formula>0</formula>
    </cfRule>
  </conditionalFormatting>
  <conditionalFormatting sqref="R84:R91">
    <cfRule type="cellIs" dxfId="385" priority="385" operator="lessThan">
      <formula>0.8</formula>
    </cfRule>
    <cfRule type="cellIs" dxfId="384" priority="386" operator="greaterThan">
      <formula>1</formula>
    </cfRule>
  </conditionalFormatting>
  <conditionalFormatting sqref="R84:R91">
    <cfRule type="cellIs" dxfId="383" priority="383" operator="greaterThan">
      <formula>1</formula>
    </cfRule>
    <cfRule type="cellIs" dxfId="382" priority="384" operator="lessThan">
      <formula>0.8</formula>
    </cfRule>
  </conditionalFormatting>
  <conditionalFormatting sqref="P84:P91">
    <cfRule type="cellIs" dxfId="381" priority="382" operator="greaterThan">
      <formula>0</formula>
    </cfRule>
  </conditionalFormatting>
  <conditionalFormatting sqref="Q84:Q91">
    <cfRule type="cellIs" dxfId="380" priority="381" operator="lessThan">
      <formula>0</formula>
    </cfRule>
  </conditionalFormatting>
  <conditionalFormatting sqref="R84:R91">
    <cfRule type="cellIs" dxfId="379" priority="379" operator="lessThan">
      <formula>0.8</formula>
    </cfRule>
    <cfRule type="cellIs" dxfId="378" priority="380" operator="greaterThan">
      <formula>1</formula>
    </cfRule>
  </conditionalFormatting>
  <conditionalFormatting sqref="R84:R91">
    <cfRule type="cellIs" dxfId="377" priority="377" operator="greaterThan">
      <formula>1</formula>
    </cfRule>
    <cfRule type="cellIs" dxfId="376" priority="378" operator="lessThan">
      <formula>0.8</formula>
    </cfRule>
  </conditionalFormatting>
  <conditionalFormatting sqref="P84:P91">
    <cfRule type="cellIs" dxfId="375" priority="376" operator="greaterThan">
      <formula>0</formula>
    </cfRule>
  </conditionalFormatting>
  <conditionalFormatting sqref="Q84:Q91">
    <cfRule type="cellIs" dxfId="374" priority="375" operator="lessThan">
      <formula>0</formula>
    </cfRule>
  </conditionalFormatting>
  <conditionalFormatting sqref="R84:R91">
    <cfRule type="cellIs" dxfId="373" priority="373" operator="lessThan">
      <formula>0.8</formula>
    </cfRule>
    <cfRule type="cellIs" dxfId="372" priority="374" operator="greaterThan">
      <formula>1</formula>
    </cfRule>
  </conditionalFormatting>
  <conditionalFormatting sqref="R84:R91">
    <cfRule type="cellIs" dxfId="371" priority="371" operator="greaterThan">
      <formula>1</formula>
    </cfRule>
    <cfRule type="cellIs" dxfId="370" priority="372" operator="lessThan">
      <formula>0.8</formula>
    </cfRule>
  </conditionalFormatting>
  <conditionalFormatting sqref="P84:P91">
    <cfRule type="cellIs" dxfId="369" priority="370" operator="greaterThan">
      <formula>0</formula>
    </cfRule>
  </conditionalFormatting>
  <conditionalFormatting sqref="P84:P91">
    <cfRule type="cellIs" dxfId="368" priority="364" operator="greaterThan">
      <formula>0</formula>
    </cfRule>
  </conditionalFormatting>
  <conditionalFormatting sqref="Q84:Q91">
    <cfRule type="cellIs" dxfId="367" priority="369" operator="lessThan">
      <formula>0</formula>
    </cfRule>
  </conditionalFormatting>
  <conditionalFormatting sqref="R84:R91">
    <cfRule type="cellIs" dxfId="366" priority="367" operator="lessThan">
      <formula>0.8</formula>
    </cfRule>
    <cfRule type="cellIs" dxfId="365" priority="368" operator="greaterThan">
      <formula>1</formula>
    </cfRule>
  </conditionalFormatting>
  <conditionalFormatting sqref="R84:R91">
    <cfRule type="cellIs" dxfId="364" priority="365" operator="greaterThan">
      <formula>1</formula>
    </cfRule>
    <cfRule type="cellIs" dxfId="363" priority="366" operator="lessThan">
      <formula>0.8</formula>
    </cfRule>
  </conditionalFormatting>
  <conditionalFormatting sqref="P84:P91">
    <cfRule type="cellIs" dxfId="362" priority="358" operator="greaterThan">
      <formula>0</formula>
    </cfRule>
  </conditionalFormatting>
  <conditionalFormatting sqref="Q84:Q91">
    <cfRule type="cellIs" dxfId="361" priority="363" operator="lessThan">
      <formula>0</formula>
    </cfRule>
  </conditionalFormatting>
  <conditionalFormatting sqref="R84:R91">
    <cfRule type="cellIs" dxfId="360" priority="361" operator="lessThan">
      <formula>0.8</formula>
    </cfRule>
    <cfRule type="cellIs" dxfId="359" priority="362" operator="greaterThan">
      <formula>1</formula>
    </cfRule>
  </conditionalFormatting>
  <conditionalFormatting sqref="R84:R91">
    <cfRule type="cellIs" dxfId="358" priority="359" operator="greaterThan">
      <formula>1</formula>
    </cfRule>
    <cfRule type="cellIs" dxfId="357" priority="360" operator="lessThan">
      <formula>0.8</formula>
    </cfRule>
  </conditionalFormatting>
  <conditionalFormatting sqref="R84:R91">
    <cfRule type="cellIs" dxfId="356" priority="355" operator="lessThan">
      <formula>0.8</formula>
    </cfRule>
    <cfRule type="cellIs" dxfId="355" priority="356" operator="greaterThan">
      <formula>1</formula>
    </cfRule>
  </conditionalFormatting>
  <conditionalFormatting sqref="R84:R91">
    <cfRule type="cellIs" dxfId="354" priority="353" operator="greaterThan">
      <formula>1</formula>
    </cfRule>
    <cfRule type="cellIs" dxfId="353" priority="354" operator="lessThan">
      <formula>0.8</formula>
    </cfRule>
  </conditionalFormatting>
  <conditionalFormatting sqref="P84:P91">
    <cfRule type="cellIs" dxfId="352" priority="352" operator="greaterThan">
      <formula>0</formula>
    </cfRule>
  </conditionalFormatting>
  <conditionalFormatting sqref="Q84:Q91">
    <cfRule type="cellIs" dxfId="351" priority="357" operator="lessThan">
      <formula>0</formula>
    </cfRule>
  </conditionalFormatting>
  <conditionalFormatting sqref="Q84:Q91">
    <cfRule type="cellIs" dxfId="350" priority="351" operator="lessThan">
      <formula>0</formula>
    </cfRule>
  </conditionalFormatting>
  <conditionalFormatting sqref="R84:R91">
    <cfRule type="cellIs" dxfId="349" priority="349" operator="lessThan">
      <formula>0.8</formula>
    </cfRule>
    <cfRule type="cellIs" dxfId="348" priority="350" operator="greaterThan">
      <formula>1</formula>
    </cfRule>
  </conditionalFormatting>
  <conditionalFormatting sqref="R84:R91">
    <cfRule type="cellIs" dxfId="347" priority="347" operator="greaterThan">
      <formula>1</formula>
    </cfRule>
    <cfRule type="cellIs" dxfId="346" priority="348" operator="lessThan">
      <formula>0.8</formula>
    </cfRule>
  </conditionalFormatting>
  <conditionalFormatting sqref="P84:P91">
    <cfRule type="cellIs" dxfId="345" priority="346" operator="greaterThan">
      <formula>0</formula>
    </cfRule>
  </conditionalFormatting>
  <conditionalFormatting sqref="P84:P91">
    <cfRule type="cellIs" dxfId="344" priority="340" operator="greaterThan">
      <formula>0</formula>
    </cfRule>
  </conditionalFormatting>
  <conditionalFormatting sqref="Q84:Q91">
    <cfRule type="cellIs" dxfId="343" priority="345" operator="lessThan">
      <formula>0</formula>
    </cfRule>
  </conditionalFormatting>
  <conditionalFormatting sqref="R84:R91">
    <cfRule type="cellIs" dxfId="342" priority="343" operator="lessThan">
      <formula>0.8</formula>
    </cfRule>
    <cfRule type="cellIs" dxfId="341" priority="344" operator="greaterThan">
      <formula>1</formula>
    </cfRule>
  </conditionalFormatting>
  <conditionalFormatting sqref="R84:R91">
    <cfRule type="cellIs" dxfId="340" priority="341" operator="greaterThan">
      <formula>1</formula>
    </cfRule>
    <cfRule type="cellIs" dxfId="339" priority="342" operator="lessThan">
      <formula>0.8</formula>
    </cfRule>
  </conditionalFormatting>
  <conditionalFormatting sqref="P84:P91">
    <cfRule type="cellIs" dxfId="338" priority="334" operator="greaterThan">
      <formula>0</formula>
    </cfRule>
  </conditionalFormatting>
  <conditionalFormatting sqref="Q84:Q91">
    <cfRule type="cellIs" dxfId="337" priority="339" operator="lessThan">
      <formula>0</formula>
    </cfRule>
  </conditionalFormatting>
  <conditionalFormatting sqref="R84:R91">
    <cfRule type="cellIs" dxfId="336" priority="337" operator="lessThan">
      <formula>0.8</formula>
    </cfRule>
    <cfRule type="cellIs" dxfId="335" priority="338" operator="greaterThan">
      <formula>1</formula>
    </cfRule>
  </conditionalFormatting>
  <conditionalFormatting sqref="R84:R91">
    <cfRule type="cellIs" dxfId="334" priority="335" operator="greaterThan">
      <formula>1</formula>
    </cfRule>
    <cfRule type="cellIs" dxfId="333" priority="336" operator="lessThan">
      <formula>0.8</formula>
    </cfRule>
  </conditionalFormatting>
  <conditionalFormatting sqref="R84:R91">
    <cfRule type="cellIs" dxfId="332" priority="331" operator="lessThan">
      <formula>0.8</formula>
    </cfRule>
    <cfRule type="cellIs" dxfId="331" priority="332" operator="greaterThan">
      <formula>1</formula>
    </cfRule>
  </conditionalFormatting>
  <conditionalFormatting sqref="R84:R91">
    <cfRule type="cellIs" dxfId="330" priority="329" operator="greaterThan">
      <formula>1</formula>
    </cfRule>
    <cfRule type="cellIs" dxfId="329" priority="330" operator="lessThan">
      <formula>0.8</formula>
    </cfRule>
  </conditionalFormatting>
  <conditionalFormatting sqref="P84:P91">
    <cfRule type="cellIs" dxfId="328" priority="328" operator="greaterThan">
      <formula>0</formula>
    </cfRule>
  </conditionalFormatting>
  <conditionalFormatting sqref="Q84:Q91">
    <cfRule type="cellIs" dxfId="327" priority="333" operator="lessThan">
      <formula>0</formula>
    </cfRule>
  </conditionalFormatting>
  <conditionalFormatting sqref="P84:P91">
    <cfRule type="cellIs" dxfId="326" priority="322" operator="greaterThan">
      <formula>0</formula>
    </cfRule>
  </conditionalFormatting>
  <conditionalFormatting sqref="Q84:Q91">
    <cfRule type="cellIs" dxfId="325" priority="327" operator="lessThan">
      <formula>0</formula>
    </cfRule>
  </conditionalFormatting>
  <conditionalFormatting sqref="R84:R91">
    <cfRule type="cellIs" dxfId="324" priority="325" operator="lessThan">
      <formula>0.8</formula>
    </cfRule>
    <cfRule type="cellIs" dxfId="323" priority="326" operator="greaterThan">
      <formula>1</formula>
    </cfRule>
  </conditionalFormatting>
  <conditionalFormatting sqref="R84:R91">
    <cfRule type="cellIs" dxfId="322" priority="323" operator="greaterThan">
      <formula>1</formula>
    </cfRule>
    <cfRule type="cellIs" dxfId="321" priority="324" operator="lessThan">
      <formula>0.8</formula>
    </cfRule>
  </conditionalFormatting>
  <conditionalFormatting sqref="R84:R91">
    <cfRule type="cellIs" dxfId="320" priority="319" operator="lessThan">
      <formula>0.8</formula>
    </cfRule>
    <cfRule type="cellIs" dxfId="319" priority="320" operator="greaterThan">
      <formula>1</formula>
    </cfRule>
  </conditionalFormatting>
  <conditionalFormatting sqref="R84:R91">
    <cfRule type="cellIs" dxfId="318" priority="317" operator="greaterThan">
      <formula>1</formula>
    </cfRule>
    <cfRule type="cellIs" dxfId="317" priority="318" operator="lessThan">
      <formula>0.8</formula>
    </cfRule>
  </conditionalFormatting>
  <conditionalFormatting sqref="P84:P91">
    <cfRule type="cellIs" dxfId="316" priority="316" operator="greaterThan">
      <formula>0</formula>
    </cfRule>
  </conditionalFormatting>
  <conditionalFormatting sqref="Q84:Q91">
    <cfRule type="cellIs" dxfId="315" priority="321" operator="lessThan">
      <formula>0</formula>
    </cfRule>
  </conditionalFormatting>
  <conditionalFormatting sqref="R84:R91">
    <cfRule type="cellIs" dxfId="314" priority="313" operator="lessThan">
      <formula>0.8</formula>
    </cfRule>
    <cfRule type="cellIs" dxfId="313" priority="314" operator="greaterThan">
      <formula>1</formula>
    </cfRule>
  </conditionalFormatting>
  <conditionalFormatting sqref="R84:R91">
    <cfRule type="cellIs" dxfId="312" priority="311" operator="greaterThan">
      <formula>1</formula>
    </cfRule>
    <cfRule type="cellIs" dxfId="311" priority="312" operator="lessThan">
      <formula>0.8</formula>
    </cfRule>
  </conditionalFormatting>
  <conditionalFormatting sqref="P84:P91">
    <cfRule type="cellIs" dxfId="310" priority="310" operator="greaterThan">
      <formula>0</formula>
    </cfRule>
  </conditionalFormatting>
  <conditionalFormatting sqref="Q84:Q91">
    <cfRule type="cellIs" dxfId="309" priority="315" operator="lessThan">
      <formula>0</formula>
    </cfRule>
  </conditionalFormatting>
  <conditionalFormatting sqref="Q84:Q91">
    <cfRule type="cellIs" dxfId="308" priority="309" operator="lessThan">
      <formula>0</formula>
    </cfRule>
  </conditionalFormatting>
  <conditionalFormatting sqref="R84:R91">
    <cfRule type="cellIs" dxfId="307" priority="307" operator="lessThan">
      <formula>0.8</formula>
    </cfRule>
    <cfRule type="cellIs" dxfId="306" priority="308" operator="greaterThan">
      <formula>1</formula>
    </cfRule>
  </conditionalFormatting>
  <conditionalFormatting sqref="R84:R91">
    <cfRule type="cellIs" dxfId="305" priority="305" operator="greaterThan">
      <formula>1</formula>
    </cfRule>
    <cfRule type="cellIs" dxfId="304" priority="306" operator="lessThan">
      <formula>0.8</formula>
    </cfRule>
  </conditionalFormatting>
  <conditionalFormatting sqref="P84:P91">
    <cfRule type="cellIs" dxfId="303" priority="304" operator="greaterThan">
      <formula>0</formula>
    </cfRule>
  </conditionalFormatting>
  <conditionalFormatting sqref="Q84:Q91">
    <cfRule type="cellIs" dxfId="302" priority="298" operator="lessThan">
      <formula>0</formula>
    </cfRule>
  </conditionalFormatting>
  <conditionalFormatting sqref="R84:R91">
    <cfRule type="cellIs" dxfId="301" priority="302" operator="lessThan">
      <formula>0.8</formula>
    </cfRule>
    <cfRule type="cellIs" dxfId="300" priority="303" operator="greaterThan">
      <formula>1</formula>
    </cfRule>
  </conditionalFormatting>
  <conditionalFormatting sqref="R84:R91">
    <cfRule type="cellIs" dxfId="299" priority="300" operator="greaterThan">
      <formula>1</formula>
    </cfRule>
    <cfRule type="cellIs" dxfId="298" priority="301" operator="lessThan">
      <formula>0.8</formula>
    </cfRule>
  </conditionalFormatting>
  <conditionalFormatting sqref="P84:P91">
    <cfRule type="cellIs" dxfId="297" priority="299" operator="greaterThan">
      <formula>0</formula>
    </cfRule>
  </conditionalFormatting>
  <conditionalFormatting sqref="Q84:Q91">
    <cfRule type="cellIs" dxfId="296" priority="297" operator="lessThan">
      <formula>0</formula>
    </cfRule>
  </conditionalFormatting>
  <conditionalFormatting sqref="R84:R91">
    <cfRule type="cellIs" dxfId="295" priority="295" operator="lessThan">
      <formula>0.8</formula>
    </cfRule>
    <cfRule type="cellIs" dxfId="294" priority="296" operator="greaterThan">
      <formula>1</formula>
    </cfRule>
  </conditionalFormatting>
  <conditionalFormatting sqref="R84:R91">
    <cfRule type="cellIs" dxfId="293" priority="293" operator="greaterThan">
      <formula>1</formula>
    </cfRule>
    <cfRule type="cellIs" dxfId="292" priority="294" operator="lessThan">
      <formula>0.8</formula>
    </cfRule>
  </conditionalFormatting>
  <conditionalFormatting sqref="P84:P91">
    <cfRule type="cellIs" dxfId="291" priority="292" operator="greaterThan">
      <formula>0</formula>
    </cfRule>
  </conditionalFormatting>
  <conditionalFormatting sqref="Q84:Q91">
    <cfRule type="cellIs" dxfId="290" priority="291" operator="lessThan">
      <formula>0</formula>
    </cfRule>
  </conditionalFormatting>
  <conditionalFormatting sqref="R84:R91">
    <cfRule type="cellIs" dxfId="289" priority="289" operator="lessThan">
      <formula>0.8</formula>
    </cfRule>
    <cfRule type="cellIs" dxfId="288" priority="290" operator="greaterThan">
      <formula>1</formula>
    </cfRule>
  </conditionalFormatting>
  <conditionalFormatting sqref="R84:R91">
    <cfRule type="cellIs" dxfId="287" priority="287" operator="greaterThan">
      <formula>1</formula>
    </cfRule>
    <cfRule type="cellIs" dxfId="286" priority="288" operator="lessThan">
      <formula>0.8</formula>
    </cfRule>
  </conditionalFormatting>
  <conditionalFormatting sqref="P84:P91">
    <cfRule type="cellIs" dxfId="285" priority="286" operator="greaterThan">
      <formula>0</formula>
    </cfRule>
  </conditionalFormatting>
  <conditionalFormatting sqref="Q84:Q91">
    <cfRule type="cellIs" dxfId="284" priority="285" operator="lessThan">
      <formula>0</formula>
    </cfRule>
  </conditionalFormatting>
  <conditionalFormatting sqref="R84:R91">
    <cfRule type="cellIs" dxfId="283" priority="283" operator="lessThan">
      <formula>0.8</formula>
    </cfRule>
    <cfRule type="cellIs" dxfId="282" priority="284" operator="greaterThan">
      <formula>1</formula>
    </cfRule>
  </conditionalFormatting>
  <conditionalFormatting sqref="R84:R91">
    <cfRule type="cellIs" dxfId="281" priority="281" operator="greaterThan">
      <formula>1</formula>
    </cfRule>
    <cfRule type="cellIs" dxfId="280" priority="282" operator="lessThan">
      <formula>0.8</formula>
    </cfRule>
  </conditionalFormatting>
  <conditionalFormatting sqref="P84:P91">
    <cfRule type="cellIs" dxfId="279" priority="280" operator="greaterThan">
      <formula>0</formula>
    </cfRule>
  </conditionalFormatting>
  <conditionalFormatting sqref="Q84:Q91">
    <cfRule type="cellIs" dxfId="278" priority="279" operator="lessThan">
      <formula>0</formula>
    </cfRule>
  </conditionalFormatting>
  <conditionalFormatting sqref="R84:R91">
    <cfRule type="cellIs" dxfId="277" priority="277" operator="lessThan">
      <formula>0.8</formula>
    </cfRule>
    <cfRule type="cellIs" dxfId="276" priority="278" operator="greaterThan">
      <formula>1</formula>
    </cfRule>
  </conditionalFormatting>
  <conditionalFormatting sqref="R84:R91">
    <cfRule type="cellIs" dxfId="275" priority="275" operator="greaterThan">
      <formula>1</formula>
    </cfRule>
    <cfRule type="cellIs" dxfId="274" priority="276" operator="lessThan">
      <formula>0.8</formula>
    </cfRule>
  </conditionalFormatting>
  <conditionalFormatting sqref="P84:P91">
    <cfRule type="cellIs" dxfId="273" priority="274" operator="greaterThan">
      <formula>0</formula>
    </cfRule>
  </conditionalFormatting>
  <conditionalFormatting sqref="Q84:Q91">
    <cfRule type="cellIs" dxfId="272" priority="273" operator="lessThan">
      <formula>0</formula>
    </cfRule>
  </conditionalFormatting>
  <conditionalFormatting sqref="R84:R91">
    <cfRule type="cellIs" dxfId="271" priority="271" operator="lessThan">
      <formula>0.8</formula>
    </cfRule>
    <cfRule type="cellIs" dxfId="270" priority="272" operator="greaterThan">
      <formula>1</formula>
    </cfRule>
  </conditionalFormatting>
  <conditionalFormatting sqref="R84:R91">
    <cfRule type="cellIs" dxfId="269" priority="269" operator="greaterThan">
      <formula>1</formula>
    </cfRule>
    <cfRule type="cellIs" dxfId="268" priority="270" operator="lessThan">
      <formula>0.8</formula>
    </cfRule>
  </conditionalFormatting>
  <conditionalFormatting sqref="P84:P91">
    <cfRule type="cellIs" dxfId="267" priority="268" operator="greaterThan">
      <formula>0</formula>
    </cfRule>
  </conditionalFormatting>
  <conditionalFormatting sqref="P84:P91">
    <cfRule type="cellIs" dxfId="266" priority="262" operator="greaterThan">
      <formula>0</formula>
    </cfRule>
  </conditionalFormatting>
  <conditionalFormatting sqref="Q84:Q91">
    <cfRule type="cellIs" dxfId="265" priority="267" operator="lessThan">
      <formula>0</formula>
    </cfRule>
  </conditionalFormatting>
  <conditionalFormatting sqref="R84:R91">
    <cfRule type="cellIs" dxfId="264" priority="265" operator="lessThan">
      <formula>0.8</formula>
    </cfRule>
    <cfRule type="cellIs" dxfId="263" priority="266" operator="greaterThan">
      <formula>1</formula>
    </cfRule>
  </conditionalFormatting>
  <conditionalFormatting sqref="R84:R91">
    <cfRule type="cellIs" dxfId="262" priority="263" operator="greaterThan">
      <formula>1</formula>
    </cfRule>
    <cfRule type="cellIs" dxfId="261" priority="264" operator="lessThan">
      <formula>0.8</formula>
    </cfRule>
  </conditionalFormatting>
  <conditionalFormatting sqref="P84:P91">
    <cfRule type="cellIs" dxfId="260" priority="256" operator="greaterThan">
      <formula>0</formula>
    </cfRule>
  </conditionalFormatting>
  <conditionalFormatting sqref="Q84:Q91">
    <cfRule type="cellIs" dxfId="259" priority="261" operator="lessThan">
      <formula>0</formula>
    </cfRule>
  </conditionalFormatting>
  <conditionalFormatting sqref="R84:R91">
    <cfRule type="cellIs" dxfId="258" priority="259" operator="lessThan">
      <formula>0.8</formula>
    </cfRule>
    <cfRule type="cellIs" dxfId="257" priority="260" operator="greaterThan">
      <formula>1</formula>
    </cfRule>
  </conditionalFormatting>
  <conditionalFormatting sqref="R84:R91">
    <cfRule type="cellIs" dxfId="256" priority="257" operator="greaterThan">
      <formula>1</formula>
    </cfRule>
    <cfRule type="cellIs" dxfId="255" priority="258" operator="lessThan">
      <formula>0.8</formula>
    </cfRule>
  </conditionalFormatting>
  <conditionalFormatting sqref="R84:R91">
    <cfRule type="cellIs" dxfId="254" priority="253" operator="lessThan">
      <formula>0.8</formula>
    </cfRule>
    <cfRule type="cellIs" dxfId="253" priority="254" operator="greaterThan">
      <formula>1</formula>
    </cfRule>
  </conditionalFormatting>
  <conditionalFormatting sqref="R84:R91">
    <cfRule type="cellIs" dxfId="252" priority="251" operator="greaterThan">
      <formula>1</formula>
    </cfRule>
    <cfRule type="cellIs" dxfId="251" priority="252" operator="lessThan">
      <formula>0.8</formula>
    </cfRule>
  </conditionalFormatting>
  <conditionalFormatting sqref="P84:P91">
    <cfRule type="cellIs" dxfId="250" priority="250" operator="greaterThan">
      <formula>0</formula>
    </cfRule>
  </conditionalFormatting>
  <conditionalFormatting sqref="Q84:Q91">
    <cfRule type="cellIs" dxfId="249" priority="255" operator="lessThan">
      <formula>0</formula>
    </cfRule>
  </conditionalFormatting>
  <conditionalFormatting sqref="Q84:Q91">
    <cfRule type="cellIs" dxfId="248" priority="249" operator="lessThan">
      <formula>0</formula>
    </cfRule>
  </conditionalFormatting>
  <conditionalFormatting sqref="R84:R91">
    <cfRule type="cellIs" dxfId="247" priority="247" operator="lessThan">
      <formula>0.8</formula>
    </cfRule>
    <cfRule type="cellIs" dxfId="246" priority="248" operator="greaterThan">
      <formula>1</formula>
    </cfRule>
  </conditionalFormatting>
  <conditionalFormatting sqref="R84:R91">
    <cfRule type="cellIs" dxfId="245" priority="245" operator="greaterThan">
      <formula>1</formula>
    </cfRule>
    <cfRule type="cellIs" dxfId="244" priority="246" operator="lessThan">
      <formula>0.8</formula>
    </cfRule>
  </conditionalFormatting>
  <conditionalFormatting sqref="P84:P91">
    <cfRule type="cellIs" dxfId="243" priority="244" operator="greaterThan">
      <formula>0</formula>
    </cfRule>
  </conditionalFormatting>
  <conditionalFormatting sqref="Q84:Q91">
    <cfRule type="cellIs" dxfId="242" priority="243" operator="lessThan">
      <formula>0</formula>
    </cfRule>
  </conditionalFormatting>
  <conditionalFormatting sqref="R84:R91">
    <cfRule type="cellIs" dxfId="241" priority="241" operator="lessThan">
      <formula>0.8</formula>
    </cfRule>
    <cfRule type="cellIs" dxfId="240" priority="242" operator="greaterThan">
      <formula>1</formula>
    </cfRule>
  </conditionalFormatting>
  <conditionalFormatting sqref="R84:R91">
    <cfRule type="cellIs" dxfId="239" priority="239" operator="greaterThan">
      <formula>1</formula>
    </cfRule>
    <cfRule type="cellIs" dxfId="238" priority="240" operator="lessThan">
      <formula>0.8</formula>
    </cfRule>
  </conditionalFormatting>
  <conditionalFormatting sqref="P84:P91">
    <cfRule type="cellIs" dxfId="237" priority="238" operator="greaterThan">
      <formula>0</formula>
    </cfRule>
  </conditionalFormatting>
  <conditionalFormatting sqref="Q84:Q91">
    <cfRule type="cellIs" dxfId="236" priority="237" operator="lessThan">
      <formula>0</formula>
    </cfRule>
  </conditionalFormatting>
  <conditionalFormatting sqref="R84:R91">
    <cfRule type="cellIs" dxfId="235" priority="235" operator="lessThan">
      <formula>0.8</formula>
    </cfRule>
    <cfRule type="cellIs" dxfId="234" priority="236" operator="greaterThan">
      <formula>1</formula>
    </cfRule>
  </conditionalFormatting>
  <conditionalFormatting sqref="R84:R91">
    <cfRule type="cellIs" dxfId="233" priority="233" operator="greaterThan">
      <formula>1</formula>
    </cfRule>
    <cfRule type="cellIs" dxfId="232" priority="234" operator="lessThan">
      <formula>0.8</formula>
    </cfRule>
  </conditionalFormatting>
  <conditionalFormatting sqref="P84:P91">
    <cfRule type="cellIs" dxfId="231" priority="232" operator="greaterThan">
      <formula>0</formula>
    </cfRule>
  </conditionalFormatting>
  <conditionalFormatting sqref="Q84:Q91">
    <cfRule type="cellIs" dxfId="230" priority="231" operator="lessThan">
      <formula>0</formula>
    </cfRule>
  </conditionalFormatting>
  <conditionalFormatting sqref="R84:R91">
    <cfRule type="cellIs" dxfId="229" priority="229" operator="lessThan">
      <formula>0.8</formula>
    </cfRule>
    <cfRule type="cellIs" dxfId="228" priority="230" operator="greaterThan">
      <formula>1</formula>
    </cfRule>
  </conditionalFormatting>
  <conditionalFormatting sqref="R84:R91">
    <cfRule type="cellIs" dxfId="227" priority="227" operator="greaterThan">
      <formula>1</formula>
    </cfRule>
    <cfRule type="cellIs" dxfId="226" priority="228" operator="lessThan">
      <formula>0.8</formula>
    </cfRule>
  </conditionalFormatting>
  <conditionalFormatting sqref="P84:P91">
    <cfRule type="cellIs" dxfId="225" priority="226" operator="greaterThan">
      <formula>0</formula>
    </cfRule>
  </conditionalFormatting>
  <conditionalFormatting sqref="P84:P91">
    <cfRule type="cellIs" dxfId="224" priority="220" operator="greaterThan">
      <formula>0</formula>
    </cfRule>
  </conditionalFormatting>
  <conditionalFormatting sqref="Q84:Q91">
    <cfRule type="cellIs" dxfId="223" priority="225" operator="lessThan">
      <formula>0</formula>
    </cfRule>
  </conditionalFormatting>
  <conditionalFormatting sqref="R84:R91">
    <cfRule type="cellIs" dxfId="222" priority="223" operator="lessThan">
      <formula>0.8</formula>
    </cfRule>
    <cfRule type="cellIs" dxfId="221" priority="224" operator="greaterThan">
      <formula>1</formula>
    </cfRule>
  </conditionalFormatting>
  <conditionalFormatting sqref="R84:R91">
    <cfRule type="cellIs" dxfId="220" priority="221" operator="greaterThan">
      <formula>1</formula>
    </cfRule>
    <cfRule type="cellIs" dxfId="219" priority="222" operator="lessThan">
      <formula>0.8</formula>
    </cfRule>
  </conditionalFormatting>
  <conditionalFormatting sqref="P84:P91">
    <cfRule type="cellIs" dxfId="218" priority="214" operator="greaterThan">
      <formula>0</formula>
    </cfRule>
  </conditionalFormatting>
  <conditionalFormatting sqref="Q84:Q91">
    <cfRule type="cellIs" dxfId="217" priority="219" operator="lessThan">
      <formula>0</formula>
    </cfRule>
  </conditionalFormatting>
  <conditionalFormatting sqref="R84:R91">
    <cfRule type="cellIs" dxfId="216" priority="217" operator="lessThan">
      <formula>0.8</formula>
    </cfRule>
    <cfRule type="cellIs" dxfId="215" priority="218" operator="greaterThan">
      <formula>1</formula>
    </cfRule>
  </conditionalFormatting>
  <conditionalFormatting sqref="R84:R91">
    <cfRule type="cellIs" dxfId="214" priority="215" operator="greaterThan">
      <formula>1</formula>
    </cfRule>
    <cfRule type="cellIs" dxfId="213" priority="216" operator="lessThan">
      <formula>0.8</formula>
    </cfRule>
  </conditionalFormatting>
  <conditionalFormatting sqref="R84:R91">
    <cfRule type="cellIs" dxfId="212" priority="211" operator="lessThan">
      <formula>0.8</formula>
    </cfRule>
    <cfRule type="cellIs" dxfId="211" priority="212" operator="greaterThan">
      <formula>1</formula>
    </cfRule>
  </conditionalFormatting>
  <conditionalFormatting sqref="R84:R91">
    <cfRule type="cellIs" dxfId="210" priority="209" operator="greaterThan">
      <formula>1</formula>
    </cfRule>
    <cfRule type="cellIs" dxfId="209" priority="210" operator="lessThan">
      <formula>0.8</formula>
    </cfRule>
  </conditionalFormatting>
  <conditionalFormatting sqref="P84:P91">
    <cfRule type="cellIs" dxfId="208" priority="208" operator="greaterThan">
      <formula>0</formula>
    </cfRule>
  </conditionalFormatting>
  <conditionalFormatting sqref="Q84:Q91">
    <cfRule type="cellIs" dxfId="207" priority="213" operator="lessThan">
      <formula>0</formula>
    </cfRule>
  </conditionalFormatting>
  <conditionalFormatting sqref="Q84:Q91">
    <cfRule type="cellIs" dxfId="206" priority="207" operator="lessThan">
      <formula>0</formula>
    </cfRule>
  </conditionalFormatting>
  <conditionalFormatting sqref="R84:R91">
    <cfRule type="cellIs" dxfId="205" priority="205" operator="lessThan">
      <formula>0.8</formula>
    </cfRule>
    <cfRule type="cellIs" dxfId="204" priority="206" operator="greaterThan">
      <formula>1</formula>
    </cfRule>
  </conditionalFormatting>
  <conditionalFormatting sqref="R84:R91">
    <cfRule type="cellIs" dxfId="203" priority="203" operator="greaterThan">
      <formula>1</formula>
    </cfRule>
    <cfRule type="cellIs" dxfId="202" priority="204" operator="lessThan">
      <formula>0.8</formula>
    </cfRule>
  </conditionalFormatting>
  <conditionalFormatting sqref="P84:P91">
    <cfRule type="cellIs" dxfId="201" priority="202" operator="greaterThan">
      <formula>0</formula>
    </cfRule>
  </conditionalFormatting>
  <conditionalFormatting sqref="P84:P91">
    <cfRule type="cellIs" dxfId="200" priority="196" operator="greaterThan">
      <formula>0</formula>
    </cfRule>
  </conditionalFormatting>
  <conditionalFormatting sqref="Q84:Q91">
    <cfRule type="cellIs" dxfId="199" priority="201" operator="lessThan">
      <formula>0</formula>
    </cfRule>
  </conditionalFormatting>
  <conditionalFormatting sqref="R84:R91">
    <cfRule type="cellIs" dxfId="198" priority="199" operator="lessThan">
      <formula>0.8</formula>
    </cfRule>
    <cfRule type="cellIs" dxfId="197" priority="200" operator="greaterThan">
      <formula>1</formula>
    </cfRule>
  </conditionalFormatting>
  <conditionalFormatting sqref="R84:R91">
    <cfRule type="cellIs" dxfId="196" priority="197" operator="greaterThan">
      <formula>1</formula>
    </cfRule>
    <cfRule type="cellIs" dxfId="195" priority="198" operator="lessThan">
      <formula>0.8</formula>
    </cfRule>
  </conditionalFormatting>
  <conditionalFormatting sqref="P84:P91">
    <cfRule type="cellIs" dxfId="194" priority="190" operator="greaterThan">
      <formula>0</formula>
    </cfRule>
  </conditionalFormatting>
  <conditionalFormatting sqref="Q84:Q91">
    <cfRule type="cellIs" dxfId="193" priority="195" operator="lessThan">
      <formula>0</formula>
    </cfRule>
  </conditionalFormatting>
  <conditionalFormatting sqref="R84:R91">
    <cfRule type="cellIs" dxfId="192" priority="193" operator="lessThan">
      <formula>0.8</formula>
    </cfRule>
    <cfRule type="cellIs" dxfId="191" priority="194" operator="greaterThan">
      <formula>1</formula>
    </cfRule>
  </conditionalFormatting>
  <conditionalFormatting sqref="R84:R91">
    <cfRule type="cellIs" dxfId="190" priority="191" operator="greaterThan">
      <formula>1</formula>
    </cfRule>
    <cfRule type="cellIs" dxfId="189" priority="192" operator="lessThan">
      <formula>0.8</formula>
    </cfRule>
  </conditionalFormatting>
  <conditionalFormatting sqref="R84:R91">
    <cfRule type="cellIs" dxfId="188" priority="187" operator="lessThan">
      <formula>0.8</formula>
    </cfRule>
    <cfRule type="cellIs" dxfId="187" priority="188" operator="greaterThan">
      <formula>1</formula>
    </cfRule>
  </conditionalFormatting>
  <conditionalFormatting sqref="R84:R91">
    <cfRule type="cellIs" dxfId="186" priority="185" operator="greaterThan">
      <formula>1</formula>
    </cfRule>
    <cfRule type="cellIs" dxfId="185" priority="186" operator="lessThan">
      <formula>0.8</formula>
    </cfRule>
  </conditionalFormatting>
  <conditionalFormatting sqref="P84:P91">
    <cfRule type="cellIs" dxfId="184" priority="184" operator="greaterThan">
      <formula>0</formula>
    </cfRule>
  </conditionalFormatting>
  <conditionalFormatting sqref="Q84:Q91">
    <cfRule type="cellIs" dxfId="183" priority="189" operator="lessThan">
      <formula>0</formula>
    </cfRule>
  </conditionalFormatting>
  <conditionalFormatting sqref="P84:P91">
    <cfRule type="cellIs" dxfId="182" priority="178" operator="greaterThan">
      <formula>0</formula>
    </cfRule>
  </conditionalFormatting>
  <conditionalFormatting sqref="Q84:Q91">
    <cfRule type="cellIs" dxfId="181" priority="183" operator="lessThan">
      <formula>0</formula>
    </cfRule>
  </conditionalFormatting>
  <conditionalFormatting sqref="R84:R91">
    <cfRule type="cellIs" dxfId="180" priority="181" operator="lessThan">
      <formula>0.8</formula>
    </cfRule>
    <cfRule type="cellIs" dxfId="179" priority="182" operator="greaterThan">
      <formula>1</formula>
    </cfRule>
  </conditionalFormatting>
  <conditionalFormatting sqref="R84:R91">
    <cfRule type="cellIs" dxfId="178" priority="179" operator="greaterThan">
      <formula>1</formula>
    </cfRule>
    <cfRule type="cellIs" dxfId="177" priority="180" operator="lessThan">
      <formula>0.8</formula>
    </cfRule>
  </conditionalFormatting>
  <conditionalFormatting sqref="R84:R91">
    <cfRule type="cellIs" dxfId="176" priority="175" operator="lessThan">
      <formula>0.8</formula>
    </cfRule>
    <cfRule type="cellIs" dxfId="175" priority="176" operator="greaterThan">
      <formula>1</formula>
    </cfRule>
  </conditionalFormatting>
  <conditionalFormatting sqref="R84:R91">
    <cfRule type="cellIs" dxfId="174" priority="173" operator="greaterThan">
      <formula>1</formula>
    </cfRule>
    <cfRule type="cellIs" dxfId="173" priority="174" operator="lessThan">
      <formula>0.8</formula>
    </cfRule>
  </conditionalFormatting>
  <conditionalFormatting sqref="P84:P91">
    <cfRule type="cellIs" dxfId="172" priority="172" operator="greaterThan">
      <formula>0</formula>
    </cfRule>
  </conditionalFormatting>
  <conditionalFormatting sqref="Q84:Q91">
    <cfRule type="cellIs" dxfId="171" priority="177" operator="lessThan">
      <formula>0</formula>
    </cfRule>
  </conditionalFormatting>
  <conditionalFormatting sqref="R84:R91">
    <cfRule type="cellIs" dxfId="170" priority="169" operator="lessThan">
      <formula>0.8</formula>
    </cfRule>
    <cfRule type="cellIs" dxfId="169" priority="170" operator="greaterThan">
      <formula>1</formula>
    </cfRule>
  </conditionalFormatting>
  <conditionalFormatting sqref="R84:R91">
    <cfRule type="cellIs" dxfId="168" priority="167" operator="greaterThan">
      <formula>1</formula>
    </cfRule>
    <cfRule type="cellIs" dxfId="167" priority="168" operator="lessThan">
      <formula>0.8</formula>
    </cfRule>
  </conditionalFormatting>
  <conditionalFormatting sqref="P84:P91">
    <cfRule type="cellIs" dxfId="166" priority="166" operator="greaterThan">
      <formula>0</formula>
    </cfRule>
  </conditionalFormatting>
  <conditionalFormatting sqref="Q84:Q91">
    <cfRule type="cellIs" dxfId="165" priority="171" operator="lessThan">
      <formula>0</formula>
    </cfRule>
  </conditionalFormatting>
  <conditionalFormatting sqref="Q84:Q91">
    <cfRule type="cellIs" dxfId="164" priority="165" operator="lessThan">
      <formula>0</formula>
    </cfRule>
  </conditionalFormatting>
  <conditionalFormatting sqref="R84:R91">
    <cfRule type="cellIs" dxfId="163" priority="163" operator="lessThan">
      <formula>0.8</formula>
    </cfRule>
    <cfRule type="cellIs" dxfId="162" priority="164" operator="greaterThan">
      <formula>1</formula>
    </cfRule>
  </conditionalFormatting>
  <conditionalFormatting sqref="R84:R91">
    <cfRule type="cellIs" dxfId="161" priority="161" operator="greaterThan">
      <formula>1</formula>
    </cfRule>
    <cfRule type="cellIs" dxfId="160" priority="162" operator="lessThan">
      <formula>0.8</formula>
    </cfRule>
  </conditionalFormatting>
  <conditionalFormatting sqref="P84:P91">
    <cfRule type="cellIs" dxfId="159" priority="160" operator="greaterThan">
      <formula>0</formula>
    </cfRule>
  </conditionalFormatting>
  <conditionalFormatting sqref="Q84:Q91">
    <cfRule type="cellIs" dxfId="158" priority="154" operator="lessThan">
      <formula>0</formula>
    </cfRule>
  </conditionalFormatting>
  <conditionalFormatting sqref="R84:R91">
    <cfRule type="cellIs" dxfId="157" priority="158" operator="lessThan">
      <formula>0.8</formula>
    </cfRule>
    <cfRule type="cellIs" dxfId="156" priority="159" operator="greaterThan">
      <formula>1</formula>
    </cfRule>
  </conditionalFormatting>
  <conditionalFormatting sqref="R84:R91">
    <cfRule type="cellIs" dxfId="155" priority="156" operator="greaterThan">
      <formula>1</formula>
    </cfRule>
    <cfRule type="cellIs" dxfId="154" priority="157" operator="lessThan">
      <formula>0.8</formula>
    </cfRule>
  </conditionalFormatting>
  <conditionalFormatting sqref="P84:P91">
    <cfRule type="cellIs" dxfId="153" priority="155" operator="greaterThan">
      <formula>0</formula>
    </cfRule>
  </conditionalFormatting>
  <conditionalFormatting sqref="Q84:Q91">
    <cfRule type="cellIs" dxfId="152" priority="153" operator="lessThan">
      <formula>0</formula>
    </cfRule>
  </conditionalFormatting>
  <conditionalFormatting sqref="R84:R91">
    <cfRule type="cellIs" dxfId="151" priority="151" operator="lessThan">
      <formula>0.8</formula>
    </cfRule>
    <cfRule type="cellIs" dxfId="150" priority="152" operator="greaterThan">
      <formula>1</formula>
    </cfRule>
  </conditionalFormatting>
  <conditionalFormatting sqref="R84:R91">
    <cfRule type="cellIs" dxfId="149" priority="149" operator="greaterThan">
      <formula>1</formula>
    </cfRule>
    <cfRule type="cellIs" dxfId="148" priority="150" operator="lessThan">
      <formula>0.8</formula>
    </cfRule>
  </conditionalFormatting>
  <conditionalFormatting sqref="P84:P91">
    <cfRule type="cellIs" dxfId="147" priority="148" operator="greaterThan">
      <formula>0</formula>
    </cfRule>
  </conditionalFormatting>
  <conditionalFormatting sqref="Q84:Q91">
    <cfRule type="cellIs" dxfId="146" priority="147" operator="lessThan">
      <formula>0</formula>
    </cfRule>
  </conditionalFormatting>
  <conditionalFormatting sqref="R84:R91">
    <cfRule type="cellIs" dxfId="145" priority="145" operator="lessThan">
      <formula>0.8</formula>
    </cfRule>
    <cfRule type="cellIs" dxfId="144" priority="146" operator="greaterThan">
      <formula>1</formula>
    </cfRule>
  </conditionalFormatting>
  <conditionalFormatting sqref="R84:R91">
    <cfRule type="cellIs" dxfId="143" priority="143" operator="greaterThan">
      <formula>1</formula>
    </cfRule>
    <cfRule type="cellIs" dxfId="142" priority="144" operator="lessThan">
      <formula>0.8</formula>
    </cfRule>
  </conditionalFormatting>
  <conditionalFormatting sqref="P84:P91">
    <cfRule type="cellIs" dxfId="141" priority="142" operator="greaterThan">
      <formula>0</formula>
    </cfRule>
  </conditionalFormatting>
  <conditionalFormatting sqref="Q84:Q91">
    <cfRule type="cellIs" dxfId="140" priority="141" operator="lessThan">
      <formula>0</formula>
    </cfRule>
  </conditionalFormatting>
  <conditionalFormatting sqref="R84:R91">
    <cfRule type="cellIs" dxfId="139" priority="139" operator="lessThan">
      <formula>0.8</formula>
    </cfRule>
    <cfRule type="cellIs" dxfId="138" priority="140" operator="greaterThan">
      <formula>1</formula>
    </cfRule>
  </conditionalFormatting>
  <conditionalFormatting sqref="R84:R91">
    <cfRule type="cellIs" dxfId="137" priority="137" operator="greaterThan">
      <formula>1</formula>
    </cfRule>
    <cfRule type="cellIs" dxfId="136" priority="138" operator="lessThan">
      <formula>0.8</formula>
    </cfRule>
  </conditionalFormatting>
  <conditionalFormatting sqref="P84:P91">
    <cfRule type="cellIs" dxfId="135" priority="136" operator="greaterThan">
      <formula>0</formula>
    </cfRule>
  </conditionalFormatting>
  <conditionalFormatting sqref="Q84:Q91">
    <cfRule type="cellIs" dxfId="134" priority="135" operator="lessThan">
      <formula>0</formula>
    </cfRule>
  </conditionalFormatting>
  <conditionalFormatting sqref="R84:R91">
    <cfRule type="cellIs" dxfId="133" priority="133" operator="lessThan">
      <formula>0.8</formula>
    </cfRule>
    <cfRule type="cellIs" dxfId="132" priority="134" operator="greaterThan">
      <formula>1</formula>
    </cfRule>
  </conditionalFormatting>
  <conditionalFormatting sqref="R84:R91">
    <cfRule type="cellIs" dxfId="131" priority="131" operator="greaterThan">
      <formula>1</formula>
    </cfRule>
    <cfRule type="cellIs" dxfId="130" priority="132" operator="lessThan">
      <formula>0.8</formula>
    </cfRule>
  </conditionalFormatting>
  <conditionalFormatting sqref="P84:P91">
    <cfRule type="cellIs" dxfId="129" priority="130" operator="greaterThan">
      <formula>0</formula>
    </cfRule>
  </conditionalFormatting>
  <conditionalFormatting sqref="Q84:Q91">
    <cfRule type="cellIs" dxfId="128" priority="129" operator="lessThan">
      <formula>0</formula>
    </cfRule>
  </conditionalFormatting>
  <conditionalFormatting sqref="R84:R91">
    <cfRule type="cellIs" dxfId="127" priority="127" operator="lessThan">
      <formula>0.8</formula>
    </cfRule>
    <cfRule type="cellIs" dxfId="126" priority="128" operator="greaterThan">
      <formula>1</formula>
    </cfRule>
  </conditionalFormatting>
  <conditionalFormatting sqref="R84:R91">
    <cfRule type="cellIs" dxfId="125" priority="125" operator="greaterThan">
      <formula>1</formula>
    </cfRule>
    <cfRule type="cellIs" dxfId="124" priority="126" operator="lessThan">
      <formula>0.8</formula>
    </cfRule>
  </conditionalFormatting>
  <conditionalFormatting sqref="P84:P91">
    <cfRule type="cellIs" dxfId="123" priority="124" operator="greaterThan">
      <formula>0</formula>
    </cfRule>
  </conditionalFormatting>
  <conditionalFormatting sqref="P84:P91">
    <cfRule type="cellIs" dxfId="122" priority="118" operator="greaterThan">
      <formula>0</formula>
    </cfRule>
  </conditionalFormatting>
  <conditionalFormatting sqref="Q84:Q91">
    <cfRule type="cellIs" dxfId="121" priority="123" operator="lessThan">
      <formula>0</formula>
    </cfRule>
  </conditionalFormatting>
  <conditionalFormatting sqref="R84:R91">
    <cfRule type="cellIs" dxfId="120" priority="121" operator="lessThan">
      <formula>0.8</formula>
    </cfRule>
    <cfRule type="cellIs" dxfId="119" priority="122" operator="greaterThan">
      <formula>1</formula>
    </cfRule>
  </conditionalFormatting>
  <conditionalFormatting sqref="R84:R91">
    <cfRule type="cellIs" dxfId="118" priority="119" operator="greaterThan">
      <formula>1</formula>
    </cfRule>
    <cfRule type="cellIs" dxfId="117" priority="120" operator="lessThan">
      <formula>0.8</formula>
    </cfRule>
  </conditionalFormatting>
  <conditionalFormatting sqref="P84:P91">
    <cfRule type="cellIs" dxfId="116" priority="112" operator="greaterThan">
      <formula>0</formula>
    </cfRule>
  </conditionalFormatting>
  <conditionalFormatting sqref="Q84:Q91">
    <cfRule type="cellIs" dxfId="115" priority="117" operator="lessThan">
      <formula>0</formula>
    </cfRule>
  </conditionalFormatting>
  <conditionalFormatting sqref="R84:R91">
    <cfRule type="cellIs" dxfId="114" priority="115" operator="lessThan">
      <formula>0.8</formula>
    </cfRule>
    <cfRule type="cellIs" dxfId="113" priority="116" operator="greaterThan">
      <formula>1</formula>
    </cfRule>
  </conditionalFormatting>
  <conditionalFormatting sqref="R84:R91">
    <cfRule type="cellIs" dxfId="112" priority="113" operator="greaterThan">
      <formula>1</formula>
    </cfRule>
    <cfRule type="cellIs" dxfId="111" priority="114" operator="lessThan">
      <formula>0.8</formula>
    </cfRule>
  </conditionalFormatting>
  <conditionalFormatting sqref="R84:R91">
    <cfRule type="cellIs" dxfId="110" priority="109" operator="lessThan">
      <formula>0.8</formula>
    </cfRule>
    <cfRule type="cellIs" dxfId="109" priority="110" operator="greaterThan">
      <formula>1</formula>
    </cfRule>
  </conditionalFormatting>
  <conditionalFormatting sqref="R84:R91">
    <cfRule type="cellIs" dxfId="108" priority="107" operator="greaterThan">
      <formula>1</formula>
    </cfRule>
    <cfRule type="cellIs" dxfId="107" priority="108" operator="lessThan">
      <formula>0.8</formula>
    </cfRule>
  </conditionalFormatting>
  <conditionalFormatting sqref="P84:P91">
    <cfRule type="cellIs" dxfId="106" priority="106" operator="greaterThan">
      <formula>0</formula>
    </cfRule>
  </conditionalFormatting>
  <conditionalFormatting sqref="Q84:Q91">
    <cfRule type="cellIs" dxfId="105" priority="111" operator="lessThan">
      <formula>0</formula>
    </cfRule>
  </conditionalFormatting>
  <conditionalFormatting sqref="Q84:Q91">
    <cfRule type="cellIs" dxfId="104" priority="100" operator="lessThan">
      <formula>0</formula>
    </cfRule>
  </conditionalFormatting>
  <conditionalFormatting sqref="P84:P91">
    <cfRule type="cellIs" dxfId="103" priority="101" operator="greaterThan">
      <formula>0</formula>
    </cfRule>
  </conditionalFormatting>
  <conditionalFormatting sqref="R84:R91">
    <cfRule type="cellIs" dxfId="102" priority="104" operator="lessThan">
      <formula>0.8</formula>
    </cfRule>
    <cfRule type="cellIs" dxfId="101" priority="105" operator="greaterThan">
      <formula>1</formula>
    </cfRule>
  </conditionalFormatting>
  <conditionalFormatting sqref="R84:R91">
    <cfRule type="cellIs" dxfId="100" priority="102" operator="greaterThan">
      <formula>1</formula>
    </cfRule>
    <cfRule type="cellIs" dxfId="99" priority="103" operator="lessThan">
      <formula>0.8</formula>
    </cfRule>
  </conditionalFormatting>
  <conditionalFormatting sqref="Q84:Q91">
    <cfRule type="cellIs" dxfId="98" priority="94" operator="lessThan">
      <formula>0</formula>
    </cfRule>
  </conditionalFormatting>
  <conditionalFormatting sqref="R84:R91">
    <cfRule type="cellIs" dxfId="97" priority="98" operator="lessThan">
      <formula>0.8</formula>
    </cfRule>
    <cfRule type="cellIs" dxfId="96" priority="99" operator="greaterThan">
      <formula>1</formula>
    </cfRule>
  </conditionalFormatting>
  <conditionalFormatting sqref="R84:R91">
    <cfRule type="cellIs" dxfId="95" priority="96" operator="greaterThan">
      <formula>1</formula>
    </cfRule>
    <cfRule type="cellIs" dxfId="94" priority="97" operator="lessThan">
      <formula>0.8</formula>
    </cfRule>
  </conditionalFormatting>
  <conditionalFormatting sqref="P84:P91">
    <cfRule type="cellIs" dxfId="93" priority="95" operator="greaterThan">
      <formula>0</formula>
    </cfRule>
  </conditionalFormatting>
  <conditionalFormatting sqref="Q84:Q91">
    <cfRule type="cellIs" dxfId="92" priority="93" operator="lessThan">
      <formula>0</formula>
    </cfRule>
  </conditionalFormatting>
  <conditionalFormatting sqref="R84:R91">
    <cfRule type="cellIs" dxfId="91" priority="91" operator="lessThan">
      <formula>0.8</formula>
    </cfRule>
    <cfRule type="cellIs" dxfId="90" priority="92" operator="greaterThan">
      <formula>1</formula>
    </cfRule>
  </conditionalFormatting>
  <conditionalFormatting sqref="R84:R91">
    <cfRule type="cellIs" dxfId="89" priority="89" operator="greaterThan">
      <formula>1</formula>
    </cfRule>
    <cfRule type="cellIs" dxfId="88" priority="90" operator="lessThan">
      <formula>0.8</formula>
    </cfRule>
  </conditionalFormatting>
  <conditionalFormatting sqref="P84:P91">
    <cfRule type="cellIs" dxfId="87" priority="88" operator="greaterThan">
      <formula>0</formula>
    </cfRule>
  </conditionalFormatting>
  <conditionalFormatting sqref="Q84:Q91">
    <cfRule type="cellIs" dxfId="86" priority="87" operator="lessThan">
      <formula>0</formula>
    </cfRule>
  </conditionalFormatting>
  <conditionalFormatting sqref="R84:R91">
    <cfRule type="cellIs" dxfId="85" priority="85" operator="lessThan">
      <formula>0.8</formula>
    </cfRule>
    <cfRule type="cellIs" dxfId="84" priority="86" operator="greaterThan">
      <formula>1</formula>
    </cfRule>
  </conditionalFormatting>
  <conditionalFormatting sqref="R84:R91">
    <cfRule type="cellIs" dxfId="83" priority="83" operator="greaterThan">
      <formula>1</formula>
    </cfRule>
    <cfRule type="cellIs" dxfId="82" priority="84" operator="lessThan">
      <formula>0.8</formula>
    </cfRule>
  </conditionalFormatting>
  <conditionalFormatting sqref="P84:P91">
    <cfRule type="cellIs" dxfId="81" priority="82" operator="greaterThan">
      <formula>0</formula>
    </cfRule>
  </conditionalFormatting>
  <conditionalFormatting sqref="Q84:Q91">
    <cfRule type="cellIs" dxfId="80" priority="81" operator="lessThan">
      <formula>0</formula>
    </cfRule>
  </conditionalFormatting>
  <conditionalFormatting sqref="R84:R91">
    <cfRule type="cellIs" dxfId="79" priority="79" operator="lessThan">
      <formula>0.8</formula>
    </cfRule>
    <cfRule type="cellIs" dxfId="78" priority="80" operator="greaterThan">
      <formula>1</formula>
    </cfRule>
  </conditionalFormatting>
  <conditionalFormatting sqref="R84:R91">
    <cfRule type="cellIs" dxfId="77" priority="77" operator="greaterThan">
      <formula>1</formula>
    </cfRule>
    <cfRule type="cellIs" dxfId="76" priority="78" operator="lessThan">
      <formula>0.8</formula>
    </cfRule>
  </conditionalFormatting>
  <conditionalFormatting sqref="P84:P91">
    <cfRule type="cellIs" dxfId="75" priority="76" operator="greaterThan">
      <formula>0</formula>
    </cfRule>
  </conditionalFormatting>
  <conditionalFormatting sqref="Q162:Q166">
    <cfRule type="cellIs" dxfId="74" priority="75" operator="lessThan">
      <formula>0</formula>
    </cfRule>
  </conditionalFormatting>
  <conditionalFormatting sqref="R162:R166">
    <cfRule type="cellIs" dxfId="73" priority="73" operator="lessThan">
      <formula>0.8</formula>
    </cfRule>
    <cfRule type="cellIs" dxfId="72" priority="74" operator="greaterThan">
      <formula>1</formula>
    </cfRule>
  </conditionalFormatting>
  <conditionalFormatting sqref="R162:R166">
    <cfRule type="cellIs" dxfId="71" priority="71" operator="greaterThan">
      <formula>1</formula>
    </cfRule>
    <cfRule type="cellIs" dxfId="70" priority="72" operator="lessThan">
      <formula>0.8</formula>
    </cfRule>
  </conditionalFormatting>
  <conditionalFormatting sqref="P162:P166">
    <cfRule type="cellIs" dxfId="69" priority="70" operator="greaterThan">
      <formula>0</formula>
    </cfRule>
  </conditionalFormatting>
  <conditionalFormatting sqref="P167:P168">
    <cfRule type="cellIs" dxfId="68" priority="64" operator="greaterThan">
      <formula>0</formula>
    </cfRule>
  </conditionalFormatting>
  <conditionalFormatting sqref="R167:R168">
    <cfRule type="cellIs" dxfId="67" priority="67" operator="lessThan">
      <formula>0.8</formula>
    </cfRule>
    <cfRule type="cellIs" dxfId="66" priority="68" operator="greaterThan">
      <formula>1</formula>
    </cfRule>
  </conditionalFormatting>
  <conditionalFormatting sqref="R167:R168">
    <cfRule type="cellIs" dxfId="65" priority="65" operator="greaterThan">
      <formula>1</formula>
    </cfRule>
    <cfRule type="cellIs" dxfId="64" priority="66" operator="lessThan">
      <formula>0.8</formula>
    </cfRule>
  </conditionalFormatting>
  <conditionalFormatting sqref="Q167:Q168">
    <cfRule type="cellIs" dxfId="63" priority="69" operator="lessThan">
      <formula>0</formula>
    </cfRule>
  </conditionalFormatting>
  <conditionalFormatting sqref="Q161">
    <cfRule type="cellIs" dxfId="62" priority="63" operator="lessThan">
      <formula>0</formula>
    </cfRule>
  </conditionalFormatting>
  <conditionalFormatting sqref="R161">
    <cfRule type="cellIs" dxfId="61" priority="61" operator="lessThan">
      <formula>0.8</formula>
    </cfRule>
    <cfRule type="cellIs" dxfId="60" priority="62" operator="greaterThan">
      <formula>1</formula>
    </cfRule>
  </conditionalFormatting>
  <conditionalFormatting sqref="R161">
    <cfRule type="cellIs" dxfId="59" priority="59" operator="greaterThan">
      <formula>1</formula>
    </cfRule>
    <cfRule type="cellIs" dxfId="58" priority="60" operator="lessThan">
      <formula>0.8</formula>
    </cfRule>
  </conditionalFormatting>
  <conditionalFormatting sqref="P161">
    <cfRule type="cellIs" dxfId="57" priority="58" operator="greaterThan">
      <formula>0</formula>
    </cfRule>
  </conditionalFormatting>
  <conditionalFormatting sqref="Q162:Q166">
    <cfRule type="cellIs" dxfId="56" priority="57" operator="lessThan">
      <formula>0</formula>
    </cfRule>
  </conditionalFormatting>
  <conditionalFormatting sqref="R162:R166">
    <cfRule type="cellIs" dxfId="55" priority="55" operator="lessThan">
      <formula>0.8</formula>
    </cfRule>
    <cfRule type="cellIs" dxfId="54" priority="56" operator="greaterThan">
      <formula>1</formula>
    </cfRule>
  </conditionalFormatting>
  <conditionalFormatting sqref="R162:R166">
    <cfRule type="cellIs" dxfId="53" priority="53" operator="greaterThan">
      <formula>1</formula>
    </cfRule>
    <cfRule type="cellIs" dxfId="52" priority="54" operator="lessThan">
      <formula>0.8</formula>
    </cfRule>
  </conditionalFormatting>
  <conditionalFormatting sqref="P162:P166">
    <cfRule type="cellIs" dxfId="51" priority="52" operator="greaterThan">
      <formula>0</formula>
    </cfRule>
  </conditionalFormatting>
  <conditionalFormatting sqref="Q162:Q166">
    <cfRule type="cellIs" dxfId="50" priority="51" operator="lessThan">
      <formula>0</formula>
    </cfRule>
  </conditionalFormatting>
  <conditionalFormatting sqref="R162:R166">
    <cfRule type="cellIs" dxfId="49" priority="49" operator="lessThan">
      <formula>0.8</formula>
    </cfRule>
    <cfRule type="cellIs" dxfId="48" priority="50" operator="greaterThan">
      <formula>1</formula>
    </cfRule>
  </conditionalFormatting>
  <conditionalFormatting sqref="R162:R166">
    <cfRule type="cellIs" dxfId="47" priority="47" operator="greaterThan">
      <formula>1</formula>
    </cfRule>
    <cfRule type="cellIs" dxfId="46" priority="48" operator="lessThan">
      <formula>0.8</formula>
    </cfRule>
  </conditionalFormatting>
  <conditionalFormatting sqref="P162:P166">
    <cfRule type="cellIs" dxfId="45" priority="46" operator="greaterThan">
      <formula>0</formula>
    </cfRule>
  </conditionalFormatting>
  <conditionalFormatting sqref="Q167:Q168">
    <cfRule type="cellIs" dxfId="44" priority="45" operator="lessThan">
      <formula>0</formula>
    </cfRule>
  </conditionalFormatting>
  <conditionalFormatting sqref="R167:R168">
    <cfRule type="cellIs" dxfId="43" priority="43" operator="lessThan">
      <formula>0.8</formula>
    </cfRule>
    <cfRule type="cellIs" dxfId="42" priority="44" operator="greaterThan">
      <formula>1</formula>
    </cfRule>
  </conditionalFormatting>
  <conditionalFormatting sqref="R167:R168">
    <cfRule type="cellIs" dxfId="41" priority="41" operator="greaterThan">
      <formula>1</formula>
    </cfRule>
    <cfRule type="cellIs" dxfId="40" priority="42" operator="lessThan">
      <formula>0.8</formula>
    </cfRule>
  </conditionalFormatting>
  <conditionalFormatting sqref="P167:P168">
    <cfRule type="cellIs" dxfId="39" priority="40" operator="greaterThan">
      <formula>0</formula>
    </cfRule>
  </conditionalFormatting>
  <conditionalFormatting sqref="Q161">
    <cfRule type="cellIs" dxfId="38" priority="39" operator="lessThan">
      <formula>0</formula>
    </cfRule>
  </conditionalFormatting>
  <conditionalFormatting sqref="R161">
    <cfRule type="cellIs" dxfId="37" priority="37" operator="lessThan">
      <formula>0.8</formula>
    </cfRule>
    <cfRule type="cellIs" dxfId="36" priority="38" operator="greaterThan">
      <formula>1</formula>
    </cfRule>
  </conditionalFormatting>
  <conditionalFormatting sqref="R161">
    <cfRule type="cellIs" dxfId="35" priority="35" operator="greaterThan">
      <formula>1</formula>
    </cfRule>
    <cfRule type="cellIs" dxfId="34" priority="36" operator="lessThan">
      <formula>0.8</formula>
    </cfRule>
  </conditionalFormatting>
  <conditionalFormatting sqref="P161">
    <cfRule type="cellIs" dxfId="33" priority="34" operator="greaterThan">
      <formula>0</formula>
    </cfRule>
  </conditionalFormatting>
  <conditionalFormatting sqref="Q162:Q166">
    <cfRule type="cellIs" dxfId="32" priority="33" operator="lessThan">
      <formula>0</formula>
    </cfRule>
  </conditionalFormatting>
  <conditionalFormatting sqref="R162:R166">
    <cfRule type="cellIs" dxfId="31" priority="31" operator="lessThan">
      <formula>0.8</formula>
    </cfRule>
    <cfRule type="cellIs" dxfId="30" priority="32" operator="greaterThan">
      <formula>1</formula>
    </cfRule>
  </conditionalFormatting>
  <conditionalFormatting sqref="R162:R166">
    <cfRule type="cellIs" dxfId="29" priority="29" operator="greaterThan">
      <formula>1</formula>
    </cfRule>
    <cfRule type="cellIs" dxfId="28" priority="30" operator="lessThan">
      <formula>0.8</formula>
    </cfRule>
  </conditionalFormatting>
  <conditionalFormatting sqref="P162:P166">
    <cfRule type="cellIs" dxfId="27" priority="28" operator="greaterThan">
      <formula>0</formula>
    </cfRule>
  </conditionalFormatting>
  <conditionalFormatting sqref="Q161">
    <cfRule type="cellIs" dxfId="26" priority="27" operator="lessThan">
      <formula>0</formula>
    </cfRule>
  </conditionalFormatting>
  <conditionalFormatting sqref="R161">
    <cfRule type="cellIs" dxfId="25" priority="25" operator="lessThan">
      <formula>0.8</formula>
    </cfRule>
    <cfRule type="cellIs" dxfId="24" priority="26" operator="greaterThan">
      <formula>1</formula>
    </cfRule>
  </conditionalFormatting>
  <conditionalFormatting sqref="R161">
    <cfRule type="cellIs" dxfId="23" priority="23" operator="greaterThan">
      <formula>1</formula>
    </cfRule>
    <cfRule type="cellIs" dxfId="22" priority="24" operator="lessThan">
      <formula>0.8</formula>
    </cfRule>
  </conditionalFormatting>
  <conditionalFormatting sqref="P161">
    <cfRule type="cellIs" dxfId="21" priority="22" operator="greaterThan">
      <formula>0</formula>
    </cfRule>
  </conditionalFormatting>
  <conditionalFormatting sqref="Q162:Q166">
    <cfRule type="cellIs" dxfId="20" priority="21" operator="lessThan">
      <formula>0</formula>
    </cfRule>
  </conditionalFormatting>
  <conditionalFormatting sqref="R162:R166">
    <cfRule type="cellIs" dxfId="19" priority="19" operator="lessThan">
      <formula>0.8</formula>
    </cfRule>
    <cfRule type="cellIs" dxfId="18" priority="20" operator="greaterThan">
      <formula>1</formula>
    </cfRule>
  </conditionalFormatting>
  <conditionalFormatting sqref="R162:R166">
    <cfRule type="cellIs" dxfId="17" priority="17" operator="greaterThan">
      <formula>1</formula>
    </cfRule>
    <cfRule type="cellIs" dxfId="16" priority="18" operator="lessThan">
      <formula>0.8</formula>
    </cfRule>
  </conditionalFormatting>
  <conditionalFormatting sqref="P162:P166">
    <cfRule type="cellIs" dxfId="15" priority="16" operator="greaterThan">
      <formula>0</formula>
    </cfRule>
  </conditionalFormatting>
  <conditionalFormatting sqref="Q161">
    <cfRule type="cellIs" dxfId="14" priority="15" operator="lessThan">
      <formula>0</formula>
    </cfRule>
  </conditionalFormatting>
  <conditionalFormatting sqref="R161">
    <cfRule type="cellIs" dxfId="13" priority="13" operator="lessThan">
      <formula>0.8</formula>
    </cfRule>
    <cfRule type="cellIs" dxfId="12" priority="14" operator="greaterThan">
      <formula>1</formula>
    </cfRule>
  </conditionalFormatting>
  <conditionalFormatting sqref="R161">
    <cfRule type="cellIs" dxfId="11" priority="11" operator="greaterThan">
      <formula>1</formula>
    </cfRule>
    <cfRule type="cellIs" dxfId="10" priority="12" operator="lessThan">
      <formula>0.8</formula>
    </cfRule>
  </conditionalFormatting>
  <conditionalFormatting sqref="P161">
    <cfRule type="cellIs" dxfId="9" priority="10" operator="greaterThan">
      <formula>0</formula>
    </cfRule>
  </conditionalFormatting>
  <conditionalFormatting sqref="P167:P168">
    <cfRule type="cellIs" dxfId="8" priority="4" operator="greaterThan">
      <formula>0</formula>
    </cfRule>
  </conditionalFormatting>
  <conditionalFormatting sqref="R167:R168">
    <cfRule type="cellIs" dxfId="7" priority="7" operator="lessThan">
      <formula>0.8</formula>
    </cfRule>
    <cfRule type="cellIs" dxfId="6" priority="8" operator="greaterThan">
      <formula>1</formula>
    </cfRule>
  </conditionalFormatting>
  <conditionalFormatting sqref="R167:R168">
    <cfRule type="cellIs" dxfId="5" priority="5" operator="greaterThan">
      <formula>1</formula>
    </cfRule>
    <cfRule type="cellIs" dxfId="4" priority="6" operator="lessThan">
      <formula>0.8</formula>
    </cfRule>
  </conditionalFormatting>
  <conditionalFormatting sqref="Q167:Q168">
    <cfRule type="cellIs" dxfId="3" priority="9" operator="lessThan">
      <formula>0</formula>
    </cfRule>
  </conditionalFormatting>
  <conditionalFormatting sqref="AF30">
    <cfRule type="cellIs" dxfId="2" priority="3" operator="lessThan">
      <formula>0</formula>
    </cfRule>
  </conditionalFormatting>
  <conditionalFormatting sqref="AG30">
    <cfRule type="cellIs" dxfId="1" priority="1" operator="greaterThan">
      <formula>1</formula>
    </cfRule>
    <cfRule type="cellIs" dxfId="0" priority="2" operator="lessThan">
      <formula>0.8</formula>
    </cfRule>
  </conditionalFormatting>
  <dataValidations count="4">
    <dataValidation type="list" allowBlank="1" showInputMessage="1" showErrorMessage="1" sqref="AB151:AC159 AB113:AC120">
      <formula1>$AJ$177:$AJ$189</formula1>
    </dataValidation>
    <dataValidation type="list" allowBlank="1" showInputMessage="1" showErrorMessage="1" sqref="AB121:AC149 AC12 AB5:AC10 AB160:AC173 AB12:AB112 AC17:AC112">
      <formula1>$AJ$174:$AJ$186</formula1>
    </dataValidation>
    <dataValidation type="list" allowBlank="1" showInputMessage="1" showErrorMessage="1" sqref="AB150:AC150">
      <formula1>$AJ$165:$AJ$177</formula1>
    </dataValidation>
    <dataValidation type="list" allowBlank="1" showInputMessage="1" showErrorMessage="1" sqref="AB11:AC11">
      <formula1>$AJ$174:$AJ$185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7"/>
  <sheetData/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/>
  <sheetData/>
  <phoneticPr fontId="1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7E8B2A-4435-42D1-B8C6-8A21EA19F6EB}"/>
</file>

<file path=customXml/itemProps2.xml><?xml version="1.0" encoding="utf-8"?>
<ds:datastoreItem xmlns:ds="http://schemas.openxmlformats.org/officeDocument/2006/customXml" ds:itemID="{735D2FF3-5B63-4D2C-800D-5872A1622C31}"/>
</file>

<file path=customXml/itemProps3.xml><?xml version="1.0" encoding="utf-8"?>
<ds:datastoreItem xmlns:ds="http://schemas.openxmlformats.org/officeDocument/2006/customXml" ds:itemID="{36E6FC56-9DFD-43C5-99AE-58732A0796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0101</vt:lpstr>
      <vt:lpstr>晉欣18度C0101</vt:lpstr>
      <vt:lpstr>晉欣4度C0101</vt:lpstr>
      <vt:lpstr>0102</vt:lpstr>
      <vt:lpstr>晉欣18度C0102</vt:lpstr>
      <vt:lpstr>晉欣4度C0102</vt:lpstr>
      <vt:lpstr>0103</vt:lpstr>
      <vt:lpstr>晉欣18度C0103</vt:lpstr>
      <vt:lpstr>晉欣4度C0103</vt:lpstr>
      <vt:lpstr>0104</vt:lpstr>
      <vt:lpstr>晉欣18度C0104</vt:lpstr>
      <vt:lpstr>晉欣4度C0104</vt:lpstr>
      <vt:lpstr>0105</vt:lpstr>
      <vt:lpstr>晉欣18度C0105</vt:lpstr>
      <vt:lpstr>晉欣4度C0105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林煥程</cp:lastModifiedBy>
  <dcterms:created xsi:type="dcterms:W3CDTF">2026-01-07T09:58:46Z</dcterms:created>
  <dcterms:modified xsi:type="dcterms:W3CDTF">2026-01-20T02:57:32Z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